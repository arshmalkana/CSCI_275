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luster Responses" sheetId="1" r:id="rId5"/>
    <sheet state="visible" name="Credentials" sheetId="2" r:id="rId6"/>
    <sheet state="visible" name="Form responses" sheetId="3" r:id="rId7"/>
    <sheet state="visible" name="Reports" sheetId="4" r:id="rId8"/>
    <sheet state="visible" name="Tehsil Reports" sheetId="5" r:id="rId9"/>
    <sheet state="visible" name="New Tehsil Report" sheetId="6" r:id="rId10"/>
    <sheet state="visible" name="Banificiry Report" sheetId="7" r:id="rId11"/>
    <sheet state="visible" name="Fee register" sheetId="8" r:id="rId12"/>
    <sheet state="visible" name="Fee receipt" sheetId="9" r:id="rId13"/>
    <sheet state="visible" name="BALANCE SHEET" sheetId="10" r:id="rId14"/>
    <sheet state="hidden" name="Profile Requests" sheetId="11" r:id="rId15"/>
    <sheet state="hidden" name="Sum" sheetId="12" r:id="rId16"/>
    <sheet state="hidden" name="fees" sheetId="13" r:id="rId17"/>
    <sheet state="visible" name="fee slip" sheetId="14" r:id="rId18"/>
    <sheet state="visible" name="Utility" sheetId="15" r:id="rId19"/>
  </sheets>
  <definedNames>
    <definedName hidden="1" localSheetId="0" name="_xlnm._FilterDatabase">'Cluster Responses'!$A$1:$U$599</definedName>
    <definedName hidden="1" localSheetId="1" name="_xlnm._FilterDatabase">Credentials!$A$1:$U$40</definedName>
    <definedName hidden="1" localSheetId="2" name="_xlnm._FilterDatabase">'Form responses'!$A$1:$GR$394</definedName>
    <definedName hidden="1" localSheetId="2" name="Z_9C21C3E1_66DB_4535_9C65_7184AA79A408_.wvu.FilterData">'Form responses'!$D$1:$D$32</definedName>
  </definedNames>
  <calcPr/>
  <customWorkbookViews>
    <customWorkbookView activeSheetId="0" maximized="1" windowHeight="0" windowWidth="0" guid="{9C21C3E1-66DB-4535-9C65-7184AA79A408}"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tc={18a69a3c-1989-4bda-a361-68d76a5c879b}</author>
  </authors>
  <commentList>
    <comment authorId="0" xr:uid="{18a69a3c-1989-4bda-a361-68d76a5c879b}" ref="A1">
      <text>
        <t xml:space="preserve">[Threaded comment]
 Your version of Excel allows you to read this threaded comment; however, any edits to it will get removed if the file is opened in a newer version of Excel. Learn more: https://go.microsoft.com/fwlink/?linkid=870924
Comment:
	24/03/2023 4800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tc={9b1d8215-81da-4f2a-86b6-cb0c35054319}</author>
    <author>tc={bc8d2232-72d7-4d84-8114-f4c92d36eac9}</author>
  </authors>
  <commentList>
    <comment authorId="0" xr:uid="{9b1d8215-81da-4f2a-86b6-cb0c35054319}" ref="EU267">
      <text>
        <t xml:space="preserve">[Threaded comment]
 Your version of Excel allows you to read this threaded comment; however, any edits to it will get removed if the file is opened in a newer version of Excel. Learn more: https://go.microsoft.com/fwlink/?linkid=870924
Comment:
	To be adjusted
</t>
      </text>
    </comment>
    <comment authorId="1" xr:uid="{bc8d2232-72d7-4d84-8114-f4c92d36eac9}" ref="FC12">
      <text>
        <t xml:space="preserve">[Threaded comment]
 Your version of Excel allows you to read this threaded comment; however, any edits to it will get removed if the file is opened in a newer version of Excel. Learn more: https://go.microsoft.com/fwlink/?linkid=870924
Comment:
	6 + 15
</t>
      </text>
    </comment>
  </commentList>
</comments>
</file>

<file path=xl/sharedStrings.xml><?xml version="1.0" encoding="utf-8"?>
<sst xmlns="http://schemas.openxmlformats.org/spreadsheetml/2006/main" count="5708" uniqueCount="1163">
  <si>
    <t>Timestamp</t>
  </si>
  <si>
    <t>Date</t>
  </si>
  <si>
    <t>Name Of Cluster</t>
  </si>
  <si>
    <t>Transaction Type</t>
  </si>
  <si>
    <t>Recieving Institute</t>
  </si>
  <si>
    <t>HF straw</t>
  </si>
  <si>
    <t>Jersey Straw</t>
  </si>
  <si>
    <t>Cross Bred Straw</t>
  </si>
  <si>
    <t>Sahiwal Straw</t>
  </si>
  <si>
    <t>HF ETT Straw</t>
  </si>
  <si>
    <t>Jersey ETT Straw</t>
  </si>
  <si>
    <t>HF Sexed Straw</t>
  </si>
  <si>
    <t>Jersey Sexed Straw</t>
  </si>
  <si>
    <t>CB Sexed Straw</t>
  </si>
  <si>
    <t>Sahiwal Sexed Straw</t>
  </si>
  <si>
    <t>Murrah Straws</t>
  </si>
  <si>
    <t>Nilli Ravi Straw</t>
  </si>
  <si>
    <t>Murrah Sexed Straw</t>
  </si>
  <si>
    <t>Nili-ravi Sexed Straw</t>
  </si>
  <si>
    <t>Other 1</t>
  </si>
  <si>
    <t>CVH Talwandi Sabo</t>
  </si>
  <si>
    <t>Recieved</t>
  </si>
  <si>
    <t>Issued</t>
  </si>
  <si>
    <t>CVD Teona Pujarian</t>
  </si>
  <si>
    <t>CVD Chathewala</t>
  </si>
  <si>
    <t>CVH Singo</t>
  </si>
  <si>
    <t>CVD Jaga Ram Tirath</t>
  </si>
  <si>
    <t>CVH Natheha</t>
  </si>
  <si>
    <t>CVD Burj Sema</t>
  </si>
  <si>
    <t>CVD Nangla</t>
  </si>
  <si>
    <t>CVH Shekhpura</t>
  </si>
  <si>
    <t>CVD Kalalwala</t>
  </si>
  <si>
    <t>CVD Rayia</t>
  </si>
  <si>
    <t>CVH Bhagiwander</t>
  </si>
  <si>
    <t>CVH Raman Mandi</t>
  </si>
  <si>
    <t>CVH Malkana</t>
  </si>
  <si>
    <t>CVD Sekhu</t>
  </si>
  <si>
    <t>CVD Gatwali</t>
  </si>
  <si>
    <t>CVH Behman Jassa Singh</t>
  </si>
  <si>
    <t>PAW Jajjal</t>
  </si>
  <si>
    <t>PAW Kamalu</t>
  </si>
  <si>
    <t>CVH Bangi Kalan</t>
  </si>
  <si>
    <t>CVH Kanakwal</t>
  </si>
  <si>
    <t>OrgIds</t>
  </si>
  <si>
    <t>Paassword</t>
  </si>
  <si>
    <t>Name of Institute</t>
  </si>
  <si>
    <t>Reporting Authority</t>
  </si>
  <si>
    <t>Name</t>
  </si>
  <si>
    <t xml:space="preserve">Designation </t>
  </si>
  <si>
    <t>Moble Nmber</t>
  </si>
  <si>
    <t>Email</t>
  </si>
  <si>
    <t>DOB</t>
  </si>
  <si>
    <t>Linked 1</t>
  </si>
  <si>
    <t>Linked 2</t>
  </si>
  <si>
    <t>Linked 3</t>
  </si>
  <si>
    <t>Linked 4</t>
  </si>
  <si>
    <t>Linked 5</t>
  </si>
  <si>
    <t>Linked 6</t>
  </si>
  <si>
    <t>Linked 7</t>
  </si>
  <si>
    <t>Login_Hash</t>
  </si>
  <si>
    <t>Is First Time</t>
  </si>
  <si>
    <t>Custom Dialog</t>
  </si>
  <si>
    <t>Report Submitted</t>
  </si>
  <si>
    <t>User Roles</t>
  </si>
  <si>
    <t>District</t>
  </si>
  <si>
    <t>Tesil</t>
  </si>
  <si>
    <t>is Semon Bank Available?</t>
  </si>
  <si>
    <t>Cluster Attached</t>
  </si>
  <si>
    <t>no_msg</t>
  </si>
  <si>
    <t>test</t>
  </si>
  <si>
    <t>Talwandi Sabo</t>
  </si>
  <si>
    <t>Deputy Director Animal Husbandry Bathinda</t>
  </si>
  <si>
    <t>Dr. Harshit</t>
  </si>
  <si>
    <t xml:space="preserve">Senior Veterinary Officer </t>
  </si>
  <si>
    <t>kssidhu1@gmail.com</t>
  </si>
  <si>
    <t>WjC1FerFKdXThlfcov39</t>
  </si>
  <si>
    <t>Bathinda</t>
  </si>
  <si>
    <t>cvhtal1111</t>
  </si>
  <si>
    <t>Talwandi123</t>
  </si>
  <si>
    <t>Veterinary officer CVH Talwandi Sabo</t>
  </si>
  <si>
    <t>Hardeep Singh</t>
  </si>
  <si>
    <t>Veterinary Inspector</t>
  </si>
  <si>
    <t>hschgiana@gmail.com</t>
  </si>
  <si>
    <t>PAW Sangat Khurad</t>
  </si>
  <si>
    <t>PAW Lehri</t>
  </si>
  <si>
    <t>ESMF0mATL3hW01T64M8G</t>
  </si>
  <si>
    <t>CVD Teona Pujarian,CVH Talwandi Sabo,CVD Jaga Ram Tirath,CVD Nangla,CVH Natheha,CVD Kalalwala,CVD Rayia,CVH Bhagiwander,CVD Chathewala,CVH Singo,CVH Shekhpura,CVD Gatwali</t>
  </si>
  <si>
    <t>cvdgat7183</t>
  </si>
  <si>
    <t>gsm64843</t>
  </si>
  <si>
    <t>Gurmeet Singh</t>
  </si>
  <si>
    <t>gsmalkana@gmail.com</t>
  </si>
  <si>
    <t>hAY69xS9kGij6EVVC0PQ</t>
  </si>
  <si>
    <t>cvdteo6484</t>
  </si>
  <si>
    <t>password</t>
  </si>
  <si>
    <t>Gurdeep Singh</t>
  </si>
  <si>
    <t>gschouhan04@gmail.com</t>
  </si>
  <si>
    <t>20/04/1979</t>
  </si>
  <si>
    <t>JhaDaeOOIBsKqL6NExPb</t>
  </si>
  <si>
    <t>pawsan2022</t>
  </si>
  <si>
    <t>Pass2022</t>
  </si>
  <si>
    <t>Veterinary Inspector CVD Teona Pujarian</t>
  </si>
  <si>
    <t>Sukhpal Singh</t>
  </si>
  <si>
    <t>Private AI Worker</t>
  </si>
  <si>
    <t>sukh0002@gmail.com</t>
  </si>
  <si>
    <t>cvdjag2309</t>
  </si>
  <si>
    <t>sehaj@06</t>
  </si>
  <si>
    <t>Veterinary Officer CVH Talwandi Sabo</t>
  </si>
  <si>
    <t>Sehajpreet Singh</t>
  </si>
  <si>
    <t>sahej041@gmail.com</t>
  </si>
  <si>
    <t>prRNvTsB8X7p8EgFzoUw</t>
  </si>
  <si>
    <t>cvdnan4749</t>
  </si>
  <si>
    <t>Khush@1234</t>
  </si>
  <si>
    <t xml:space="preserve">Khushdeep Singh </t>
  </si>
  <si>
    <t>khush20072001@gmail.com</t>
  </si>
  <si>
    <t>0LcSjYgZizItonymgoXT</t>
  </si>
  <si>
    <t>pawleh3484</t>
  </si>
  <si>
    <t>jagjeet</t>
  </si>
  <si>
    <t>Veterinary Inspector CVD Nangla</t>
  </si>
  <si>
    <t>Jagjeet Singh</t>
  </si>
  <si>
    <t>sjeet3377@gmail.com</t>
  </si>
  <si>
    <t>cvhnat3075</t>
  </si>
  <si>
    <t>Rana@12</t>
  </si>
  <si>
    <t>Senior Veterinary Officer Talwandi Sabo</t>
  </si>
  <si>
    <t>Dr. Shekher Rana</t>
  </si>
  <si>
    <t>Veterinary Officer</t>
  </si>
  <si>
    <t>Shekharranaaa26@gmail.com</t>
  </si>
  <si>
    <t>PAW Mirzeana</t>
  </si>
  <si>
    <t>PAW Gehlewala</t>
  </si>
  <si>
    <t>0vjS8TWdUfBeMJq1PKZG</t>
  </si>
  <si>
    <t>pawmir6748</t>
  </si>
  <si>
    <t>kulwant singh</t>
  </si>
  <si>
    <t>Vetenary Officer CVH Natheha</t>
  </si>
  <si>
    <t>Kulwant Singh</t>
  </si>
  <si>
    <t>ks0033453@gmail.com</t>
  </si>
  <si>
    <t>cvdray1998</t>
  </si>
  <si>
    <t>Gursanjh@2023</t>
  </si>
  <si>
    <t>Veterinary Officer CVH Natheha</t>
  </si>
  <si>
    <t xml:space="preserve">Sandeep Singh </t>
  </si>
  <si>
    <t>sanndeep97815@gmail.com</t>
  </si>
  <si>
    <t>jSTIqeCCSVtJjzNq8t2r</t>
  </si>
  <si>
    <t>cvdkal9978</t>
  </si>
  <si>
    <t>rsjogewala</t>
  </si>
  <si>
    <t>Rajwinder Singh</t>
  </si>
  <si>
    <t>singhrajwinder665@gmail.com</t>
  </si>
  <si>
    <t>huZCzeQknB00uo4AZzMZ</t>
  </si>
  <si>
    <t>pawgeh3110</t>
  </si>
  <si>
    <t>Veterinary Inspector CVD Rayia</t>
  </si>
  <si>
    <t>Baljeet Singh</t>
  </si>
  <si>
    <t>Private Ai Worker</t>
  </si>
  <si>
    <t>baljitsingh7385@gmail.com</t>
  </si>
  <si>
    <t>WZHwieFYxc48DVx7uZSs</t>
  </si>
  <si>
    <t>cvhbha2028</t>
  </si>
  <si>
    <t>bticvhbhagiwandar</t>
  </si>
  <si>
    <t>Tej ram</t>
  </si>
  <si>
    <t>Veterinary pharamacist</t>
  </si>
  <si>
    <t>tej2947@gmail.com</t>
  </si>
  <si>
    <t>PAW Natt</t>
  </si>
  <si>
    <t>osM4RMvx7I9l0uXuagkj</t>
  </si>
  <si>
    <t>cvdcha6789</t>
  </si>
  <si>
    <t>Sekhu@123</t>
  </si>
  <si>
    <t>Veterinary Officer CVH Bhagiwander</t>
  </si>
  <si>
    <t xml:space="preserve">satnam Singh </t>
  </si>
  <si>
    <t>78374 00143</t>
  </si>
  <si>
    <t>sekhusajan@gmail.com</t>
  </si>
  <si>
    <t>z4Ut9ag6sQ6idNZ6xnij</t>
  </si>
  <si>
    <t>pawnat3879</t>
  </si>
  <si>
    <t>Veterinary Inspector CVD Chathewala</t>
  </si>
  <si>
    <t>Kulwinder Singh</t>
  </si>
  <si>
    <t>singhkulwinder70200@gmail.com</t>
  </si>
  <si>
    <t>cvhram9293</t>
  </si>
  <si>
    <t>Veterinary officer</t>
  </si>
  <si>
    <t>kycrattakhera96@gmail.com</t>
  </si>
  <si>
    <t>5P7dFgEHvBh9JrsJQJ4L</t>
  </si>
  <si>
    <t>CVH Raman Mandi,CVD Sekhu,PAW Jajjal,PAW Kamalu,CVH Malkana,CVH Behman Jassa Singh,CVH Bangi Kalan,CVH Kanakwal</t>
  </si>
  <si>
    <t>pawkam6144</t>
  </si>
  <si>
    <t>Veterinary Officer CVH Raman Mandi</t>
  </si>
  <si>
    <t>Bikkerjit Singh</t>
  </si>
  <si>
    <t>bikkerjitsingh6@gmail.com</t>
  </si>
  <si>
    <t>6BagbTGLfgWH4oguvx9f</t>
  </si>
  <si>
    <t>pawjaj4030</t>
  </si>
  <si>
    <t>pass4030</t>
  </si>
  <si>
    <t>gsingh83710@gmail.com</t>
  </si>
  <si>
    <t>k8vDlRV0LVZVX9JnFjLM</t>
  </si>
  <si>
    <t>cvdsek5978</t>
  </si>
  <si>
    <t>Gurnam singh</t>
  </si>
  <si>
    <t>veterinary Inspector</t>
  </si>
  <si>
    <t>gurnamschattha@gmail.com</t>
  </si>
  <si>
    <t>4ZSZGT8R39cVPoImoD3U</t>
  </si>
  <si>
    <t>cvhbeh5265</t>
  </si>
  <si>
    <t>Gagandeep Singh</t>
  </si>
  <si>
    <t>Rural Veterinary Pharmacist</t>
  </si>
  <si>
    <t>gagansinghsidhu86@gmail.com</t>
  </si>
  <si>
    <t>PAW Behman Kaur Singh</t>
  </si>
  <si>
    <t>dY5SaqDi0pNSpvsfikxl</t>
  </si>
  <si>
    <t>pawbeh6117</t>
  </si>
  <si>
    <t>Veterinary officer CVH Behman Jassa Singh</t>
  </si>
  <si>
    <t>Balwinder Singh</t>
  </si>
  <si>
    <t>binderdocter4@gmail.com</t>
  </si>
  <si>
    <t>Ku7l9xeHOr5lm3A9328p</t>
  </si>
  <si>
    <t>cvhban9641</t>
  </si>
  <si>
    <t>Bangi@123</t>
  </si>
  <si>
    <t>CVH Bangi Deepa</t>
  </si>
  <si>
    <t>Dr. Manpreet Singh</t>
  </si>
  <si>
    <t>gagankhemuana@gmail.com</t>
  </si>
  <si>
    <t>vJPK8S8wtSyvrsP5UiCr</t>
  </si>
  <si>
    <t>cvhpak2554</t>
  </si>
  <si>
    <t>Pakka@123</t>
  </si>
  <si>
    <t>CVH Pakka Kalan</t>
  </si>
  <si>
    <t>Dr.Mohit kumar</t>
  </si>
  <si>
    <t>veterinary Officer</t>
  </si>
  <si>
    <t>cvhpakkakalan@gmail.com</t>
  </si>
  <si>
    <t>PAW Gurthari</t>
  </si>
  <si>
    <t>CVD Phallar</t>
  </si>
  <si>
    <t>CVD Malwala</t>
  </si>
  <si>
    <t>PAW Chak Heera Singh Wala</t>
  </si>
  <si>
    <t>kU3hqKU8x9oZKtwCDf9B</t>
  </si>
  <si>
    <t>CVH Pakka Kalan,CVD Malwala,CVD Phallar,CVH Bangi Deepa,CVH Bhagwangarh</t>
  </si>
  <si>
    <t>pawcha3400</t>
  </si>
  <si>
    <t>Gobind@1993</t>
  </si>
  <si>
    <t>Veterinary Officer CVH Pakka kalan</t>
  </si>
  <si>
    <t>Gobind Singh</t>
  </si>
  <si>
    <t>gobindsingh005002s@gmail.com</t>
  </si>
  <si>
    <t>1p7PtGsvQRh2BPTfZQFS</t>
  </si>
  <si>
    <t>pawgur7263</t>
  </si>
  <si>
    <t>Gurmel Singh</t>
  </si>
  <si>
    <t>khushpal572@gmail.com</t>
  </si>
  <si>
    <t>M7Uk1bkAJgh8mkiDkTje</t>
  </si>
  <si>
    <t>cvdpha3711</t>
  </si>
  <si>
    <t>Sukhpreet Singh</t>
  </si>
  <si>
    <t>sukhsidhu59552@gmail.com</t>
  </si>
  <si>
    <t>z7QR6trXHWalanuCUnXv</t>
  </si>
  <si>
    <t>cvdmal8248</t>
  </si>
  <si>
    <t>arsh1999</t>
  </si>
  <si>
    <t>Arshdeep Singh</t>
  </si>
  <si>
    <t xml:space="preserve">Veterinary Inspector </t>
  </si>
  <si>
    <t>arshdeepsingh38985@gmail.com</t>
  </si>
  <si>
    <t>t4j61gaVzCzg415OiipE</t>
  </si>
  <si>
    <t>cvhshe6427</t>
  </si>
  <si>
    <t>Dr Sagar</t>
  </si>
  <si>
    <t>2000sagararora@gmail.com</t>
  </si>
  <si>
    <t>PAW Lelewala</t>
  </si>
  <si>
    <t>YYTpjETN8P3VaWQwSUyC</t>
  </si>
  <si>
    <t>pawlel4723</t>
  </si>
  <si>
    <t>Veterinary Officer CVH Shekhpura</t>
  </si>
  <si>
    <t xml:space="preserve">BALJIT SINGH </t>
  </si>
  <si>
    <t>dhillonbaljitsingh161@gmail.com</t>
  </si>
  <si>
    <t>cvhsin5995</t>
  </si>
  <si>
    <t>Gurpal Gill</t>
  </si>
  <si>
    <t xml:space="preserve">Rural Veterinary Pharmacist </t>
  </si>
  <si>
    <t>gurpalgill205@gmail.com</t>
  </si>
  <si>
    <t>sLmI3mmzMTIGv0PYcmFE</t>
  </si>
  <si>
    <t>cvhban5886</t>
  </si>
  <si>
    <t>bangidipa0000</t>
  </si>
  <si>
    <t xml:space="preserve">Dr Himanshu Gupta </t>
  </si>
  <si>
    <t>harrygupta13@gmail.com</t>
  </si>
  <si>
    <t>10KcPcilJn73CmuprBpO</t>
  </si>
  <si>
    <t>cvhlal9318</t>
  </si>
  <si>
    <t>cvhbhagwangarh</t>
  </si>
  <si>
    <t>CVH Laleana</t>
  </si>
  <si>
    <t>Dr PEEYUSH</t>
  </si>
  <si>
    <t>piyush00012@gmail.com</t>
  </si>
  <si>
    <t>PAW Mahi Nangal</t>
  </si>
  <si>
    <t>g351YAEdfgUubM0JrqG7</t>
  </si>
  <si>
    <t>pawmah5541</t>
  </si>
  <si>
    <t>Gurjant Singh</t>
  </si>
  <si>
    <t>labhpreetpuniamahinangal@gmail.com</t>
  </si>
  <si>
    <t>l1iy6ihgLUj7gruOtDCI</t>
  </si>
  <si>
    <t>cvhbha4483</t>
  </si>
  <si>
    <t>Ranjit84</t>
  </si>
  <si>
    <t>CVH Bhagwangarh</t>
  </si>
  <si>
    <t>Ranjit Singh</t>
  </si>
  <si>
    <t>veterinary pharmacist</t>
  </si>
  <si>
    <t>ranjitsingh17441@gmail.com</t>
  </si>
  <si>
    <t>PAW Shergarh</t>
  </si>
  <si>
    <t>LYUPybGpxkzPEQGUYETH</t>
  </si>
  <si>
    <t>pawshe5168</t>
  </si>
  <si>
    <t>Veterinary Officer CVH Bhagwangarh</t>
  </si>
  <si>
    <t>Gurmohandeep Singh</t>
  </si>
  <si>
    <t>rinkubutter5757@gmail.com</t>
  </si>
  <si>
    <t>cvhkan3005</t>
  </si>
  <si>
    <t>harshit12</t>
  </si>
  <si>
    <t>Dr Pooja</t>
  </si>
  <si>
    <t>krB3iqNfkfOKvhVKUhsv</t>
  </si>
  <si>
    <t>cvhmal305</t>
  </si>
  <si>
    <t>Swarn Singh</t>
  </si>
  <si>
    <t>siviaswarn7@gmail.com</t>
  </si>
  <si>
    <t>0ibDulsoaC87UYlgCjOV</t>
  </si>
  <si>
    <t>pawkai817</t>
  </si>
  <si>
    <t>PAW Kaile Wander</t>
  </si>
  <si>
    <t>Randeep Singh</t>
  </si>
  <si>
    <t xml:space="preserve">Add Mobile </t>
  </si>
  <si>
    <t>pawbag3255</t>
  </si>
  <si>
    <t>PAW Bagha</t>
  </si>
  <si>
    <t xml:space="preserve">Jagsir Singh </t>
  </si>
  <si>
    <t>pawjiw7620</t>
  </si>
  <si>
    <t>PAW Jiwan Singh Wala</t>
  </si>
  <si>
    <t>Manjit Singh</t>
  </si>
  <si>
    <t>pawtar3620</t>
  </si>
  <si>
    <t>PAW Tarkhanwala</t>
  </si>
  <si>
    <t>Jaskaran Singh</t>
  </si>
  <si>
    <t>cvdmac7678</t>
  </si>
  <si>
    <t>CVD Machhana (NS)</t>
  </si>
  <si>
    <t>cvhbag9167</t>
  </si>
  <si>
    <t>CVH Bagha (NS)</t>
  </si>
  <si>
    <t>cvdjaj5264</t>
  </si>
  <si>
    <t>CVD Jajjal (NS)</t>
  </si>
  <si>
    <t>cvdleh8672</t>
  </si>
  <si>
    <t>CVD Lehri (NS)</t>
  </si>
  <si>
    <t>Start Date of reporting Month</t>
  </si>
  <si>
    <t>End Date of reporting Month</t>
  </si>
  <si>
    <t>Institute Name</t>
  </si>
  <si>
    <t>User ID</t>
  </si>
  <si>
    <t>User Role</t>
  </si>
  <si>
    <t>Tehsil</t>
  </si>
  <si>
    <t>New Case Equine</t>
  </si>
  <si>
    <t>New Case Bovine</t>
  </si>
  <si>
    <t>New Case Other</t>
  </si>
  <si>
    <t>New Case Dogs</t>
  </si>
  <si>
    <t>Old Case Equine</t>
  </si>
  <si>
    <t>Old Case Bovine</t>
  </si>
  <si>
    <t>Old Case Other</t>
  </si>
  <si>
    <t>Old Case Dogs</t>
  </si>
  <si>
    <t>No. Of Camp Organised</t>
  </si>
  <si>
    <t>Farmers Arrived in Capm</t>
  </si>
  <si>
    <t>Case Treated In Camp</t>
  </si>
  <si>
    <t>Gaushala Cases</t>
  </si>
  <si>
    <t>Bovine Castrations</t>
  </si>
  <si>
    <t>Other Castrations</t>
  </si>
  <si>
    <t>No. of Pregnancy Diagnosis (Paid)</t>
  </si>
  <si>
    <t>A.H. Certificate Small Animals</t>
  </si>
  <si>
    <t>A.H. Certificate Large Animals</t>
  </si>
  <si>
    <t>Post Mortem Small Animals</t>
  </si>
  <si>
    <t>Post Mortem Large Animals</t>
  </si>
  <si>
    <t>Post Mortem Vetro Legal</t>
  </si>
  <si>
    <t>PM poultry</t>
  </si>
  <si>
    <t>PM Dogs Vetro legal</t>
  </si>
  <si>
    <t xml:space="preserve">H.S. Vaccine Doses Received </t>
  </si>
  <si>
    <t>H.S. Vaccine Doses Used</t>
  </si>
  <si>
    <t xml:space="preserve">H.S. Vaccine Animal Vaccinated </t>
  </si>
  <si>
    <t xml:space="preserve">FMD. Vaccine Doses Received </t>
  </si>
  <si>
    <t>FMD. Vaccine Doses Used</t>
  </si>
  <si>
    <t xml:space="preserve">FMD. Vaccine Animal Vaccinated </t>
  </si>
  <si>
    <t xml:space="preserve">Black Quarter Doses Received </t>
  </si>
  <si>
    <t>Black Quarter Doses Used</t>
  </si>
  <si>
    <t xml:space="preserve">Black Quarter Animal Vaccinated </t>
  </si>
  <si>
    <t xml:space="preserve">Brucellosis Vaccine Doses Received </t>
  </si>
  <si>
    <t>Brucellosis Vaccine Doses Used</t>
  </si>
  <si>
    <t xml:space="preserve">Brucellosis Vaccine Animal Vaccinated </t>
  </si>
  <si>
    <t xml:space="preserve">Entero Toximia Vaccine Doses Received </t>
  </si>
  <si>
    <t>Entero Toximia Vaccine Doses Used</t>
  </si>
  <si>
    <t>Entero Toximia Vaccine Animals Vaccinated</t>
  </si>
  <si>
    <t xml:space="preserve">Swine Fever Vaccine Doses Received </t>
  </si>
  <si>
    <t>Swine Fever Vaccine Doses Used</t>
  </si>
  <si>
    <t>Swine Fever Vaccine Animal Vaccinated</t>
  </si>
  <si>
    <t xml:space="preserve">Goat Pox Vaccine Doses Received </t>
  </si>
  <si>
    <t>Goat Pox Vaccine Doses Used</t>
  </si>
  <si>
    <t xml:space="preserve">Goat Pox Vaccine Animal Vaccinated </t>
  </si>
  <si>
    <t>PPR Doses Received</t>
  </si>
  <si>
    <t>PPR Doses Used</t>
  </si>
  <si>
    <t>PPR Animal Cover</t>
  </si>
  <si>
    <t>Rabies Doses Received</t>
  </si>
  <si>
    <t>Rabies Doses Used</t>
  </si>
  <si>
    <t>Rabies animal vaccinated</t>
  </si>
  <si>
    <t>AI HF Straws</t>
  </si>
  <si>
    <t>Cover HF Straws</t>
  </si>
  <si>
    <t>AI Jersey Straws</t>
  </si>
  <si>
    <t>Cover Jersey Straws</t>
  </si>
  <si>
    <t>AI Cross Breed Straws</t>
  </si>
  <si>
    <t>Cover Cross Breed Straws</t>
  </si>
  <si>
    <t>AI Sahiwal Straws</t>
  </si>
  <si>
    <t>Cover Sahiwal Straws</t>
  </si>
  <si>
    <t>AI HF ETT Straws</t>
  </si>
  <si>
    <t>Cover HF ETT Straws</t>
  </si>
  <si>
    <t>AI Jersey ETT Straws</t>
  </si>
  <si>
    <t>Cover Jersey ETT Straws</t>
  </si>
  <si>
    <t>AI Sexed HF Straws</t>
  </si>
  <si>
    <t>Cover Sexed HF Straws</t>
  </si>
  <si>
    <t>AI Jersey Sexed Straws</t>
  </si>
  <si>
    <t>Cow Cover Jersey Sexed</t>
  </si>
  <si>
    <t>AI Cross Breed Sexed Straws</t>
  </si>
  <si>
    <t>Cover Cross Breed Sexed</t>
  </si>
  <si>
    <t>AI Sahiwal Sexed Straws</t>
  </si>
  <si>
    <t>Cow Cover Sahiwal Sexed</t>
  </si>
  <si>
    <t>AI Done With Murrah Straws</t>
  </si>
  <si>
    <t>Cover Murrah Straws</t>
  </si>
  <si>
    <t>AI Nili-Ravi Straws</t>
  </si>
  <si>
    <t>Cover Nili-Ravi Straws</t>
  </si>
  <si>
    <t>AI Sexed MU Straws</t>
  </si>
  <si>
    <t>Cover Sexed MU Straws</t>
  </si>
  <si>
    <t>AI Nili-Ravi Sexed Straws</t>
  </si>
  <si>
    <t>Buffalo Cover Nili-Ravi Sexed</t>
  </si>
  <si>
    <t>HF Tested</t>
  </si>
  <si>
    <t>HF Found Postive</t>
  </si>
  <si>
    <t>Jersey Tested</t>
  </si>
  <si>
    <t>Jersey Found Postive</t>
  </si>
  <si>
    <t>Cross Breed Tested</t>
  </si>
  <si>
    <t>Cross Breed Found Postive</t>
  </si>
  <si>
    <t>Sahiwal Cow Tested</t>
  </si>
  <si>
    <t>Sahiwal Found Postive</t>
  </si>
  <si>
    <t>HF ETT Tested</t>
  </si>
  <si>
    <t>HF ETT Found Postive</t>
  </si>
  <si>
    <t>Jessey ETT Tested</t>
  </si>
  <si>
    <t>Jessey ETT Found Postive</t>
  </si>
  <si>
    <t>Sexed HF Tested</t>
  </si>
  <si>
    <t>Sexed HF Found Postive</t>
  </si>
  <si>
    <t>Jersey Sexed Tested</t>
  </si>
  <si>
    <t>Jersey Sexed Found Positive</t>
  </si>
  <si>
    <t>CB Sexed Tested</t>
  </si>
  <si>
    <t>CB Sexed Found Positive</t>
  </si>
  <si>
    <t>sahiwal Sexed Tested</t>
  </si>
  <si>
    <t>sahiwal Sexed found positive</t>
  </si>
  <si>
    <t>Murrah Tested</t>
  </si>
  <si>
    <t>Murrah Found Postive</t>
  </si>
  <si>
    <t>Nili Ravi Tested</t>
  </si>
  <si>
    <t>Nili Found Postive</t>
  </si>
  <si>
    <t>Sexed MU Tested</t>
  </si>
  <si>
    <t>Sexed MU Found Postive</t>
  </si>
  <si>
    <t>Nilli-ravi Sexed  tested</t>
  </si>
  <si>
    <t>Nilli-ravi Sexed  found Positive</t>
  </si>
  <si>
    <t>Other 2 Tested</t>
  </si>
  <si>
    <t>Other 2 Found Positive</t>
  </si>
  <si>
    <t>HF Male Calves</t>
  </si>
  <si>
    <t>HF female Calves</t>
  </si>
  <si>
    <t>Jersey Male Calves</t>
  </si>
  <si>
    <t>Jersey female Calves</t>
  </si>
  <si>
    <t>Cross Breed Male Calves</t>
  </si>
  <si>
    <t>Cross Breed female Calves</t>
  </si>
  <si>
    <t>Sahiwal Male Calves</t>
  </si>
  <si>
    <t>Sahiwal female Calves</t>
  </si>
  <si>
    <t>HF ETT Male Calves</t>
  </si>
  <si>
    <t>HF ETT female Calves</t>
  </si>
  <si>
    <t>Jersey ETT Male Calves</t>
  </si>
  <si>
    <t>Jersey ETT female Calves</t>
  </si>
  <si>
    <t>Sexed HF Male Calves</t>
  </si>
  <si>
    <t>Sexed HF female Calves</t>
  </si>
  <si>
    <t>Jersey Sexed Male Calves</t>
  </si>
  <si>
    <t>Jersey Sexed female Calves</t>
  </si>
  <si>
    <t>CB Sexed Male Calves</t>
  </si>
  <si>
    <t>CB Sexed female Calves</t>
  </si>
  <si>
    <t>Sahiwal Sexed Male Calves</t>
  </si>
  <si>
    <t>Sahiwal Sexed female Calves</t>
  </si>
  <si>
    <t>Murrah Male Calves</t>
  </si>
  <si>
    <t>Murrah Female Calves</t>
  </si>
  <si>
    <t>Nili Ravi Male Calves</t>
  </si>
  <si>
    <t>Nili Ravi Female Calves</t>
  </si>
  <si>
    <t>Sexed MU Male Calves</t>
  </si>
  <si>
    <t>Sexed MU female Calves</t>
  </si>
  <si>
    <t>Nilli-Ravi Sexed Male Calves</t>
  </si>
  <si>
    <t>Nilli-Ravi Sexed female Calves</t>
  </si>
  <si>
    <t>Other 1 Male Calves</t>
  </si>
  <si>
    <t>Other 1 Female Calves</t>
  </si>
  <si>
    <t>Other 2 Male Calves</t>
  </si>
  <si>
    <t>Other 2 Female Calves</t>
  </si>
  <si>
    <t>HF Straws Received This Month</t>
  </si>
  <si>
    <t>Jesey Straws Received This Month</t>
  </si>
  <si>
    <t>Cross Breed Straws Received This Month</t>
  </si>
  <si>
    <t>Sahiwal Straws Received This Month</t>
  </si>
  <si>
    <t>HF ETT Straws Received This Month</t>
  </si>
  <si>
    <t>Jersey ETT Straws Received This Month</t>
  </si>
  <si>
    <t>Sexed HF Straws Received This Month</t>
  </si>
  <si>
    <t>Jersey Sexed Straws Received This Month</t>
  </si>
  <si>
    <t>CB Sexed Straws Received This Month</t>
  </si>
  <si>
    <t>Sahiwal Sexed Straws Received This Month</t>
  </si>
  <si>
    <t>Murrah Recieved This Month</t>
  </si>
  <si>
    <t>Nili Ravi Straws Received This Month</t>
  </si>
  <si>
    <t>MU Sexed Straws Received This Month</t>
  </si>
  <si>
    <t>Nilli-Ravi Sexed Straws Received This Month</t>
  </si>
  <si>
    <t>Other 1 Received This Month</t>
  </si>
  <si>
    <t>Other 2 Straws Received This Month</t>
  </si>
  <si>
    <t>HF Straws Issued to AIW This Month</t>
  </si>
  <si>
    <t>Jersey Straws Issued To AIW This Month</t>
  </si>
  <si>
    <t>Cross Breed Straws Issued to AIW during Month</t>
  </si>
  <si>
    <t>Sahiwal Straws Issued to AIW during Month</t>
  </si>
  <si>
    <t>HF ETT Straws Issued to AIW during Month</t>
  </si>
  <si>
    <t>Jersey ETT Straws Issued to AIW during Month</t>
  </si>
  <si>
    <t>Sexed HF Straws Issued to AIW during Month</t>
  </si>
  <si>
    <t>Jersey Sexed Straws Issued to AIW This Month</t>
  </si>
  <si>
    <t>CB Sexed Straws Issued to AIW This Month</t>
  </si>
  <si>
    <t>Sahiwal Sexed Straws Issued to AIW This Month</t>
  </si>
  <si>
    <t>Murrah Straws Issued to AIW during Month</t>
  </si>
  <si>
    <t>Nili Ravi Straws Issued to AIW during Month</t>
  </si>
  <si>
    <t>Sexed MU Straws Issued to AIW during Month</t>
  </si>
  <si>
    <t>Nilli-Ravi Sexed Straws Issued to AIW This Month</t>
  </si>
  <si>
    <t xml:space="preserve">
other 1 Issued to AIW during Month</t>
  </si>
  <si>
    <t>Other 2 Straws Issued to AIW during Month</t>
  </si>
  <si>
    <t>No. of School Lect</t>
  </si>
  <si>
    <t>Jesey Straws Used INAPH during month</t>
  </si>
  <si>
    <t>No of Students</t>
  </si>
  <si>
    <t>Sahiwal Straws Used INAPH during month</t>
  </si>
  <si>
    <t>HF ETT Straws Used INAPH during month</t>
  </si>
  <si>
    <t>Jersey ETT Straws Used INAPH This month</t>
  </si>
  <si>
    <t>HF Sexed Straws Used INAPH during month</t>
  </si>
  <si>
    <t>Jersey Sexed Straws Used INAPH during month</t>
  </si>
  <si>
    <t>CB Sexed Straws Used INAPH during month</t>
  </si>
  <si>
    <t>Sahiwal Sexed Straws Used INAPH during month</t>
  </si>
  <si>
    <t>Murrah Straws Used INAPH This month</t>
  </si>
  <si>
    <t>Nili Ravi Straws Used INAPH This month</t>
  </si>
  <si>
    <t>MU Sexed Straws Used INAPH during month</t>
  </si>
  <si>
    <t>Nili Ravi Sexed INAPH during</t>
  </si>
  <si>
    <t>Other 1 INAPH</t>
  </si>
  <si>
    <t>Other 2 INAPH</t>
  </si>
  <si>
    <t>Fecal Test</t>
  </si>
  <si>
    <t>Blood Test</t>
  </si>
  <si>
    <t>Urine Test</t>
  </si>
  <si>
    <t>Milk Test</t>
  </si>
  <si>
    <t>reciept number</t>
  </si>
  <si>
    <t xml:space="preserve"> </t>
  </si>
  <si>
    <t xml:space="preserve">Monthly Report of </t>
  </si>
  <si>
    <t>From</t>
  </si>
  <si>
    <t>To</t>
  </si>
  <si>
    <t>OUTDOOR CASE REPORT</t>
  </si>
  <si>
    <t>Total New OPD</t>
  </si>
  <si>
    <t>Total New Case Treated including Gaushala /camp</t>
  </si>
  <si>
    <t>Total Old Case Treated</t>
  </si>
  <si>
    <t>VACCINATION REPORT</t>
  </si>
  <si>
    <r>
      <rPr>
        <rFont val="Inconsolata"/>
        <b/>
        <color rgb="FF0B5394"/>
        <sz val="12.0"/>
      </rPr>
      <t xml:space="preserve"> A.I. WITH </t>
    </r>
    <r>
      <rPr>
        <rFont val="Inconsolata"/>
        <b/>
        <i/>
        <color rgb="FF0B5394"/>
        <sz val="12.0"/>
      </rPr>
      <t>FROZEN</t>
    </r>
    <r>
      <rPr>
        <rFont val="Inconsolata"/>
        <b/>
        <color rgb="FF0B5394"/>
        <sz val="12.0"/>
      </rPr>
      <t xml:space="preserve"> SEMEN IN COWS</t>
    </r>
  </si>
  <si>
    <t>Total AI Done</t>
  </si>
  <si>
    <t>Total ETT AI Done</t>
  </si>
  <si>
    <t>Total Sexed AI Done</t>
  </si>
  <si>
    <t>Pregnancy Diagnosis of AI in Cows</t>
  </si>
  <si>
    <t>CALVES Born From AI in Cows</t>
  </si>
  <si>
    <t>A.I. done in Buffalos</t>
  </si>
  <si>
    <t>Pregnancy Diagnosis of AI in Buffalos</t>
  </si>
  <si>
    <t>CALVES Born From AI Buffalos</t>
  </si>
  <si>
    <t>Total Buff AI Done</t>
  </si>
  <si>
    <t>Total Buff  Sexed AI Done</t>
  </si>
  <si>
    <t>Account of STRAW Record During Month</t>
  </si>
  <si>
    <t>HF Straws</t>
  </si>
  <si>
    <t>Jersey Straws</t>
  </si>
  <si>
    <t>Cross Breed Straws</t>
  </si>
  <si>
    <t>Sahiwal Straws</t>
  </si>
  <si>
    <t>HF ETT Straws</t>
  </si>
  <si>
    <t>Jersey ETT Straws</t>
  </si>
  <si>
    <t>Sexed HF</t>
  </si>
  <si>
    <t>Sexed Jersey</t>
  </si>
  <si>
    <t>Sexed CB</t>
  </si>
  <si>
    <t>Sexed Sahiwal</t>
  </si>
  <si>
    <t>Nilli-Ravi Straws</t>
  </si>
  <si>
    <t>Sexed MU</t>
  </si>
  <si>
    <t>Sexed Nili-Ravi</t>
  </si>
  <si>
    <t>Other1</t>
  </si>
  <si>
    <t>Last Year Balance</t>
  </si>
  <si>
    <t>Last Month Balance</t>
  </si>
  <si>
    <t>Recieved This month</t>
  </si>
  <si>
    <t>Used Local AI This Month</t>
  </si>
  <si>
    <t>Used INAPH This Month</t>
  </si>
  <si>
    <t>Issued To AIW This Month</t>
  </si>
  <si>
    <t>Recieved This Year</t>
  </si>
  <si>
    <t>Used Local AI This Year</t>
  </si>
  <si>
    <t>Used INAPH This Year</t>
  </si>
  <si>
    <t>Issued To AIW This Year</t>
  </si>
  <si>
    <t>Balance In Hand</t>
  </si>
  <si>
    <t>Lab test report</t>
  </si>
  <si>
    <t>Faecal test</t>
  </si>
  <si>
    <t>Fee</t>
  </si>
  <si>
    <t>Total fees</t>
  </si>
  <si>
    <t>During the Month</t>
  </si>
  <si>
    <t>PROG T.</t>
  </si>
  <si>
    <t>TOTAL FEE DEPOSITED</t>
  </si>
  <si>
    <t>OPD</t>
  </si>
  <si>
    <t>OPD DOGS</t>
  </si>
  <si>
    <t>CAST</t>
  </si>
  <si>
    <t>PD</t>
  </si>
  <si>
    <t>LAB</t>
  </si>
  <si>
    <t>HC</t>
  </si>
  <si>
    <t>Post Mortem</t>
  </si>
  <si>
    <t>TOTAL</t>
  </si>
  <si>
    <t>COWS</t>
  </si>
  <si>
    <t>ETT</t>
  </si>
  <si>
    <t>Sexed Cow</t>
  </si>
  <si>
    <t>BUFF</t>
  </si>
  <si>
    <t>Sexed Buff</t>
  </si>
  <si>
    <t>TOTAL AI  FEE</t>
  </si>
  <si>
    <t>GRAND TOTAL</t>
  </si>
  <si>
    <t>Grand Total</t>
  </si>
  <si>
    <t>Slip Number</t>
  </si>
  <si>
    <t>Dated -</t>
  </si>
  <si>
    <t>Dispach -</t>
  </si>
  <si>
    <t>Tehsil - Talwandi Sabo</t>
  </si>
  <si>
    <t>p</t>
  </si>
  <si>
    <t>Monthly Report of  Tehsil</t>
  </si>
  <si>
    <r>
      <rPr>
        <rFont val="Inconsolata"/>
        <b/>
        <color rgb="FF0B5394"/>
        <sz val="12.0"/>
      </rPr>
      <t xml:space="preserve"> A.I. WITH </t>
    </r>
    <r>
      <rPr>
        <rFont val="Inconsolata"/>
        <b/>
        <i/>
        <color rgb="FF0B5394"/>
        <sz val="12.0"/>
      </rPr>
      <t>FROZEN</t>
    </r>
    <r>
      <rPr>
        <rFont val="Inconsolata"/>
        <b/>
        <color rgb="FF0B5394"/>
        <sz val="12.0"/>
      </rPr>
      <t xml:space="preserve"> SEMEN IN COWS</t>
    </r>
  </si>
  <si>
    <t>`</t>
  </si>
  <si>
    <t>AI Workers</t>
  </si>
  <si>
    <r>
      <rPr>
        <rFont val="Inconsolata"/>
        <b/>
        <color rgb="FF0B5394"/>
        <sz val="12.0"/>
      </rPr>
      <t xml:space="preserve"> A.I. WITH </t>
    </r>
    <r>
      <rPr>
        <rFont val="Inconsolata"/>
        <b/>
        <i/>
        <color rgb="FF0B5394"/>
        <sz val="12.0"/>
      </rPr>
      <t>FROZEN</t>
    </r>
    <r>
      <rPr>
        <rFont val="Inconsolata"/>
        <b/>
        <color rgb="FF0B5394"/>
        <sz val="12.0"/>
      </rPr>
      <t xml:space="preserve"> SEMEN IN COWS BY PAIW</t>
    </r>
  </si>
  <si>
    <t>Cow Cover HF</t>
  </si>
  <si>
    <t>Cow Cover Jersey</t>
  </si>
  <si>
    <t>Cow Cover Cross Breed</t>
  </si>
  <si>
    <t>AI  Sahiwal Straws</t>
  </si>
  <si>
    <t>Cow Cover Sahiwal</t>
  </si>
  <si>
    <t>Cow Cover  HF ETT</t>
  </si>
  <si>
    <t>Cow Cover Jersey ETT</t>
  </si>
  <si>
    <t>AI HF sexed Straws</t>
  </si>
  <si>
    <t>Cow Cover HF Sexed</t>
  </si>
  <si>
    <t>Cow Cover Cross Breed Sexed</t>
  </si>
  <si>
    <t>Pregnancy Diagnosis of AI in Cows By PAIW</t>
  </si>
  <si>
    <t>HF Cow Tested</t>
  </si>
  <si>
    <t>HF Cow Found Positive</t>
  </si>
  <si>
    <t>Jersey Cow Tested</t>
  </si>
  <si>
    <t>Jersey Cow Found Positive</t>
  </si>
  <si>
    <t>Cross Breed Cow Tested</t>
  </si>
  <si>
    <t>Cross Breed Cow Found Positive</t>
  </si>
  <si>
    <t>Sahiwal Cow Found Positive</t>
  </si>
  <si>
    <t>HF ETT  Tested</t>
  </si>
  <si>
    <t>HF ETT Cow Found Positive</t>
  </si>
  <si>
    <t>Jarsey ETT Tested</t>
  </si>
  <si>
    <t>Jersey ETT Found Positive</t>
  </si>
  <si>
    <t>HF Sexed Tested</t>
  </si>
  <si>
    <t>HF Sexed Found Positive</t>
  </si>
  <si>
    <t>CALVES Born From AI in Cows By PAIW</t>
  </si>
  <si>
    <t>HF Sexed Male Calves</t>
  </si>
  <si>
    <t>HF Sexed female Calves</t>
  </si>
  <si>
    <t>A.I. done in Buffalos By PAIW</t>
  </si>
  <si>
    <t>AI Done Murrah Straws</t>
  </si>
  <si>
    <t>Buffalo Cover Murrah</t>
  </si>
  <si>
    <t>AI Done Nili-Ravi Straws</t>
  </si>
  <si>
    <t>Buffalo Cover Nili-Ravi</t>
  </si>
  <si>
    <t>AI Murrah Sexed Straws</t>
  </si>
  <si>
    <t>Cover Murrah Sexed</t>
  </si>
  <si>
    <t>Pregnancy Diagnosis of AI in Buffalos By PAIW</t>
  </si>
  <si>
    <t>CALVES Born From AI Buffalos By PAIW</t>
  </si>
  <si>
    <t>Murah Tested</t>
  </si>
  <si>
    <t>Murrah Found Positive</t>
  </si>
  <si>
    <t>Nili-Ravi Found Positive</t>
  </si>
  <si>
    <t>Murrah Sexed Tested</t>
  </si>
  <si>
    <t>Murrah Sexed  Found Positive</t>
  </si>
  <si>
    <t>Murrah Sexed Male Calves</t>
  </si>
  <si>
    <t>Murrah Sexed female Calves</t>
  </si>
  <si>
    <t>Total During the Month</t>
  </si>
  <si>
    <t>Progressive Total</t>
  </si>
  <si>
    <t>Total Fee of month</t>
  </si>
  <si>
    <t>PROGRESSIVE TOTAL</t>
  </si>
  <si>
    <t>Total fee of month</t>
  </si>
  <si>
    <t>Recieved This month Institutes</t>
  </si>
  <si>
    <t>Used Local AI Institute This Month</t>
  </si>
  <si>
    <t>Used By AI Worker This Month</t>
  </si>
  <si>
    <t>Issued To AIW This Month by Institute</t>
  </si>
  <si>
    <t>Recieved This Year Institute</t>
  </si>
  <si>
    <t>Used Local AI Institute This Year</t>
  </si>
  <si>
    <t>Used by AI Worker This Year</t>
  </si>
  <si>
    <t>DEPARTMENT OF ANIMAL HUSBANDRY, PUNJAB  Monthly Report of  Tehsil</t>
  </si>
  <si>
    <t>FROM</t>
  </si>
  <si>
    <t>DISTRICT</t>
  </si>
  <si>
    <t>BATHINDA</t>
  </si>
  <si>
    <t>TEHSIL</t>
  </si>
  <si>
    <t>OFFICE</t>
  </si>
  <si>
    <t>MONTH</t>
  </si>
  <si>
    <t>YEAR</t>
  </si>
  <si>
    <t>ANIMAL</t>
  </si>
  <si>
    <t>SEMEN TYPE</t>
  </si>
  <si>
    <t>BREEDWISE SEMEN</t>
  </si>
  <si>
    <t>OLD STOCK OF SEMEN</t>
  </si>
  <si>
    <t>SEMEN RECEIVED</t>
  </si>
  <si>
    <t xml:space="preserve">TOTAL SEMEN AVAILABLE   </t>
  </si>
  <si>
    <t>ARTIFICIAL INSEMINATION DONE</t>
  </si>
  <si>
    <t>BALANCE STOCK OF SEMEN</t>
  </si>
  <si>
    <t>ANIMALS COVERED</t>
  </si>
  <si>
    <t>Animal Covered (3 month prior)</t>
  </si>
  <si>
    <t>PREGNANCY DIAGNOSIS</t>
  </si>
  <si>
    <t>Animal Positive (7 for cow, 8 for buf month prior)</t>
  </si>
  <si>
    <t>CALVES BORN</t>
  </si>
  <si>
    <t>DEPTARTMENT</t>
  </si>
  <si>
    <t>Pvt. A.I.
 WORKER</t>
  </si>
  <si>
    <t>TESTED</t>
  </si>
  <si>
    <t>POSITIVE</t>
  </si>
  <si>
    <t>MALE</t>
  </si>
  <si>
    <t>FEMALE</t>
  </si>
  <si>
    <t>COW</t>
  </si>
  <si>
    <t>LOCAL FROZEN SEMEN</t>
  </si>
  <si>
    <t>HF @25</t>
  </si>
  <si>
    <t>Jersy @25</t>
  </si>
  <si>
    <t>HFC @25</t>
  </si>
  <si>
    <t>Sahiwal @25</t>
  </si>
  <si>
    <t>Gir @25</t>
  </si>
  <si>
    <t>MONTHLY TOTAL</t>
  </si>
  <si>
    <t>NA</t>
  </si>
  <si>
    <t>HF Imp @35</t>
  </si>
  <si>
    <t>HF ETT @35</t>
  </si>
  <si>
    <t>Jersy Imp @35</t>
  </si>
  <si>
    <t>Gir@550</t>
  </si>
  <si>
    <t>Gir@750</t>
  </si>
  <si>
    <t>HF Imp @50</t>
  </si>
  <si>
    <t>ABIP-SS</t>
  </si>
  <si>
    <t>HF @250</t>
  </si>
  <si>
    <t>Jersy @250</t>
  </si>
  <si>
    <t>Crossbred @250</t>
  </si>
  <si>
    <t>Sahiwal @250</t>
  </si>
  <si>
    <t>COW MONTHLY TOTAL</t>
  </si>
  <si>
    <t>COW PROGRESSIVE TOTAL</t>
  </si>
  <si>
    <t>BUFFALO</t>
  </si>
  <si>
    <t>Murrah @25</t>
  </si>
  <si>
    <t>Nili Ravi @25</t>
  </si>
  <si>
    <t>Murrah @250</t>
  </si>
  <si>
    <t>Nili Ravi @250</t>
  </si>
  <si>
    <t>BUFFALO MONTHLY TOTAL</t>
  </si>
  <si>
    <t>BUFFALO PROGRESSIVE TOTAL</t>
  </si>
  <si>
    <t>DEPARTMENT OF ANIMAL HUSBANDRY, PUNJAB</t>
  </si>
  <si>
    <t>OPD &amp; OTHER</t>
  </si>
  <si>
    <t>Species</t>
  </si>
  <si>
    <t>Paid Pregnancy Diagnosis</t>
  </si>
  <si>
    <t>Castration</t>
  </si>
  <si>
    <t>Operation</t>
  </si>
  <si>
    <t>Obstetrical cases</t>
  </si>
  <si>
    <t>Health Certificate</t>
  </si>
  <si>
    <t>Post-mortem</t>
  </si>
  <si>
    <t>Export Certificate</t>
  </si>
  <si>
    <t>New Cases</t>
  </si>
  <si>
    <t>Old Cases</t>
  </si>
  <si>
    <t>Minor</t>
  </si>
  <si>
    <t>Major</t>
  </si>
  <si>
    <t>Total</t>
  </si>
  <si>
    <t>Equine</t>
  </si>
  <si>
    <t>Large Animal</t>
  </si>
  <si>
    <t>Bovine</t>
  </si>
  <si>
    <t>Small Animal (Sheep/Goat/Pig)</t>
  </si>
  <si>
    <t>Small Animal
(Sheep/Goat/Pig)</t>
  </si>
  <si>
    <t>Small Animal
(Sheep,Goat&amp;Pig)</t>
  </si>
  <si>
    <t>Cat &amp; Dog</t>
  </si>
  <si>
    <t>Cat &amp; Dog Vetro L</t>
  </si>
  <si>
    <t>Poultry Bird
 (1 to 5000)</t>
  </si>
  <si>
    <t>Veterolegal</t>
  </si>
  <si>
    <t>Birds</t>
  </si>
  <si>
    <t>other</t>
  </si>
  <si>
    <t>Poultry Bird
 (Above 5000)</t>
  </si>
  <si>
    <t>Poultry per
 Bird</t>
  </si>
  <si>
    <t>Other</t>
  </si>
  <si>
    <t>Monthly Total</t>
  </si>
  <si>
    <t>Monthly
Total</t>
  </si>
  <si>
    <t>LAB &amp;
 EXTENSION REPORT</t>
  </si>
  <si>
    <t>LABORATORY REPORT</t>
  </si>
  <si>
    <t>EXTENTION REPORT</t>
  </si>
  <si>
    <t>BLOOD TEST</t>
  </si>
  <si>
    <t>FECAL TEST</t>
  </si>
  <si>
    <t>MILK TEST</t>
  </si>
  <si>
    <t>URINE TEST</t>
  </si>
  <si>
    <t>SANCTIONED POSTS OF VO</t>
  </si>
  <si>
    <t>VO IN POSITION</t>
  </si>
  <si>
    <t>FARMER AWARENESS AND ANIMAL WELFARE</t>
  </si>
  <si>
    <t>CAMP UNDER ANY SCHEME
Gausala</t>
  </si>
  <si>
    <t>ANIMAL HUSBANDRY AWARENESS LECTURES
 AT SCHOOLS</t>
  </si>
  <si>
    <t>No. of Camps Held</t>
  </si>
  <si>
    <t>No. of Villages Covered</t>
  </si>
  <si>
    <t>No. of Farmers Attended</t>
  </si>
  <si>
    <t>No. of Animals Treated</t>
  </si>
  <si>
    <t>NO. OF LECTURES</t>
  </si>
  <si>
    <t>NO. OF STUDENTS ATTENDED</t>
  </si>
  <si>
    <t>Vaccine</t>
  </si>
  <si>
    <t>Vaccine Old Stock
 (No. of Doses)</t>
  </si>
  <si>
    <t>Vaccine recieved during month (No. of Doses)</t>
  </si>
  <si>
    <t>Progressive vaccine recieved
 (No. of Doses)</t>
  </si>
  <si>
    <t>Vaccine used during month (No. of Doses)</t>
  </si>
  <si>
    <t>Progressive vaccine used (No. of Doses)</t>
  </si>
  <si>
    <t>Vaccine Balance
 (No. of Doses)</t>
  </si>
  <si>
    <t>NUMBER OF ANIMAL VACCINATED</t>
  </si>
  <si>
    <t>Cattle</t>
  </si>
  <si>
    <t>Buffalo</t>
  </si>
  <si>
    <t>Cattle Calves (Booster)</t>
  </si>
  <si>
    <t>Buffalo Calves (Booster)</t>
  </si>
  <si>
    <t>Pigs</t>
  </si>
  <si>
    <t>Goat</t>
  </si>
  <si>
    <t>Sheep</t>
  </si>
  <si>
    <t>Poultry</t>
  </si>
  <si>
    <t>Dogs</t>
  </si>
  <si>
    <t>(HS) vaccine</t>
  </si>
  <si>
    <t>(BQ) vaccine</t>
  </si>
  <si>
    <t>(LSD) vaccine</t>
  </si>
  <si>
    <t>(FMD) vaccine</t>
  </si>
  <si>
    <t>Brucellosis Vaccine</t>
  </si>
  <si>
    <t>(PPR) vaccine</t>
  </si>
  <si>
    <t>(ET) vaccine</t>
  </si>
  <si>
    <t>Swine Fever (CSF) vaccine</t>
  </si>
  <si>
    <t>Ranikhet F-1 vaccine</t>
  </si>
  <si>
    <t>Ranikhet R-2B vaccine</t>
  </si>
  <si>
    <t>Poultry Fowl Pox vaccine</t>
  </si>
  <si>
    <t>Anti Rabies (AR) vaccine</t>
  </si>
  <si>
    <t>Senoior Veterinary officer</t>
  </si>
  <si>
    <t>OFFICE:</t>
  </si>
  <si>
    <t>Beneficiary Report</t>
  </si>
  <si>
    <t>MM/YYYY:</t>
  </si>
  <si>
    <t>S.No.</t>
  </si>
  <si>
    <t>Name of Services</t>
  </si>
  <si>
    <t>No. of farmers benefitted</t>
  </si>
  <si>
    <t>Artificial Insemination Cow</t>
  </si>
  <si>
    <t>Haemorrhagic Septicaemia (HS) vaccine</t>
  </si>
  <si>
    <t>Artificial Insemination Buffalo</t>
  </si>
  <si>
    <t>Black Quarter (BQ) vaccine</t>
  </si>
  <si>
    <t>Pregnancy Diagnosis Cow</t>
  </si>
  <si>
    <t>Lumpy Skin Disease (LSD) vaccine</t>
  </si>
  <si>
    <t>Pregnancy Diagnosis Buffalo</t>
  </si>
  <si>
    <t>Foot and Mouth Disease (FMD) vaccine</t>
  </si>
  <si>
    <t>O.P.D</t>
  </si>
  <si>
    <t>Peste des Petits Ruminants (PPR) vaccine</t>
  </si>
  <si>
    <t>Enterotoxaemia (ET) vaccine</t>
  </si>
  <si>
    <t>Cats &amp; Dogs</t>
  </si>
  <si>
    <t>Classical Swine Fever (CSF) vaccine</t>
  </si>
  <si>
    <t>Castrations</t>
  </si>
  <si>
    <t>Major Operation</t>
  </si>
  <si>
    <t>Minor Operation</t>
  </si>
  <si>
    <t>Minor Obstetrical Cases</t>
  </si>
  <si>
    <t>Major Obstetrical Cases</t>
  </si>
  <si>
    <t>Laboratory</t>
  </si>
  <si>
    <t>Camps</t>
  </si>
  <si>
    <t>School Lectures</t>
  </si>
  <si>
    <t>Kisan Credit Card</t>
  </si>
  <si>
    <t>Monthly Fees Receipt Register All Institute Tehsil Talwandi Sabo</t>
  </si>
  <si>
    <t>S.No</t>
  </si>
  <si>
    <t>Name Of Institute</t>
  </si>
  <si>
    <t xml:space="preserve">Cow Sexed </t>
  </si>
  <si>
    <t>CVH Wise Total</t>
  </si>
  <si>
    <t/>
  </si>
  <si>
    <t>Fees Receipt For Artifical OPD Cases</t>
  </si>
  <si>
    <t>No. of Cases</t>
  </si>
  <si>
    <t>Outdoor cases fees ( Large Animals)</t>
  </si>
  <si>
    <t>Outdoor cases fees ( Small Animals)</t>
  </si>
  <si>
    <t>PD fees</t>
  </si>
  <si>
    <t>Castration Fee</t>
  </si>
  <si>
    <t>Health Certificate Fees ( Small Animals)</t>
  </si>
  <si>
    <t>Health Certificate Fees ( Large Animals)</t>
  </si>
  <si>
    <t>Post Mortum Fees</t>
  </si>
  <si>
    <t>Lab Tests Fees</t>
  </si>
  <si>
    <t>Draft Number..........................   ,  Date........................</t>
  </si>
  <si>
    <t>Draft issued To - DDAH Bathinda</t>
  </si>
  <si>
    <t>Fees Receipt For Artifical Insemination</t>
  </si>
  <si>
    <t>AI Cow Fee (Local Straws)</t>
  </si>
  <si>
    <t>AI Cow Fee (ETT Straws)</t>
  </si>
  <si>
    <t>AI Cow Fee (Imp Straws)</t>
  </si>
  <si>
    <t>AI Sexed Fee Cow</t>
  </si>
  <si>
    <t>AI Buff Fee</t>
  </si>
  <si>
    <t>AI Buffalo Sexed</t>
  </si>
  <si>
    <t xml:space="preserve">Total AI Fees </t>
  </si>
  <si>
    <t>Check Number ...........................   ,    Date...........................</t>
  </si>
  <si>
    <t>Check Issued To Deputy CEO cum DDAH Bathinda</t>
  </si>
  <si>
    <t>Balance at Date</t>
  </si>
  <si>
    <t xml:space="preserve">H.S. Vaccine </t>
  </si>
  <si>
    <t>FMD. Vaccine Doses</t>
  </si>
  <si>
    <t xml:space="preserve">Black Quarter </t>
  </si>
  <si>
    <t xml:space="preserve">Brucellosis Vaccine </t>
  </si>
  <si>
    <t>Entero Toximia Vaccine</t>
  </si>
  <si>
    <t>Swine Fever Vaccine</t>
  </si>
  <si>
    <t>Goat Pox Vaccine</t>
  </si>
  <si>
    <t>PPR Vaccine</t>
  </si>
  <si>
    <t>Jesey Straws</t>
  </si>
  <si>
    <t>Sexed HF Straws</t>
  </si>
  <si>
    <t>Jersey Sexed Straws</t>
  </si>
  <si>
    <t>CB Sexed Straws</t>
  </si>
  <si>
    <t>Sahiwal Sexed Straws</t>
  </si>
  <si>
    <t>Murrah</t>
  </si>
  <si>
    <t>Nili Ravi Straws</t>
  </si>
  <si>
    <t>MU Sexed Straws</t>
  </si>
  <si>
    <t>Nilli-Ravi Sexed Straws</t>
  </si>
  <si>
    <t>ToTotal</t>
  </si>
  <si>
    <t>Org Id</t>
  </si>
  <si>
    <t>Pass</t>
  </si>
  <si>
    <t>Report From</t>
  </si>
  <si>
    <t>All Sum of Tehsil Talwandi Sabo</t>
  </si>
  <si>
    <t xml:space="preserve">NEW CASES EQUINE  </t>
  </si>
  <si>
    <t>NEW CASES BOVINE</t>
  </si>
  <si>
    <t>NEW CASES OTHERS</t>
  </si>
  <si>
    <t>NEW CASES DOGS</t>
  </si>
  <si>
    <t xml:space="preserve">OLD CASES EQUINE </t>
  </si>
  <si>
    <t>OLD CASES BOVINE</t>
  </si>
  <si>
    <t>OLD CASES OTHERS</t>
  </si>
  <si>
    <t>OLD CASES DOGS</t>
  </si>
  <si>
    <t xml:space="preserve">TREATED IN  CAMP EQUINE </t>
  </si>
  <si>
    <t>TREATED IN  CAMP BOVINE</t>
  </si>
  <si>
    <t>TREATED IN  CAMP OTHERS</t>
  </si>
  <si>
    <t>TREATED IN  CAMP DOGS</t>
  </si>
  <si>
    <t>BOVINE CASTRATIONS</t>
  </si>
  <si>
    <t>OTHERS CASTRATIONS</t>
  </si>
  <si>
    <t>Number of Pregnancy Diagnosis (OTHER THEN FALLOWUP)</t>
  </si>
  <si>
    <t xml:space="preserve">Theilaria Vaccine Doses Received </t>
  </si>
  <si>
    <t>Theilaria Vaccine Doses Used</t>
  </si>
  <si>
    <t xml:space="preserve">Theilaria Vaccine Animal Vaccinated </t>
  </si>
  <si>
    <t xml:space="preserve">Rabies Vaccine Doses Received </t>
  </si>
  <si>
    <t>Rabies Vaccine Doses Used</t>
  </si>
  <si>
    <t xml:space="preserve">Rabies Vaccine Animal Vaccinated </t>
  </si>
  <si>
    <t>AI Done With HF Straws</t>
  </si>
  <si>
    <t>AI Done With Jersey Straws</t>
  </si>
  <si>
    <t>AI Done With Cross Breed Straws</t>
  </si>
  <si>
    <t>AI Done With Sahiwal Straws</t>
  </si>
  <si>
    <t>Cow Cover With HF Straws</t>
  </si>
  <si>
    <t>Cow Cover With Jersey Straws</t>
  </si>
  <si>
    <t>Cow Cover With Cross Breed Straws</t>
  </si>
  <si>
    <t>Cow Cover With Sahiwal Straws</t>
  </si>
  <si>
    <t>AI Done With HF ETT Straws</t>
  </si>
  <si>
    <t>AI Done With Jersey ETT Straws</t>
  </si>
  <si>
    <t>AI Done With Imported HF Straws</t>
  </si>
  <si>
    <t>AI Done With Imported Jersey Straws</t>
  </si>
  <si>
    <t>Cow Cover With HF ETT Straws</t>
  </si>
  <si>
    <t>Cow Cover With Jersey ETT Straws</t>
  </si>
  <si>
    <t>Cow Cover With Imported HF Straws</t>
  </si>
  <si>
    <t>Cow Cover With Imported Jersey Straws</t>
  </si>
  <si>
    <t>AI Done With Sexed Straws</t>
  </si>
  <si>
    <t>Cow Cover With Sexed Straws</t>
  </si>
  <si>
    <t>AI Done With Nili-Ravi Straws</t>
  </si>
  <si>
    <t>Buffalo Cover With Murrah Straws</t>
  </si>
  <si>
    <t>Buffalo Cover With Nili-Ravi Straws</t>
  </si>
  <si>
    <t>HF Cow Tested and Found Postive</t>
  </si>
  <si>
    <t>Jersey Cow Tested and Found Postive</t>
  </si>
  <si>
    <t>Cross Breed Cow Tested and Found Postive</t>
  </si>
  <si>
    <t>Sahiwal Cow Tested and Found Postive</t>
  </si>
  <si>
    <t>HF ETT Cow Tested</t>
  </si>
  <si>
    <t>HF ETT Cow Tested and Found Postive</t>
  </si>
  <si>
    <t>Jessey ETT Cow Tested</t>
  </si>
  <si>
    <t>Jessey ETT Cow Tested and Found Postive</t>
  </si>
  <si>
    <t>Imported HF Cow Tested</t>
  </si>
  <si>
    <t>Imported HF Cow Tested and Found Postive</t>
  </si>
  <si>
    <t>Imported Jersey Cow Tested</t>
  </si>
  <si>
    <t>Imported Jersey Cow Tested and Found Postive</t>
  </si>
  <si>
    <t>Sexed Semon Cows Tested</t>
  </si>
  <si>
    <t>Sexed Semon Cows Found Postive</t>
  </si>
  <si>
    <t>Murah Tested and Found Postive</t>
  </si>
  <si>
    <t>Nili Tested and Found Postive</t>
  </si>
  <si>
    <t>Jersey Cow female Calves</t>
  </si>
  <si>
    <t>Cross Breed Cow female Calves</t>
  </si>
  <si>
    <t>Imported HF Male Calves</t>
  </si>
  <si>
    <t>Imported HF female Calves</t>
  </si>
  <si>
    <t>Imported Jersey Male Calves</t>
  </si>
  <si>
    <t>Imported Jersey Cow female Calves</t>
  </si>
  <si>
    <t>Sexed Semon Cow Male Calves</t>
  </si>
  <si>
    <t>Sexed Semon Cow Female Calves</t>
  </si>
  <si>
    <t>HF Straws Used INAPH during month</t>
  </si>
  <si>
    <t>Cross Breed Straws Used INAPH during month</t>
  </si>
  <si>
    <t>Jersey ETT Straws Used INAPH during month</t>
  </si>
  <si>
    <t>Imported HF Straws Used INAPH during month</t>
  </si>
  <si>
    <t>Imported Jersey Straws Used INAPH during month</t>
  </si>
  <si>
    <t>Sexed Straws Used INAPH during month</t>
  </si>
  <si>
    <t>Murrah Straws Used INAPH during month</t>
  </si>
  <si>
    <t>Nili Ravi Straws Used INAPH during month</t>
  </si>
  <si>
    <t>HF Straws Issued to AIW during Month</t>
  </si>
  <si>
    <t>Jesey Straws Issued to AIW during Month</t>
  </si>
  <si>
    <t>Imported HF Straws Issued to AIW during Month</t>
  </si>
  <si>
    <t>Imported Jersey Straws Issued to AIW during Month</t>
  </si>
  <si>
    <t>Sexed Straws Issued to AIW during Month</t>
  </si>
  <si>
    <t>HF Straws Received During Month</t>
  </si>
  <si>
    <t>Jesey Straws Received During Month</t>
  </si>
  <si>
    <t>Cross Breed Straws Received During Month</t>
  </si>
  <si>
    <t>Sahiwal Straws Received During Month</t>
  </si>
  <si>
    <t>HF ETT Straws Received During Month</t>
  </si>
  <si>
    <t>Jersey ETT Straws Received During Month</t>
  </si>
  <si>
    <t>Imported HF Straws Received During Month</t>
  </si>
  <si>
    <t>Imported Jersey Straws Received During Month</t>
  </si>
  <si>
    <t>Sexed Straws Received During Month</t>
  </si>
  <si>
    <t>Murrah Straws Received During Month</t>
  </si>
  <si>
    <t>Nili Ravi Straws Received During Month</t>
  </si>
  <si>
    <t>This Month</t>
  </si>
  <si>
    <t>This Year</t>
  </si>
  <si>
    <t>Service Charges of this month</t>
  </si>
  <si>
    <t>OPD Case Fees</t>
  </si>
  <si>
    <t>OPD Case Dogs Fees</t>
  </si>
  <si>
    <t>Pregnency Diagnose Fee</t>
  </si>
  <si>
    <t>Health certificate Fee small animals</t>
  </si>
  <si>
    <t>Health certificate Fee Large animals</t>
  </si>
  <si>
    <t>Post Mortum Fee small animals</t>
  </si>
  <si>
    <t>Post Mortum Fee Large animals</t>
  </si>
  <si>
    <t>HS Vaccine fee</t>
  </si>
  <si>
    <t>FMD Vaccine Fee</t>
  </si>
  <si>
    <t>BQ Vaccine fee</t>
  </si>
  <si>
    <t>Brucellosis Vaccine Fee</t>
  </si>
  <si>
    <t>Theilaria Vaccine Fee</t>
  </si>
  <si>
    <t>LSD</t>
  </si>
  <si>
    <t>ETV vaccine Fee</t>
  </si>
  <si>
    <t>AI Cow Fee (Local semon)</t>
  </si>
  <si>
    <t>Ai Cow Fee (ETT Semon)</t>
  </si>
  <si>
    <t>AI  Fee Sexed</t>
  </si>
  <si>
    <t>AI Cow other</t>
  </si>
  <si>
    <t>AI Fee Buffalow</t>
  </si>
  <si>
    <t>Faecal test Fee</t>
  </si>
  <si>
    <t>Blood Test Fee</t>
  </si>
  <si>
    <t>Urine Test Fee</t>
  </si>
  <si>
    <t>Milk Test Fee</t>
  </si>
  <si>
    <t>Post Mortum Fee Vetro legal</t>
  </si>
  <si>
    <t>Institute Sum of Tehsil Talwandi Sabo</t>
  </si>
  <si>
    <t>Sum PAW of Tehsil Talwandi Sabo</t>
  </si>
  <si>
    <t xml:space="preserve">Sum of </t>
  </si>
  <si>
    <t>Post Mortem Vetro legal</t>
  </si>
  <si>
    <t>Rabies Vaccine Fee</t>
  </si>
  <si>
    <t>AI Cow Fee (Imported Semon)</t>
  </si>
  <si>
    <t>AI Cow Fee (Sexed Semon)</t>
  </si>
  <si>
    <t>Post Mortum Fee Vetro legal  dog</t>
  </si>
  <si>
    <t>This month</t>
  </si>
  <si>
    <t>Animals Cower 3 Month Ago</t>
  </si>
  <si>
    <t>That Month</t>
  </si>
  <si>
    <t>Cow Cover 9 Month and Buffalos Cover 10 Month Ago</t>
  </si>
  <si>
    <t>Fecal Test of Institute</t>
  </si>
  <si>
    <t>Month</t>
  </si>
  <si>
    <t>AI Cow Fee  (Imp Semon)</t>
  </si>
  <si>
    <t>Post Mortum Fee Vetro Legal</t>
  </si>
  <si>
    <t>Post Mortum Fee Vetro Legal birds</t>
  </si>
  <si>
    <t>Post Mortum Fee Vetro Legal Dog</t>
  </si>
  <si>
    <t xml:space="preserve">Fee Deposit Slip </t>
  </si>
  <si>
    <t xml:space="preserve">OPD Fee Deposited </t>
  </si>
  <si>
    <t>OPD FEE</t>
  </si>
  <si>
    <t>OPD FEE DOGS</t>
  </si>
  <si>
    <t>CAST FEE</t>
  </si>
  <si>
    <t>PD FEE</t>
  </si>
  <si>
    <t>LAB FEE</t>
  </si>
  <si>
    <t>HC FEE</t>
  </si>
  <si>
    <t>Post Mortem FEE</t>
  </si>
  <si>
    <t>TOTAL FEE TOTAL</t>
  </si>
  <si>
    <t>Artificial Insemination Fee Deposted</t>
  </si>
  <si>
    <t>AI COWS FEE</t>
  </si>
  <si>
    <t>AI COW ETT FEE</t>
  </si>
  <si>
    <t>Imported AI FEE</t>
  </si>
  <si>
    <t>AI Sexed Fee</t>
  </si>
  <si>
    <t>AI BUFF FEE</t>
  </si>
  <si>
    <t>AI Sexed Buf Fee</t>
  </si>
  <si>
    <t>AI FEE TOTAL</t>
  </si>
  <si>
    <t>Grand Total Fee</t>
  </si>
  <si>
    <t>Total Fee Deposited</t>
  </si>
  <si>
    <t>FMD Reporting</t>
  </si>
  <si>
    <t>URLS</t>
  </si>
  <si>
    <t>VARS</t>
  </si>
  <si>
    <t>Report 1 Tittle</t>
  </si>
  <si>
    <t xml:space="preserve">DEPLOYMENT </t>
  </si>
  <si>
    <t>https://script.google.com/macros/s/AKfycbwUYjJDMzyErjccnTyPyjHLP1-dcfRjVjOT_ohD1mbdJStVYKDUyZhVJ70zdWdecXwl/exec</t>
  </si>
  <si>
    <t>ERROR MAIL</t>
  </si>
  <si>
    <t>Report 1 user roles</t>
  </si>
  <si>
    <t>1,2,3</t>
  </si>
  <si>
    <t>Report 2 user roles</t>
  </si>
  <si>
    <t>1,2,3,4</t>
  </si>
  <si>
    <t>1 - CVH With Lab</t>
  </si>
  <si>
    <t>MONTHLY FORM</t>
  </si>
  <si>
    <t>https://docs.google.com/forms/u/0/d/e/1FAIpQLSdM4amZmfUi6jcU7VlLlmaUV3bu2F9HAji7UZDTbV93GO-zVA/formResponse</t>
  </si>
  <si>
    <t>Report 1 District</t>
  </si>
  <si>
    <r>
      <rPr>
        <rFont val="Arial"/>
        <color theme="1"/>
        <sz val="11.0"/>
      </rPr>
      <t>'</t>
    </r>
    <r>
      <rPr>
        <rFont val="Arial"/>
        <b/>
        <color theme="1"/>
        <sz val="11.0"/>
      </rPr>
      <t>Bathinda</t>
    </r>
    <r>
      <rPr>
        <rFont val="Arial"/>
        <color theme="1"/>
        <sz val="11.0"/>
      </rPr>
      <t>'</t>
    </r>
  </si>
  <si>
    <t>Report 2 District</t>
  </si>
  <si>
    <t>'Bathinda'</t>
  </si>
  <si>
    <t xml:space="preserve">2 - CVH </t>
  </si>
  <si>
    <t>REPORT 1 FORM</t>
  </si>
  <si>
    <t>https://docs.google.com/forms/d/e/1FAIpQLSfDq9Kno6RR2cFnsDDwoQU4oXY9JQPEfTCclrxYO_ozUS7FIA/formResponse</t>
  </si>
  <si>
    <t>Fields</t>
  </si>
  <si>
    <t>Values</t>
  </si>
  <si>
    <t>Fields 2</t>
  </si>
  <si>
    <t>Values 2</t>
  </si>
  <si>
    <t>3 - CVD</t>
  </si>
  <si>
    <t>REPORT 2 FORM</t>
  </si>
  <si>
    <t>https://docs.google.com/forms/d/e/1FAIpQLSdW-uWeWGB8LuUZlNocW9SwdLmw7528us97DVmIV2Oo1HzMuw/formResponse</t>
  </si>
  <si>
    <t>Label 1</t>
  </si>
  <si>
    <t>Number of calves vaccinated during the day (Primary)</t>
  </si>
  <si>
    <t>Artificial Insemination</t>
  </si>
  <si>
    <t>4 - PAW</t>
  </si>
  <si>
    <t>SEMEN BANK FORM</t>
  </si>
  <si>
    <t>https://docs.google.com/forms/d/e/1FAIpQLSdxdlk5QS7sSqZQ0dSrzLObFK8JWMHAM90IcPeGPxv45uwr5w/formResponse</t>
  </si>
  <si>
    <t>Hint 1</t>
  </si>
  <si>
    <t>Cow Calves</t>
  </si>
  <si>
    <t>Cow</t>
  </si>
  <si>
    <t>Attendance Report</t>
  </si>
  <si>
    <t>https://www.google.com/</t>
  </si>
  <si>
    <t>Label 2</t>
  </si>
  <si>
    <t>Hint 2</t>
  </si>
  <si>
    <t>Buffalo Calves</t>
  </si>
  <si>
    <t>Label 3</t>
  </si>
  <si>
    <t>Number of calves vaccinated during the day (Booster)</t>
  </si>
  <si>
    <t>Followup</t>
  </si>
  <si>
    <t>Hint 3</t>
  </si>
  <si>
    <t>Label 4</t>
  </si>
  <si>
    <t>Hint 4</t>
  </si>
  <si>
    <t>Label 5</t>
  </si>
  <si>
    <t>No. of adult Animals vaccinated during the day</t>
  </si>
  <si>
    <t>Hint 5</t>
  </si>
  <si>
    <t>Label 6</t>
  </si>
  <si>
    <t>Hint 6</t>
  </si>
  <si>
    <t>Label 7</t>
  </si>
  <si>
    <t>Number of Farmers covered on the day</t>
  </si>
  <si>
    <t>Hint 7</t>
  </si>
  <si>
    <t>Number of Farmers</t>
  </si>
  <si>
    <t>Label 8</t>
  </si>
  <si>
    <t>Total Number of Animals tagged during the day under NADCP</t>
  </si>
  <si>
    <t>Hint 8</t>
  </si>
  <si>
    <t>Label 9</t>
  </si>
  <si>
    <t>Hint 9</t>
  </si>
  <si>
    <t>Label 10</t>
  </si>
  <si>
    <t>Number of already tagged Animals found under other program Vaccinated during the day</t>
  </si>
  <si>
    <t>Hint 10</t>
  </si>
  <si>
    <t>Dog Cat</t>
  </si>
  <si>
    <t>Label 11</t>
  </si>
  <si>
    <t>Hint 11</t>
  </si>
  <si>
    <t>No. of beneficiaries</t>
  </si>
  <si>
    <t>Label 12</t>
  </si>
  <si>
    <t>Oprations</t>
  </si>
  <si>
    <t>Hint 12</t>
  </si>
  <si>
    <t>Label 13</t>
  </si>
  <si>
    <t>Hint 13</t>
  </si>
  <si>
    <t>Label 14</t>
  </si>
  <si>
    <t>Obstetrical Cases</t>
  </si>
  <si>
    <t>Hint 14</t>
  </si>
  <si>
    <t>Label 15</t>
  </si>
  <si>
    <t>Hint 15</t>
  </si>
  <si>
    <t>Label 16</t>
  </si>
  <si>
    <t>Hint 16</t>
  </si>
  <si>
    <t>Label 17</t>
  </si>
  <si>
    <t>Post mortem</t>
  </si>
  <si>
    <t>Hint 17</t>
  </si>
  <si>
    <t>Label 18</t>
  </si>
  <si>
    <t>Hint 18</t>
  </si>
  <si>
    <t>Label 19</t>
  </si>
  <si>
    <t>Vaccines</t>
  </si>
  <si>
    <t>Hint 19</t>
  </si>
  <si>
    <t xml:space="preserve">Haemorrhagic Septicaemia </t>
  </si>
  <si>
    <t>Label 20</t>
  </si>
  <si>
    <t>Hint 20</t>
  </si>
  <si>
    <t>Black Quarter</t>
  </si>
  <si>
    <t>Label 21</t>
  </si>
  <si>
    <t>Hint 21</t>
  </si>
  <si>
    <t>Lumpy Skin Disease</t>
  </si>
  <si>
    <t>Label 22</t>
  </si>
  <si>
    <t>Hint 22</t>
  </si>
  <si>
    <t>Foot and Mouth Disease</t>
  </si>
  <si>
    <t>Label 23</t>
  </si>
  <si>
    <t>Hint 23</t>
  </si>
  <si>
    <t>Label 24</t>
  </si>
  <si>
    <t>Hint 24</t>
  </si>
  <si>
    <t xml:space="preserve">este des Petits Ruminants </t>
  </si>
  <si>
    <t>Label 25</t>
  </si>
  <si>
    <t>Hint 25</t>
  </si>
  <si>
    <t>Enterotoxaemia</t>
  </si>
  <si>
    <t>Label 26</t>
  </si>
  <si>
    <t>Hint 26</t>
  </si>
  <si>
    <t xml:space="preserve">Classical Swine Fever </t>
  </si>
  <si>
    <t>Label 27</t>
  </si>
  <si>
    <t>Hint 27</t>
  </si>
  <si>
    <t>Label 28</t>
  </si>
  <si>
    <t>Hint 28</t>
  </si>
  <si>
    <t>Label 29</t>
  </si>
  <si>
    <t>Hint 29</t>
  </si>
  <si>
    <t>Label 30</t>
  </si>
  <si>
    <t>Hint 30</t>
  </si>
  <si>
    <t>Label 31</t>
  </si>
  <si>
    <t>Hint 31</t>
  </si>
  <si>
    <t>Label 32</t>
  </si>
  <si>
    <t>Hint 32</t>
  </si>
  <si>
    <t>Label 33</t>
  </si>
  <si>
    <t>Hint 33</t>
  </si>
  <si>
    <t>Label 34</t>
  </si>
  <si>
    <t>Hint 34</t>
  </si>
  <si>
    <t>Label 35</t>
  </si>
  <si>
    <t>Hint 35</t>
  </si>
  <si>
    <t xml:space="preserve">Any Other test </t>
  </si>
  <si>
    <t>Label 36</t>
  </si>
  <si>
    <t>Farmer Awareness and Animal Welfare Camp</t>
  </si>
  <si>
    <t>Hint 36</t>
  </si>
  <si>
    <t>Label 37</t>
  </si>
  <si>
    <t>Kisan Credit Card (KCC) Camp</t>
  </si>
  <si>
    <t>Hint 37</t>
  </si>
  <si>
    <t>Label 38</t>
  </si>
  <si>
    <t>Any Other Camp</t>
  </si>
  <si>
    <t>Hint 38</t>
  </si>
  <si>
    <t>Label 39</t>
  </si>
  <si>
    <t>Hint 39</t>
  </si>
  <si>
    <t>Label 40</t>
  </si>
  <si>
    <t>Polyclinic</t>
  </si>
  <si>
    <t>Hint 40</t>
  </si>
  <si>
    <t>Label 41</t>
  </si>
  <si>
    <t>Hint 41</t>
  </si>
  <si>
    <t>Label 42</t>
  </si>
  <si>
    <t>Hint 42</t>
  </si>
  <si>
    <t>Label 43</t>
  </si>
  <si>
    <t>Hint 43</t>
  </si>
  <si>
    <t>Label 44</t>
  </si>
  <si>
    <t>Hint 44</t>
  </si>
  <si>
    <t>Label 45</t>
  </si>
  <si>
    <t>Hint 45</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</si>
</sst>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d/yyyy h:mm:ss"/>
    <numFmt numFmtId="165" formatCode="dd&quot;-&quot;mmm&quot;-&quot;yyyy"/>
    <numFmt numFmtId="166" formatCode="dd/MM/yyyy"/>
    <numFmt numFmtId="167" formatCode="0;-0;-;@"/>
    <numFmt numFmtId="168" formatCode="d&quot;-&quot;mmm&quot;-&quot;yyyy"/>
    <numFmt numFmtId="169" formatCode="0;-0;Nill;@"/>
    <numFmt numFmtId="170" formatCode="dd&quot;/&quot;mm&quot;/&quot;yyyy"/>
    <numFmt numFmtId="171" formatCode="M/d/yyyy"/>
    <numFmt numFmtId="172" formatCode="0;-0;;@"/>
    <numFmt numFmtId="173" formatCode="0;-0;0;@"/>
    <numFmt numFmtId="174" formatCode="mmmmyyyy"/>
    <numFmt numFmtId="175" formatCode="[$Rs]#,##0.00"/>
  </numFmts>
  <fonts count="101">
    <font>
      <sz val="10.0"/>
      <color rgb="FF000000"/>
      <name val="Arial"/>
      <scheme val="minor"/>
    </font>
    <font>
      <color theme="1"/>
      <name val="Arial"/>
      <scheme val="minor"/>
    </font>
    <font>
      <b/>
      <color theme="1"/>
      <name val="Arial"/>
      <scheme val="minor"/>
    </font>
    <font>
      <b/>
      <color theme="1"/>
      <name val="Arial"/>
    </font>
    <font>
      <sz val="12.0"/>
      <color theme="1"/>
      <name val="Calibri"/>
    </font>
    <font>
      <color theme="1"/>
      <name val="Arial"/>
    </font>
    <font>
      <sz val="11.0"/>
      <color rgb="FF000000"/>
      <name val="Calibri"/>
    </font>
    <font>
      <sz val="11.0"/>
      <color rgb="FF1F1F1F"/>
      <name val="&quot;Google Sans&quot;"/>
    </font>
    <font>
      <sz val="12.0"/>
      <color rgb="FF000000"/>
      <name val="Calibri"/>
    </font>
    <font>
      <sz val="12.0"/>
      <color rgb="FF000000"/>
      <name val="Docs-Calibri"/>
    </font>
    <font>
      <sz val="11.0"/>
      <color theme="1"/>
      <name val="Arial"/>
      <scheme val="minor"/>
    </font>
    <font>
      <sz val="11.0"/>
      <color rgb="FF000000"/>
      <name val="Inconsolata"/>
    </font>
    <font>
      <i/>
      <sz val="10.0"/>
      <color rgb="FF000000"/>
      <name val="Inconsolata"/>
    </font>
    <font>
      <b/>
      <i/>
      <sz val="14.0"/>
      <color rgb="FF000000"/>
      <name val="Inconsolata"/>
    </font>
    <font/>
    <font>
      <b/>
      <sz val="14.0"/>
      <color theme="1"/>
      <name val="Arial"/>
    </font>
    <font>
      <b/>
      <sz val="12.0"/>
      <color rgb="FF134F5C"/>
      <name val="Inconsolata"/>
    </font>
    <font>
      <b/>
      <i/>
      <sz val="12.0"/>
      <color rgb="FF000000"/>
      <name val="Inconsolata"/>
    </font>
    <font>
      <color theme="1"/>
      <name val="Inconsolata"/>
    </font>
    <font>
      <b/>
      <sz val="14.0"/>
      <color rgb="FF000000"/>
      <name val="Inconsolata"/>
    </font>
    <font>
      <b/>
      <sz val="10.0"/>
      <color theme="1"/>
      <name val="Inconsolata"/>
    </font>
    <font>
      <sz val="16.0"/>
      <color theme="1"/>
      <name val="Arial"/>
      <scheme val="minor"/>
    </font>
    <font>
      <sz val="16.0"/>
      <color theme="1"/>
      <name val="Inconsolata"/>
    </font>
    <font>
      <b/>
      <sz val="11.0"/>
      <color theme="1"/>
      <name val="Inconsolata"/>
    </font>
    <font>
      <b/>
      <sz val="12.0"/>
      <color rgb="FF0B5394"/>
      <name val="Inconsolata"/>
    </font>
    <font>
      <b/>
      <sz val="12.0"/>
      <color theme="1"/>
      <name val="Inconsolata"/>
    </font>
    <font>
      <b/>
      <sz val="10.0"/>
      <color theme="1"/>
      <name val="Arial"/>
      <scheme val="minor"/>
    </font>
    <font>
      <sz val="14.0"/>
      <color theme="1"/>
      <name val="Inconsolata"/>
    </font>
    <font>
      <sz val="12.0"/>
      <color theme="1"/>
      <name val="Inconsolata"/>
    </font>
    <font>
      <b/>
      <sz val="16.0"/>
      <color rgb="FF000000"/>
      <name val="Inconsolata"/>
    </font>
    <font>
      <b/>
      <sz val="11.0"/>
      <color rgb="FF000000"/>
      <name val="Inconsolata"/>
    </font>
    <font>
      <sz val="8.0"/>
      <color theme="1"/>
      <name val="Inconsolata"/>
    </font>
    <font>
      <b/>
      <sz val="10.0"/>
      <color rgb="FF000000"/>
      <name val="Inconsolata"/>
    </font>
    <font>
      <b/>
      <sz val="12.0"/>
      <color rgb="FF000000"/>
      <name val="Inconsolata"/>
    </font>
    <font>
      <sz val="10.0"/>
      <color theme="1"/>
      <name val="Arial"/>
      <scheme val="minor"/>
    </font>
    <font>
      <sz val="16.0"/>
      <color rgb="FF000000"/>
      <name val="Inconsolata"/>
    </font>
    <font>
      <b/>
      <i/>
      <sz val="10.0"/>
      <color theme="1"/>
      <name val="Inconsolata"/>
    </font>
    <font>
      <sz val="10.0"/>
      <color theme="1"/>
      <name val="Inconsolata"/>
    </font>
    <font>
      <b/>
      <sz val="11.0"/>
      <color rgb="FF38761D"/>
      <name val="Inconsolata"/>
    </font>
    <font>
      <sz val="12.0"/>
      <color theme="1"/>
      <name val="Arial"/>
      <scheme val="minor"/>
    </font>
    <font>
      <b/>
      <sz val="10.0"/>
      <color rgb="FFFF0000"/>
      <name val="Inconsolata"/>
    </font>
    <font>
      <sz val="14.0"/>
      <color rgb="FF000000"/>
      <name val="Inconsolata"/>
    </font>
    <font>
      <sz val="12.0"/>
      <color rgb="FF000000"/>
      <name val="Inconsolata"/>
    </font>
    <font>
      <b/>
      <i/>
      <sz val="14.0"/>
      <color theme="1"/>
      <name val="Inconsolata"/>
    </font>
    <font>
      <b/>
      <color theme="1"/>
      <name val="Inconsolata"/>
    </font>
    <font>
      <b/>
      <sz val="9.0"/>
      <color rgb="FF38761D"/>
      <name val="Inconsolata"/>
    </font>
    <font>
      <b/>
      <sz val="18.0"/>
      <color theme="1"/>
      <name val="Calibri"/>
    </font>
    <font>
      <b/>
      <sz val="17.0"/>
      <color theme="1"/>
      <name val="Calibri"/>
    </font>
    <font>
      <b/>
      <i/>
      <sz val="17.0"/>
      <color rgb="FF000000"/>
      <name val="Calibri"/>
    </font>
    <font>
      <b/>
      <sz val="11.0"/>
      <color theme="1"/>
      <name val="Calibri"/>
    </font>
    <font>
      <b/>
      <sz val="11.0"/>
      <color rgb="FF000000"/>
      <name val="Calibri"/>
    </font>
    <font>
      <sz val="11.0"/>
      <color theme="1"/>
      <name val="Calibri"/>
    </font>
    <font>
      <b/>
      <sz val="15.0"/>
      <color theme="1"/>
      <name val="Calibri"/>
    </font>
    <font>
      <sz val="14.0"/>
      <color rgb="FF000000"/>
      <name val="Calibri"/>
    </font>
    <font>
      <sz val="14.0"/>
      <color theme="1"/>
      <name val="Calibri"/>
    </font>
    <font>
      <b/>
      <sz val="9.0"/>
      <color theme="1"/>
      <name val="Calibri"/>
    </font>
    <font>
      <b/>
      <sz val="9.0"/>
      <color rgb="FF000000"/>
      <name val="Calibri"/>
    </font>
    <font>
      <sz val="13.0"/>
      <color theme="1"/>
      <name val="Calibri"/>
    </font>
    <font>
      <sz val="13.0"/>
      <color rgb="FF000000"/>
      <name val="Calibri"/>
    </font>
    <font>
      <b/>
      <sz val="13.0"/>
      <color theme="1"/>
      <name val="Calibri"/>
    </font>
    <font>
      <sz val="17.0"/>
      <color rgb="FF000000"/>
      <name val="Calibri"/>
    </font>
    <font>
      <sz val="15.0"/>
      <color rgb="FF000000"/>
      <name val="Calibri"/>
    </font>
    <font>
      <sz val="15.0"/>
      <color theme="1"/>
      <name val="Calibri"/>
    </font>
    <font>
      <sz val="10.0"/>
      <color theme="1"/>
      <name val="Calibri"/>
    </font>
    <font>
      <b/>
      <sz val="15.0"/>
      <color rgb="FF000000"/>
      <name val="Calibri"/>
    </font>
    <font>
      <b/>
      <sz val="17.0"/>
      <color rgb="FF000000"/>
      <name val="Calibri"/>
    </font>
    <font>
      <b/>
      <sz val="13.0"/>
      <color rgb="FF000000"/>
      <name val="Calibri"/>
    </font>
    <font>
      <sz val="13.0"/>
      <color theme="1"/>
      <name val="&quot;Times New Roman&quot;"/>
    </font>
    <font>
      <b/>
      <color theme="1"/>
      <name val="&quot;Times New Roman&quot;"/>
    </font>
    <font>
      <color rgb="FF000000"/>
      <name val="&quot;Times New Roman&quot;"/>
    </font>
    <font>
      <b/>
      <sz val="11.0"/>
      <color theme="1"/>
      <name val="&quot;Times New Roman&quot;"/>
    </font>
    <font>
      <sz val="11.0"/>
      <color theme="1"/>
      <name val="&quot;Times New Roman&quot;"/>
    </font>
    <font>
      <color theme="1"/>
      <name val="&quot;Times New Roman&quot;"/>
    </font>
    <font>
      <b/>
      <sz val="12.0"/>
      <color theme="1"/>
      <name val="Calibri"/>
    </font>
    <font>
      <b/>
      <i/>
      <sz val="18.0"/>
      <color rgb="FF000000"/>
      <name val="Calibri"/>
    </font>
    <font>
      <b/>
      <i/>
      <sz val="14.0"/>
      <color rgb="FF000000"/>
      <name val="Arial"/>
    </font>
    <font>
      <b/>
      <i/>
      <color theme="1"/>
      <name val="Arial"/>
    </font>
    <font>
      <b/>
      <sz val="14.0"/>
      <color theme="1"/>
      <name val="Calibri"/>
    </font>
    <font>
      <sz val="14.0"/>
      <color theme="1"/>
      <name val="Arial"/>
    </font>
    <font>
      <sz val="14.0"/>
      <color theme="1"/>
      <name val="Arial"/>
      <scheme val="minor"/>
    </font>
    <font>
      <b/>
      <sz val="14.0"/>
      <color theme="1"/>
      <name val="Arial"/>
      <scheme val="minor"/>
    </font>
    <font>
      <sz val="13.0"/>
      <color theme="1"/>
      <name val="Inconsolata"/>
    </font>
    <font>
      <b/>
      <sz val="13.0"/>
      <color rgb="FF38761D"/>
      <name val="Inconsolata"/>
    </font>
    <font>
      <b/>
      <sz val="13.0"/>
      <color rgb="FF1155CC"/>
      <name val="Inconsolata"/>
    </font>
    <font>
      <sz val="12.0"/>
      <color theme="1"/>
      <name val="Arial"/>
    </font>
    <font>
      <b/>
      <sz val="12.0"/>
      <color rgb="FF000000"/>
      <name val="Arial"/>
    </font>
    <font>
      <b/>
      <sz val="12.0"/>
      <color theme="1"/>
      <name val="Arial"/>
    </font>
    <font>
      <b/>
      <sz val="12.0"/>
      <color theme="1"/>
      <name val="Arial"/>
      <scheme val="minor"/>
    </font>
    <font>
      <color rgb="FF000000"/>
      <name val="Arial"/>
    </font>
    <font>
      <sz val="18.0"/>
      <color theme="1"/>
      <name val="Arial"/>
      <scheme val="minor"/>
    </font>
    <font>
      <b/>
      <sz val="9.0"/>
      <color theme="1"/>
      <name val="Arial"/>
    </font>
    <font>
      <b/>
      <sz val="11.0"/>
      <color theme="1"/>
      <name val="Arial"/>
    </font>
    <font>
      <b/>
      <sz val="11.0"/>
      <color theme="1"/>
      <name val="Arial"/>
      <scheme val="minor"/>
    </font>
    <font>
      <b/>
      <sz val="14.0"/>
      <color rgb="FF000000"/>
      <name val="Arial"/>
      <scheme val="minor"/>
    </font>
    <font>
      <u/>
      <color rgb="FF0000FF"/>
    </font>
    <font>
      <u/>
      <color rgb="FFB31412"/>
      <name val="&quot;Roboto Mono&quot;"/>
    </font>
    <font>
      <sz val="11.0"/>
      <color theme="1"/>
      <name val="Arial"/>
    </font>
    <font>
      <sz val="11.0"/>
      <color rgb="FF000000"/>
      <name val="TimesNewRomanPSMT"/>
    </font>
    <font>
      <u/>
      <color rgb="FF0000FF"/>
    </font>
    <font>
      <sz val="11.0"/>
      <color rgb="FF202124"/>
      <name val="Roboto"/>
    </font>
    <font>
      <sz val="11.0"/>
      <color rgb="FF202124"/>
      <name val="Docs-Roboto"/>
    </font>
  </fonts>
  <fills count="18">
    <fill>
      <patternFill patternType="none"/>
    </fill>
    <fill>
      <patternFill patternType="lightGray"/>
    </fill>
    <fill>
      <patternFill patternType="solid">
        <fgColor rgb="FFFFFFFF"/>
        <bgColor rgb="FFFFFFFF"/>
      </patternFill>
    </fill>
    <fill>
      <patternFill patternType="solid">
        <fgColor rgb="FF8BC34A"/>
        <bgColor rgb="FF8BC34A"/>
      </patternFill>
    </fill>
    <fill>
      <patternFill patternType="solid">
        <fgColor rgb="FFD9EAD3"/>
        <bgColor rgb="FFD9EAD3"/>
      </patternFill>
    </fill>
    <fill>
      <patternFill patternType="solid">
        <fgColor rgb="FFEEF7E3"/>
        <bgColor rgb="FFEEF7E3"/>
      </patternFill>
    </fill>
    <fill>
      <patternFill patternType="solid">
        <fgColor rgb="FFFFF3F3"/>
        <bgColor rgb="FFFFF3F3"/>
      </patternFill>
    </fill>
    <fill>
      <patternFill patternType="solid">
        <fgColor rgb="FFEAD1DC"/>
        <bgColor rgb="FFEAD1DC"/>
      </patternFill>
    </fill>
    <fill>
      <patternFill patternType="solid">
        <fgColor rgb="FFCCA677"/>
        <bgColor rgb="FFCCA677"/>
      </patternFill>
    </fill>
    <fill>
      <patternFill patternType="solid">
        <fgColor rgb="FFFFFF00"/>
        <bgColor rgb="FFFFFF00"/>
      </patternFill>
    </fill>
    <fill>
      <patternFill patternType="solid">
        <fgColor rgb="FF00FF00"/>
        <bgColor rgb="FF00FF00"/>
      </patternFill>
    </fill>
    <fill>
      <patternFill patternType="solid">
        <fgColor rgb="FFF8F2EB"/>
        <bgColor rgb="FFF8F2EB"/>
      </patternFill>
    </fill>
    <fill>
      <patternFill patternType="solid">
        <fgColor rgb="FFD9D9D9"/>
        <bgColor rgb="FFD9D9D9"/>
      </patternFill>
    </fill>
    <fill>
      <patternFill patternType="solid">
        <fgColor rgb="FF4DD0E1"/>
        <bgColor rgb="FF4DD0E1"/>
      </patternFill>
    </fill>
    <fill>
      <patternFill patternType="solid">
        <fgColor rgb="FFE0F7FA"/>
        <bgColor rgb="FFE0F7FA"/>
      </patternFill>
    </fill>
    <fill>
      <patternFill patternType="solid">
        <fgColor rgb="FFFFFFFE"/>
        <bgColor rgb="FFFFFFFE"/>
      </patternFill>
    </fill>
    <fill>
      <patternFill patternType="solid">
        <fgColor rgb="FFF1F3F4"/>
        <bgColor rgb="FFF1F3F4"/>
      </patternFill>
    </fill>
    <fill>
      <patternFill patternType="solid">
        <fgColor rgb="FFF8F9FA"/>
        <bgColor rgb="FFF8F9FA"/>
      </patternFill>
    </fill>
  </fills>
  <borders count="94">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38761D"/>
      </left>
      <right style="dotted">
        <color rgb="FF38761D"/>
      </right>
      <top style="medium">
        <color rgb="FF38761D"/>
      </top>
      <bottom style="medium">
        <color rgb="FF38761D"/>
      </bottom>
    </border>
    <border>
      <bottom style="medium">
        <color rgb="FF000000"/>
      </bottom>
    </border>
    <border>
      <left style="dotted">
        <color rgb="FF38761D"/>
      </left>
      <right style="dotted">
        <color rgb="FF38761D"/>
      </right>
      <top style="medium">
        <color rgb="FF38761D"/>
      </top>
      <bottom style="medium">
        <color rgb="FF38761D"/>
      </bottom>
    </border>
    <border>
      <bottom style="thin">
        <color rgb="FF000000"/>
      </bottom>
    </border>
    <border>
      <left style="dotted">
        <color rgb="FF38761D"/>
      </left>
      <top style="medium">
        <color rgb="FF38761D"/>
      </top>
      <bottom style="thin">
        <color rgb="FF000000"/>
      </bottom>
    </border>
    <border>
      <top style="medium">
        <color rgb="FF38761D"/>
      </top>
      <bottom style="thin">
        <color rgb="FF000000"/>
      </bottom>
    </border>
    <border>
      <left style="dotted">
        <color rgb="FF38761D"/>
      </left>
      <right style="medium">
        <color rgb="FF38761D"/>
      </right>
      <top style="medium">
        <color rgb="FF38761D"/>
      </top>
      <bottom style="medium">
        <color rgb="FF38761D"/>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ck">
        <color rgb="FF38761D"/>
      </left>
      <top style="thick">
        <color rgb="FF38761D"/>
      </top>
      <bottom style="thin">
        <color rgb="FF000000"/>
      </bottom>
    </border>
    <border>
      <left style="thick">
        <color rgb="FF38761D"/>
      </left>
      <right style="thick">
        <color rgb="FF38761D"/>
      </right>
      <top style="thick">
        <color rgb="FF38761D"/>
      </top>
      <bottom style="thin">
        <color rgb="FF000000"/>
      </bottom>
    </border>
    <border>
      <right style="thin">
        <color rgb="FF000000"/>
      </right>
      <top style="thin">
        <color rgb="FF000000"/>
      </top>
      <bottom style="thin">
        <color rgb="FF000000"/>
      </bottom>
    </border>
    <border>
      <left style="thick">
        <color rgb="FF38761D"/>
      </left>
      <right style="thick">
        <color rgb="FF38761D"/>
      </right>
      <top style="thick">
        <color rgb="FF38761D"/>
      </top>
      <bottom style="thick">
        <color rgb="FF38761D"/>
      </bottom>
    </border>
    <border>
      <left style="thick">
        <color rgb="FF38761D"/>
      </left>
      <top style="thin">
        <color rgb="FF000000"/>
      </top>
      <bottom style="thick">
        <color rgb="FF38761D"/>
      </bottom>
    </border>
    <border>
      <left style="thick">
        <color rgb="FF38761D"/>
      </left>
      <right style="thick">
        <color rgb="FF38761D"/>
      </right>
      <top style="thin">
        <color rgb="FF000000"/>
      </top>
      <bottom style="thick">
        <color rgb="FF38761D"/>
      </bottom>
    </border>
    <border>
      <left style="thin">
        <color rgb="FF38761D"/>
      </left>
      <right style="thin">
        <color rgb="FF38761D"/>
      </right>
      <top style="thin">
        <color rgb="FF38761D"/>
      </top>
      <bottom style="thin">
        <color rgb="FF38761D"/>
      </bottom>
    </border>
    <border>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top style="medium">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ttom style="thin">
        <color rgb="FF000000"/>
      </bottom>
    </border>
    <border>
      <top style="thin">
        <color rgb="FF000000"/>
      </top>
    </border>
    <border>
      <left style="medium">
        <color rgb="FF000000"/>
      </left>
      <right style="thin">
        <color rgb="FF000000"/>
      </right>
      <top style="medium">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top style="thick">
        <color rgb="FF38761D"/>
      </top>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ck">
        <color rgb="FF38761D"/>
      </left>
      <right style="thick">
        <color rgb="FF38761D"/>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n">
        <color rgb="FF000000"/>
      </top>
      <bottom style="thick">
        <color rgb="FF38761D"/>
      </bottom>
    </border>
    <border>
      <left style="thick">
        <color rgb="FF000000"/>
      </left>
      <right style="thick">
        <color rgb="FF000000"/>
      </right>
      <top style="thick">
        <color rgb="FF000000"/>
      </top>
      <bottom style="thick">
        <color rgb="FF000000"/>
      </bottom>
    </border>
    <border>
      <bottom style="thick">
        <color rgb="FF38761D"/>
      </bottom>
    </border>
    <border>
      <top style="medium">
        <color rgb="FF000000"/>
      </top>
    </border>
    <border>
      <right style="medium">
        <color rgb="FF000000"/>
      </right>
      <top style="medium">
        <color rgb="FF000000"/>
      </top>
    </border>
    <border>
      <left style="medium">
        <color rgb="FF000000"/>
      </left>
      <right style="thin">
        <color rgb="FF000000"/>
      </right>
    </border>
    <border>
      <right style="thin">
        <color rgb="FF000000"/>
      </right>
      <top style="thin">
        <color rgb="FF000000"/>
      </top>
      <bottom style="thick">
        <color rgb="FF38761D"/>
      </bottom>
    </border>
    <border>
      <right style="thin">
        <color rgb="FF000000"/>
      </right>
    </border>
    <border>
      <right style="medium">
        <color rgb="FF000000"/>
      </right>
    </border>
    <border>
      <right style="thin">
        <color rgb="FF000000"/>
      </right>
      <bottom style="thin">
        <color rgb="FF000000"/>
      </bottom>
    </border>
    <border>
      <right style="thick">
        <color rgb="FF38761D"/>
      </right>
      <bottom style="thin">
        <color rgb="FF000000"/>
      </bottom>
    </border>
    <border>
      <right style="thick">
        <color rgb="FF38761D"/>
      </right>
      <bottom style="thick">
        <color rgb="FF38761D"/>
      </bottom>
    </border>
    <border>
      <left style="medium">
        <color rgb="FF000000"/>
      </left>
    </border>
    <border>
      <left style="medium">
        <color rgb="FF000000"/>
      </left>
      <right style="medium">
        <color rgb="FF000000"/>
      </right>
    </border>
    <border>
      <right style="medium">
        <color rgb="FF000000"/>
      </right>
      <bottom style="thin">
        <color rgb="FF000000"/>
      </bottom>
    </border>
    <border>
      <right style="thin">
        <color rgb="FF000000"/>
      </right>
      <bottom style="medium">
        <color rgb="FF000000"/>
      </bottom>
    </border>
    <border>
      <right style="thin">
        <color rgb="FF000000"/>
      </right>
      <bottom style="thick">
        <color rgb="FF38761D"/>
      </bottom>
    </border>
    <border>
      <left style="thick">
        <color rgb="FF274E13"/>
      </left>
      <right style="thick">
        <color rgb="FF274E13"/>
      </right>
      <top style="thick">
        <color rgb="FF274E13"/>
      </top>
      <bottom style="thin">
        <color rgb="FF000000"/>
      </bottom>
    </border>
    <border>
      <right style="thick">
        <color rgb="FF38761D"/>
      </right>
      <bottom style="medium">
        <color rgb="FF000000"/>
      </bottom>
    </border>
    <border>
      <left style="thick">
        <color rgb="FF274E13"/>
      </left>
      <right style="thick">
        <color rgb="FF274E13"/>
      </right>
      <top style="thin">
        <color rgb="FF000000"/>
      </top>
      <bottom style="thick">
        <color rgb="FF274E13"/>
      </bottom>
    </border>
    <border>
      <left style="medium">
        <color rgb="FF000000"/>
      </left>
      <bottom style="medium">
        <color rgb="FF000000"/>
      </bottom>
    </border>
    <border>
      <right style="medium">
        <color rgb="FF000000"/>
      </right>
      <bottom style="medium">
        <color rgb="FF000000"/>
      </bottom>
    </border>
    <border>
      <left style="thin">
        <color rgb="FF000000"/>
      </left>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medium">
        <color rgb="FF38761D"/>
      </left>
      <right style="dotted">
        <color rgb="FF38761D"/>
      </right>
      <top style="dotted">
        <color rgb="FF38761D"/>
      </top>
      <bottom style="dotted">
        <color rgb="FF38761D"/>
      </bottom>
    </border>
    <border>
      <left style="medium">
        <color rgb="FF38761D"/>
      </left>
      <right style="dotted">
        <color rgb="FF38761D"/>
      </right>
      <top style="dotted">
        <color rgb="FF38761D"/>
      </top>
      <bottom style="medium">
        <color rgb="FF38761D"/>
      </bottom>
    </border>
    <border>
      <bottom style="medium">
        <color rgb="FF38761D"/>
      </bottom>
    </border>
    <border>
      <right style="medium">
        <color rgb="FF38761D"/>
      </right>
    </border>
    <border>
      <right style="dotted">
        <color rgb="FF38761D"/>
      </right>
      <bottom style="dotted">
        <color rgb="FF38761D"/>
      </bottom>
    </border>
    <border>
      <right style="medium">
        <color rgb="FF38761D"/>
      </right>
      <bottom style="dotted">
        <color rgb="FF38761D"/>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left style="dotted">
        <color rgb="FF38761D"/>
      </left>
      <right style="dotted">
        <color rgb="FF38761D"/>
      </right>
      <top style="medium">
        <color rgb="FF38761D"/>
      </top>
      <bottom style="dotted">
        <color rgb="FF38761D"/>
      </bottom>
    </border>
    <border>
      <right style="dotted">
        <color rgb="FF38761D"/>
      </right>
      <bottom style="medium">
        <color rgb="FF38761D"/>
      </bottom>
    </border>
    <border>
      <left style="medium">
        <color rgb="FF000000"/>
      </left>
      <right style="dotted">
        <color rgb="FF000000"/>
      </right>
      <top style="medium">
        <color rgb="FF000000"/>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bottom style="double">
        <color rgb="FF000000"/>
      </bottom>
    </border>
    <border>
      <left style="medium">
        <color rgb="FF38761D"/>
      </left>
      <right style="dotted">
        <color rgb="FF38761D"/>
      </right>
      <top style="medium">
        <color rgb="FF38761D"/>
      </top>
      <bottom style="dotted">
        <color rgb="FF38761D"/>
      </bottom>
    </border>
    <border>
      <left style="dotted">
        <color rgb="FF38761D"/>
      </left>
      <top style="medium">
        <color rgb="FF38761D"/>
      </top>
      <bottom style="dotted">
        <color rgb="FF38761D"/>
      </bottom>
    </border>
    <border>
      <right style="dotted">
        <color rgb="FF000000"/>
      </right>
      <top style="medium">
        <color rgb="FF000000"/>
      </top>
      <bottom style="dotted">
        <color rgb="FF000000"/>
      </bottom>
    </border>
    <border>
      <left style="dotted">
        <color rgb="FF38761D"/>
      </left>
      <right style="medium">
        <color rgb="FF38761D"/>
      </right>
      <top style="medium">
        <color rgb="FF38761D"/>
      </top>
      <bottom style="dotted">
        <color rgb="FF38761D"/>
      </bottom>
    </border>
    <border>
      <left style="dotted">
        <color rgb="FF38761D"/>
      </left>
      <right style="dotted">
        <color rgb="FF38761D"/>
      </right>
      <top style="dotted">
        <color rgb="FF38761D"/>
      </top>
      <bottom style="medium">
        <color rgb="FF38761D"/>
      </bottom>
    </border>
    <border>
      <left style="dotted">
        <color rgb="FF38761D"/>
      </left>
      <right style="medium">
        <color rgb="FF38761D"/>
      </right>
      <top style="dotted">
        <color rgb="FF38761D"/>
      </top>
      <bottom style="medium">
        <color rgb="FF38761D"/>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left style="medium">
        <color rgb="FF6AA84F"/>
      </left>
      <right style="medium">
        <color rgb="FF6AA84F"/>
      </right>
      <top style="medium">
        <color rgb="FF6AA84F"/>
      </top>
      <bottom style="medium">
        <color rgb="FF6AA84F"/>
      </bottom>
    </border>
  </borders>
  <cellStyleXfs count="1">
    <xf borderId="0" fillId="0" fontId="0" numFmtId="0" applyAlignment="1" applyFont="1"/>
  </cellStyleXfs>
  <cellXfs count="65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readingOrder="0"/>
    </xf>
    <xf borderId="0" fillId="0" fontId="1" numFmtId="14" xfId="0" applyAlignment="1" applyFont="1" applyNumberFormat="1">
      <alignment readingOrder="0"/>
    </xf>
    <xf borderId="0" fillId="0" fontId="1" numFmtId="0" xfId="0" applyAlignment="1" applyFont="1">
      <alignment readingOrder="0"/>
    </xf>
    <xf borderId="0" fillId="2" fontId="1" numFmtId="0" xfId="0" applyAlignment="1" applyFill="1" applyFont="1">
      <alignment readingOrder="0"/>
    </xf>
    <xf borderId="0" fillId="2" fontId="1" numFmtId="0" xfId="0" applyFont="1"/>
    <xf borderId="0" fillId="3" fontId="1" numFmtId="0" xfId="0" applyAlignment="1" applyFill="1" applyFont="1">
      <alignment horizontal="center" readingOrder="0" shrinkToFit="0" vertical="center" wrapText="1"/>
    </xf>
    <xf borderId="0" fillId="3" fontId="2" numFmtId="0" xfId="0" applyAlignment="1" applyFont="1">
      <alignment horizontal="left" readingOrder="0" shrinkToFit="0" vertical="center" wrapText="1"/>
    </xf>
    <xf borderId="0" fillId="3" fontId="2" numFmtId="0" xfId="0" applyAlignment="1" applyFont="1">
      <alignment horizontal="center" readingOrder="0" shrinkToFit="0" vertical="center" wrapText="1"/>
    </xf>
    <xf borderId="0" fillId="3" fontId="2" numFmtId="165"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0"/>
    </xf>
    <xf borderId="0" fillId="3" fontId="3"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4" fontId="1" numFmtId="0" xfId="0" applyAlignment="1" applyFill="1" applyFont="1">
      <alignment readingOrder="0"/>
    </xf>
    <xf borderId="0" fillId="4" fontId="1" numFmtId="0" xfId="0" applyAlignment="1" applyFont="1">
      <alignment horizontal="left" readingOrder="0"/>
    </xf>
    <xf borderId="0" fillId="4" fontId="4" numFmtId="0" xfId="0" applyAlignment="1" applyFont="1">
      <alignment horizontal="left" readingOrder="0" vertical="center"/>
    </xf>
    <xf borderId="0" fillId="4" fontId="5" numFmtId="0" xfId="0" applyAlignment="1" applyFont="1">
      <alignment readingOrder="0" vertical="bottom"/>
    </xf>
    <xf borderId="0" fillId="4" fontId="5" numFmtId="0" xfId="0" applyAlignment="1" applyFont="1">
      <alignment horizontal="right" readingOrder="0" vertical="bottom"/>
    </xf>
    <xf borderId="0" fillId="4" fontId="5" numFmtId="14" xfId="0" applyAlignment="1" applyFont="1" applyNumberFormat="1">
      <alignment horizontal="right" vertical="bottom"/>
    </xf>
    <xf borderId="0" fillId="4" fontId="1" numFmtId="0" xfId="0" applyAlignment="1" applyFont="1">
      <alignment readingOrder="0" shrinkToFit="0" wrapText="0"/>
    </xf>
    <xf borderId="0" fillId="4" fontId="1" numFmtId="0" xfId="0" applyAlignment="1" applyFont="1">
      <alignment horizontal="center" readingOrder="0" shrinkToFit="0" vertical="center" wrapText="1"/>
    </xf>
    <xf borderId="0" fillId="4" fontId="5" numFmtId="0" xfId="0" applyAlignment="1" applyFont="1">
      <alignment vertical="bottom"/>
    </xf>
    <xf borderId="0" fillId="5" fontId="6" numFmtId="0" xfId="0" applyAlignment="1" applyFill="1" applyFont="1">
      <alignment readingOrder="0" shrinkToFit="0" vertical="bottom" wrapText="0"/>
    </xf>
    <xf borderId="0" fillId="5" fontId="1" numFmtId="0" xfId="0" applyAlignment="1" applyFont="1">
      <alignment horizontal="left" readingOrder="0"/>
    </xf>
    <xf borderId="0" fillId="5" fontId="4" numFmtId="0" xfId="0" applyAlignment="1" applyFont="1">
      <alignment horizontal="left" readingOrder="0" vertical="center"/>
    </xf>
    <xf borderId="0" fillId="5" fontId="1" numFmtId="0" xfId="0" applyAlignment="1" applyFont="1">
      <alignment readingOrder="0"/>
    </xf>
    <xf borderId="0" fillId="5" fontId="5" numFmtId="0" xfId="0" applyAlignment="1" applyFont="1">
      <alignment readingOrder="0" vertical="bottom"/>
    </xf>
    <xf borderId="0" fillId="5" fontId="5" numFmtId="0" xfId="0" applyAlignment="1" applyFont="1">
      <alignment horizontal="right" readingOrder="0" vertical="bottom"/>
    </xf>
    <xf borderId="0" fillId="5" fontId="5" numFmtId="14" xfId="0" applyAlignment="1" applyFont="1" applyNumberFormat="1">
      <alignment horizontal="right" vertical="bottom"/>
    </xf>
    <xf borderId="0" fillId="5" fontId="1" numFmtId="0" xfId="0" applyAlignment="1" applyFont="1">
      <alignment readingOrder="0" shrinkToFit="0" wrapText="0"/>
    </xf>
    <xf borderId="0" fillId="5" fontId="1" numFmtId="0" xfId="0" applyAlignment="1" applyFont="1">
      <alignment horizontal="center" readingOrder="0" shrinkToFit="0" vertical="center" wrapText="1"/>
    </xf>
    <xf borderId="0" fillId="2" fontId="7" numFmtId="0" xfId="0" applyAlignment="1" applyFont="1">
      <alignment readingOrder="0" shrinkToFit="0" wrapText="0"/>
    </xf>
    <xf borderId="0" fillId="4" fontId="6" numFmtId="0" xfId="0" applyAlignment="1" applyFont="1">
      <alignment readingOrder="0" shrinkToFit="0" vertical="bottom" wrapText="0"/>
    </xf>
    <xf borderId="0" fillId="4" fontId="1" numFmtId="0" xfId="0" applyAlignment="1" applyFont="1">
      <alignment horizontal="right" readingOrder="0"/>
    </xf>
    <xf borderId="0" fillId="4" fontId="1" numFmtId="14" xfId="0" applyAlignment="1" applyFont="1" applyNumberFormat="1">
      <alignment readingOrder="0"/>
    </xf>
    <xf borderId="0" fillId="4" fontId="1" numFmtId="166" xfId="0" applyAlignment="1" applyFont="1" applyNumberFormat="1">
      <alignment horizontal="right"/>
    </xf>
    <xf borderId="0" fillId="5" fontId="1" numFmtId="0" xfId="0" applyAlignment="1" applyFont="1">
      <alignment horizontal="right" readingOrder="0"/>
    </xf>
    <xf borderId="0" fillId="5" fontId="1" numFmtId="166" xfId="0" applyAlignment="1" applyFont="1" applyNumberFormat="1">
      <alignment horizontal="right"/>
    </xf>
    <xf borderId="0" fillId="5" fontId="8" numFmtId="0" xfId="0" applyAlignment="1" applyFont="1">
      <alignment horizontal="left" readingOrder="0"/>
    </xf>
    <xf borderId="0" fillId="4" fontId="1" numFmtId="165" xfId="0" applyAlignment="1" applyFont="1" applyNumberFormat="1">
      <alignment horizontal="right"/>
    </xf>
    <xf borderId="0" fillId="5" fontId="5" numFmtId="14" xfId="0" applyAlignment="1" applyFont="1" applyNumberFormat="1">
      <alignment horizontal="right" readingOrder="0" vertical="bottom"/>
    </xf>
    <xf borderId="0" fillId="5" fontId="1" numFmtId="165" xfId="0" applyAlignment="1" applyFont="1" applyNumberFormat="1">
      <alignment horizontal="right"/>
    </xf>
    <xf borderId="0" fillId="4" fontId="9" numFmtId="0" xfId="0" applyAlignment="1" applyFont="1">
      <alignment horizontal="left" readingOrder="0"/>
    </xf>
    <xf borderId="0" fillId="4" fontId="5" numFmtId="0" xfId="0" applyAlignment="1" applyFont="1">
      <alignment readingOrder="0" shrinkToFit="0" vertical="bottom" wrapText="0"/>
    </xf>
    <xf borderId="0" fillId="5" fontId="9" numFmtId="0" xfId="0" applyAlignment="1" applyFont="1">
      <alignment horizontal="left" readingOrder="0"/>
    </xf>
    <xf borderId="0" fillId="5" fontId="4" numFmtId="0" xfId="0" applyAlignment="1" applyFont="1">
      <alignment horizontal="left" readingOrder="0" shrinkToFit="0" vertical="center" wrapText="0"/>
    </xf>
    <xf borderId="0" fillId="4" fontId="4" numFmtId="0" xfId="0" applyAlignment="1" applyFont="1">
      <alignment horizontal="left" readingOrder="0" shrinkToFit="0" vertical="center" wrapText="0"/>
    </xf>
    <xf borderId="0" fillId="4" fontId="8" numFmtId="0" xfId="0" applyAlignment="1" applyFont="1">
      <alignment horizontal="left" readingOrder="0"/>
    </xf>
    <xf borderId="0" fillId="5" fontId="1" numFmtId="0" xfId="0" applyFont="1"/>
    <xf borderId="0" fillId="5" fontId="1" numFmtId="0" xfId="0" applyFont="1"/>
    <xf borderId="0" fillId="5" fontId="1" numFmtId="0" xfId="0" applyAlignment="1" applyFont="1">
      <alignment horizontal="right"/>
    </xf>
    <xf borderId="0" fillId="4" fontId="1" numFmtId="0" xfId="0" applyFont="1"/>
    <xf borderId="0" fillId="4" fontId="1" numFmtId="0" xfId="0" applyAlignment="1" applyFont="1">
      <alignment horizontal="right"/>
    </xf>
    <xf borderId="0" fillId="5" fontId="10" numFmtId="0" xfId="0" applyAlignment="1" applyFont="1">
      <alignment readingOrder="0" shrinkToFit="0" wrapText="0"/>
    </xf>
    <xf borderId="0" fillId="0" fontId="6" numFmtId="0" xfId="0" applyAlignment="1" applyFont="1">
      <alignment readingOrder="0" shrinkToFit="0" vertical="bottom" wrapText="0"/>
    </xf>
    <xf borderId="0" fillId="0" fontId="1" numFmtId="0" xfId="0" applyAlignment="1" applyFont="1">
      <alignment horizontal="left" readingOrder="0"/>
    </xf>
    <xf borderId="1" fillId="0" fontId="4" numFmtId="0" xfId="0" applyAlignment="1" applyBorder="1" applyFont="1">
      <alignment horizontal="left" readingOrder="0" vertical="center"/>
    </xf>
    <xf borderId="0" fillId="0" fontId="1" numFmtId="0" xfId="0" applyAlignment="1" applyFont="1">
      <alignment readingOrder="0"/>
    </xf>
    <xf borderId="0" fillId="0" fontId="1" numFmtId="0" xfId="0" applyFont="1"/>
    <xf borderId="0" fillId="0" fontId="1" numFmtId="0" xfId="0" applyAlignment="1" applyFont="1">
      <alignment horizontal="right"/>
    </xf>
    <xf borderId="0" fillId="0" fontId="1" numFmtId="165" xfId="0" applyAlignment="1" applyFont="1" applyNumberFormat="1">
      <alignment horizontal="right"/>
    </xf>
    <xf borderId="0" fillId="0" fontId="1" numFmtId="166" xfId="0" applyAlignment="1" applyFont="1" applyNumberFormat="1">
      <alignment horizontal="right"/>
    </xf>
    <xf borderId="0" fillId="0" fontId="1" numFmtId="0" xfId="0" applyAlignment="1" applyFont="1">
      <alignment readingOrder="0" shrinkToFit="0" wrapText="0"/>
    </xf>
    <xf borderId="0" fillId="0" fontId="10" numFmtId="0" xfId="0" applyAlignment="1" applyFont="1">
      <alignment readingOrder="0" shrinkToFit="0" wrapText="0"/>
    </xf>
    <xf borderId="2" fillId="0" fontId="4" numFmtId="0" xfId="0" applyAlignment="1" applyBorder="1" applyFont="1">
      <alignment horizontal="left" readingOrder="0" vertical="center"/>
    </xf>
    <xf borderId="3" fillId="0" fontId="1" numFmtId="0" xfId="0" applyAlignment="1" applyBorder="1" applyFont="1">
      <alignment horizontal="left" readingOrder="0" shrinkToFit="0" vertical="center" wrapText="1"/>
    </xf>
    <xf borderId="4" fillId="0" fontId="1" numFmtId="165" xfId="0" applyAlignment="1" applyBorder="1" applyFont="1" applyNumberFormat="1">
      <alignment horizontal="center" readingOrder="0" shrinkToFit="0" vertical="center" wrapText="1"/>
    </xf>
    <xf borderId="5" fillId="0" fontId="1" numFmtId="165" xfId="0" applyAlignment="1" applyBorder="1" applyFont="1" applyNumberFormat="1">
      <alignment horizontal="center" readingOrder="0" shrinkToFit="0" vertical="center" wrapText="1"/>
    </xf>
    <xf borderId="6" fillId="0" fontId="1"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6"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9" fillId="0" fontId="1" numFmtId="0" xfId="0" applyAlignment="1" applyBorder="1" applyFont="1">
      <alignment horizontal="center" readingOrder="0" shrinkToFit="0" vertical="center" wrapText="1"/>
    </xf>
    <xf borderId="0" fillId="0" fontId="1" numFmtId="164" xfId="0" applyAlignment="1" applyFont="1" applyNumberFormat="1">
      <alignment horizontal="left" readingOrder="0"/>
    </xf>
    <xf borderId="0" fillId="0" fontId="1" numFmtId="165" xfId="0" applyAlignment="1" applyFont="1" applyNumberFormat="1">
      <alignment readingOrder="0"/>
    </xf>
    <xf borderId="0" fillId="0" fontId="1" numFmtId="0" xfId="0" applyFont="1"/>
    <xf borderId="0" fillId="2" fontId="11" numFmtId="0" xfId="0" applyAlignment="1" applyFont="1">
      <alignment readingOrder="0"/>
    </xf>
    <xf borderId="0" fillId="0" fontId="1" numFmtId="0" xfId="0" applyAlignment="1" applyFont="1">
      <alignment readingOrder="0"/>
    </xf>
    <xf borderId="0" fillId="0" fontId="12" numFmtId="167" xfId="0" applyAlignment="1" applyFont="1" applyNumberFormat="1">
      <alignment horizontal="right" vertical="center"/>
    </xf>
    <xf borderId="0" fillId="0" fontId="12" numFmtId="167" xfId="0" applyAlignment="1" applyFont="1" applyNumberFormat="1">
      <alignment horizontal="center" vertical="center"/>
    </xf>
    <xf borderId="4" fillId="2" fontId="13" numFmtId="167" xfId="0" applyAlignment="1" applyBorder="1" applyFont="1" applyNumberFormat="1">
      <alignment horizontal="right" readingOrder="0" vertical="center"/>
    </xf>
    <xf borderId="4" fillId="0" fontId="14" numFmtId="0" xfId="0" applyBorder="1" applyFont="1"/>
    <xf borderId="4" fillId="2" fontId="15" numFmtId="0" xfId="0" applyAlignment="1" applyBorder="1" applyFont="1">
      <alignment horizontal="left" readingOrder="0" vertical="center"/>
    </xf>
    <xf borderId="4" fillId="2" fontId="13" numFmtId="167" xfId="0" applyAlignment="1" applyBorder="1" applyFont="1" applyNumberFormat="1">
      <alignment horizontal="center" readingOrder="0" vertical="center"/>
    </xf>
    <xf borderId="4" fillId="2" fontId="13" numFmtId="168" xfId="0" applyAlignment="1" applyBorder="1" applyFont="1" applyNumberFormat="1">
      <alignment horizontal="center" readingOrder="0" vertical="center"/>
    </xf>
    <xf borderId="4" fillId="2" fontId="13" numFmtId="168" xfId="0" applyAlignment="1" applyBorder="1" applyFont="1" applyNumberFormat="1">
      <alignment horizontal="center" readingOrder="0" vertical="center"/>
    </xf>
    <xf borderId="0" fillId="0" fontId="16" numFmtId="167" xfId="0" applyAlignment="1" applyFont="1" applyNumberFormat="1">
      <alignment horizontal="left" readingOrder="0" vertical="bottom"/>
    </xf>
    <xf borderId="0" fillId="0" fontId="13" numFmtId="167" xfId="0" applyAlignment="1" applyFont="1" applyNumberFormat="1">
      <alignment horizontal="center" readingOrder="0" vertical="center"/>
    </xf>
    <xf borderId="0" fillId="0" fontId="17" numFmtId="167" xfId="0" applyAlignment="1" applyFont="1" applyNumberFormat="1">
      <alignment horizontal="center" readingOrder="0" vertical="center"/>
    </xf>
    <xf borderId="0" fillId="0" fontId="13" numFmtId="167" xfId="0" applyAlignment="1" applyFont="1" applyNumberFormat="1">
      <alignment horizontal="center" vertical="center"/>
    </xf>
    <xf borderId="0" fillId="0" fontId="18" numFmtId="167" xfId="0" applyAlignment="1" applyFont="1" applyNumberFormat="1">
      <alignment horizontal="center" vertical="center"/>
    </xf>
    <xf borderId="0" fillId="2" fontId="19" numFmtId="167" xfId="0" applyAlignment="1" applyFont="1" applyNumberFormat="1">
      <alignment vertical="top"/>
    </xf>
    <xf borderId="2" fillId="6" fontId="20" numFmtId="167" xfId="0" applyAlignment="1" applyBorder="1" applyFill="1" applyFont="1" applyNumberFormat="1">
      <alignment horizontal="center" shrinkToFit="0" vertical="center" wrapText="1"/>
    </xf>
    <xf borderId="10" fillId="6" fontId="20" numFmtId="167" xfId="0" applyAlignment="1" applyBorder="1" applyFont="1" applyNumberFormat="1">
      <alignment horizontal="center" readingOrder="0" shrinkToFit="0" vertical="center" wrapText="1"/>
    </xf>
    <xf borderId="10" fillId="6" fontId="20" numFmtId="167" xfId="0" applyAlignment="1" applyBorder="1" applyFont="1" applyNumberFormat="1">
      <alignment horizontal="center" shrinkToFit="0" vertical="center" wrapText="1"/>
    </xf>
    <xf borderId="2" fillId="6" fontId="20" numFmtId="167" xfId="0" applyAlignment="1" applyBorder="1" applyFont="1" applyNumberFormat="1">
      <alignment horizontal="center" readingOrder="0" shrinkToFit="0" vertical="center" wrapText="1"/>
    </xf>
    <xf borderId="0" fillId="0" fontId="21" numFmtId="0" xfId="0" applyFont="1"/>
    <xf borderId="2" fillId="0" fontId="22" numFmtId="167" xfId="0" applyAlignment="1" applyBorder="1" applyFont="1" applyNumberFormat="1">
      <alignment horizontal="center" vertical="center"/>
    </xf>
    <xf borderId="11" fillId="0" fontId="22" numFmtId="167" xfId="0" applyAlignment="1" applyBorder="1" applyFont="1" applyNumberFormat="1">
      <alignment horizontal="center" vertical="center"/>
    </xf>
    <xf borderId="12" fillId="2" fontId="22" numFmtId="167" xfId="0" applyAlignment="1" applyBorder="1" applyFont="1" applyNumberFormat="1">
      <alignment horizontal="center" vertical="center"/>
    </xf>
    <xf borderId="13" fillId="0" fontId="22" numFmtId="167" xfId="0" applyAlignment="1" applyBorder="1" applyFont="1" applyNumberFormat="1">
      <alignment horizontal="center" vertical="center"/>
    </xf>
    <xf borderId="14" fillId="0" fontId="22" numFmtId="167" xfId="0" applyAlignment="1" applyBorder="1" applyFont="1" applyNumberFormat="1">
      <alignment horizontal="center" vertical="center"/>
    </xf>
    <xf borderId="15" fillId="0" fontId="22" numFmtId="167" xfId="0" applyAlignment="1" applyBorder="1" applyFont="1" applyNumberFormat="1">
      <alignment horizontal="center" vertical="center"/>
    </xf>
    <xf borderId="16" fillId="2" fontId="22" numFmtId="167" xfId="0" applyAlignment="1" applyBorder="1" applyFont="1" applyNumberFormat="1">
      <alignment horizontal="center" vertical="center"/>
    </xf>
    <xf borderId="17" fillId="0" fontId="22" numFmtId="167" xfId="0" applyAlignment="1" applyBorder="1" applyFont="1" applyNumberFormat="1">
      <alignment horizontal="center" vertical="center"/>
    </xf>
    <xf borderId="0" fillId="0" fontId="23" numFmtId="167" xfId="0" applyAlignment="1" applyFont="1" applyNumberFormat="1">
      <alignment horizontal="right" vertical="center"/>
    </xf>
    <xf borderId="0" fillId="0" fontId="24" numFmtId="167" xfId="0" applyAlignment="1" applyFont="1" applyNumberFormat="1">
      <alignment horizontal="left" readingOrder="0" shrinkToFit="0" vertical="bottom" wrapText="0"/>
    </xf>
    <xf borderId="0" fillId="0" fontId="25" numFmtId="167" xfId="0" applyAlignment="1" applyFont="1" applyNumberFormat="1">
      <alignment horizontal="center" vertical="center"/>
    </xf>
    <xf borderId="0" fillId="0" fontId="26" numFmtId="0" xfId="0" applyFont="1"/>
    <xf borderId="0" fillId="0" fontId="22" numFmtId="0" xfId="0" applyFont="1"/>
    <xf borderId="18" fillId="0" fontId="22" numFmtId="167" xfId="0" applyAlignment="1" applyBorder="1" applyFont="1" applyNumberFormat="1">
      <alignment horizontal="center" vertical="center"/>
    </xf>
    <xf borderId="1" fillId="0" fontId="22" numFmtId="167" xfId="0" applyAlignment="1" applyBorder="1" applyFont="1" applyNumberFormat="1">
      <alignment horizontal="center" vertical="center"/>
    </xf>
    <xf borderId="11" fillId="0" fontId="22" numFmtId="169" xfId="0" applyAlignment="1" applyBorder="1" applyFont="1" applyNumberFormat="1">
      <alignment horizontal="center" readingOrder="0" vertical="center"/>
    </xf>
    <xf borderId="19" fillId="0" fontId="14" numFmtId="0" xfId="0" applyBorder="1" applyFont="1"/>
    <xf borderId="14" fillId="0" fontId="14" numFmtId="0" xfId="0" applyBorder="1" applyFont="1"/>
    <xf borderId="0" fillId="0" fontId="24" numFmtId="167" xfId="0" applyAlignment="1" applyFont="1" applyNumberFormat="1">
      <alignment horizontal="left" readingOrder="0" vertical="bottom"/>
    </xf>
    <xf borderId="0" fillId="0" fontId="25" numFmtId="167" xfId="0" applyAlignment="1" applyFont="1" applyNumberFormat="1">
      <alignment horizontal="center" readingOrder="0" vertical="center"/>
    </xf>
    <xf borderId="0" fillId="0" fontId="18" numFmtId="167" xfId="0" applyFont="1" applyNumberFormat="1"/>
    <xf borderId="0" fillId="0" fontId="27" numFmtId="167" xfId="0" applyAlignment="1" applyFont="1" applyNumberFormat="1">
      <alignment readingOrder="0"/>
    </xf>
    <xf borderId="0" fillId="0" fontId="28" numFmtId="167" xfId="0" applyAlignment="1" applyFont="1" applyNumberFormat="1">
      <alignment horizontal="center" vertical="center"/>
    </xf>
    <xf borderId="0" fillId="0" fontId="23" numFmtId="167" xfId="0" applyAlignment="1" applyFont="1" applyNumberFormat="1">
      <alignment horizontal="right" shrinkToFit="0" textRotation="90" vertical="center" wrapText="1"/>
    </xf>
    <xf borderId="10" fillId="6" fontId="2" numFmtId="0" xfId="0" applyAlignment="1" applyBorder="1" applyFont="1">
      <alignment horizontal="center" readingOrder="0" shrinkToFit="0" vertical="center" wrapText="1"/>
    </xf>
    <xf borderId="10" fillId="6" fontId="1" numFmtId="0" xfId="0" applyAlignment="1" applyBorder="1" applyFont="1">
      <alignment horizontal="center" readingOrder="0" shrinkToFit="0" vertical="center" wrapText="1"/>
    </xf>
    <xf borderId="0" fillId="0" fontId="29" numFmtId="167" xfId="0" applyAlignment="1" applyFont="1" applyNumberFormat="1">
      <alignment horizontal="right" shrinkToFit="0" vertical="center" wrapText="1"/>
    </xf>
    <xf borderId="13" fillId="2" fontId="22" numFmtId="167" xfId="0" applyAlignment="1" applyBorder="1" applyFont="1" applyNumberFormat="1">
      <alignment horizontal="center" shrinkToFit="0" vertical="center" wrapText="1"/>
    </xf>
    <xf borderId="0" fillId="0" fontId="22" numFmtId="167" xfId="0" applyAlignment="1" applyFont="1" applyNumberFormat="1">
      <alignment horizontal="center" vertical="center"/>
    </xf>
    <xf borderId="0" fillId="2" fontId="29" numFmtId="167" xfId="0" applyAlignment="1" applyFont="1" applyNumberFormat="1">
      <alignment horizontal="right" readingOrder="0" vertical="center"/>
    </xf>
    <xf borderId="17" fillId="2" fontId="22" numFmtId="167" xfId="0" applyAlignment="1" applyBorder="1" applyFont="1" applyNumberFormat="1">
      <alignment horizontal="center" shrinkToFit="0" vertical="center" wrapText="1"/>
    </xf>
    <xf borderId="11" fillId="0" fontId="22" numFmtId="167" xfId="0" applyAlignment="1" applyBorder="1" applyFont="1" applyNumberFormat="1">
      <alignment horizontal="center" shrinkToFit="0" vertical="center" wrapText="1"/>
    </xf>
    <xf borderId="0" fillId="0" fontId="25" numFmtId="167" xfId="0" applyAlignment="1" applyFont="1" applyNumberFormat="1">
      <alignment horizontal="center" shrinkToFit="0" vertical="center" wrapText="1"/>
    </xf>
    <xf borderId="0" fillId="0" fontId="20" numFmtId="167" xfId="0" applyAlignment="1" applyFont="1" applyNumberFormat="1">
      <alignment horizontal="center" shrinkToFit="0" vertical="center" wrapText="1"/>
    </xf>
    <xf borderId="20" fillId="6" fontId="20" numFmtId="167" xfId="0" applyAlignment="1" applyBorder="1" applyFont="1" applyNumberFormat="1">
      <alignment horizontal="center" shrinkToFit="0" vertical="center" wrapText="1"/>
    </xf>
    <xf borderId="0" fillId="0" fontId="30" numFmtId="167" xfId="0" applyAlignment="1" applyFont="1" applyNumberFormat="1">
      <alignment horizontal="right" shrinkToFit="0" vertical="center" wrapText="1"/>
    </xf>
    <xf borderId="20" fillId="0" fontId="22" numFmtId="167" xfId="0" applyAlignment="1" applyBorder="1" applyFont="1" applyNumberFormat="1">
      <alignment horizontal="center" vertical="center"/>
    </xf>
    <xf borderId="0" fillId="0" fontId="31" numFmtId="167" xfId="0" applyAlignment="1" applyFont="1" applyNumberFormat="1">
      <alignment horizontal="center" vertical="center"/>
    </xf>
    <xf borderId="0" fillId="2" fontId="30" numFmtId="167" xfId="0" applyAlignment="1" applyFont="1" applyNumberFormat="1">
      <alignment horizontal="right" readingOrder="0" vertical="center"/>
    </xf>
    <xf borderId="21" fillId="0" fontId="22" numFmtId="167" xfId="0" applyAlignment="1" applyBorder="1" applyFont="1" applyNumberFormat="1">
      <alignment horizontal="center" vertical="center"/>
    </xf>
    <xf borderId="0" fillId="0" fontId="25" numFmtId="167" xfId="0" applyAlignment="1" applyFont="1" applyNumberFormat="1">
      <alignment horizontal="left" readingOrder="0" vertical="center"/>
    </xf>
    <xf borderId="0" fillId="0" fontId="32" numFmtId="167" xfId="0" applyAlignment="1" applyFont="1" applyNumberFormat="1">
      <alignment horizontal="right" shrinkToFit="0" vertical="center" wrapText="1"/>
    </xf>
    <xf borderId="22" fillId="6" fontId="20" numFmtId="167" xfId="0" applyAlignment="1" applyBorder="1" applyFont="1" applyNumberFormat="1">
      <alignment horizontal="center" shrinkToFit="0" vertical="center" wrapText="1"/>
    </xf>
    <xf borderId="0" fillId="0" fontId="24" numFmtId="167" xfId="0" applyAlignment="1" applyFont="1" applyNumberFormat="1">
      <alignment horizontal="left" shrinkToFit="0" vertical="bottom" wrapText="0"/>
    </xf>
    <xf borderId="0" fillId="0" fontId="25" numFmtId="167" xfId="0" applyAlignment="1" applyFont="1" applyNumberFormat="1">
      <alignment horizontal="left" vertical="center"/>
    </xf>
    <xf borderId="0" fillId="0" fontId="18" numFmtId="0" xfId="0" applyFont="1"/>
    <xf borderId="0" fillId="2" fontId="24" numFmtId="167" xfId="0" applyAlignment="1" applyFont="1" applyNumberFormat="1">
      <alignment horizontal="left" readingOrder="0" vertical="center"/>
    </xf>
    <xf borderId="0" fillId="2" fontId="33" numFmtId="167" xfId="0" applyAlignment="1" applyFont="1" applyNumberFormat="1">
      <alignment horizontal="left" readingOrder="0" vertical="center"/>
    </xf>
    <xf borderId="0" fillId="0" fontId="24" numFmtId="167" xfId="0" applyAlignment="1" applyFont="1" applyNumberFormat="1">
      <alignment horizontal="left" readingOrder="0" vertical="center"/>
    </xf>
    <xf borderId="0" fillId="0" fontId="33" numFmtId="167" xfId="0" applyAlignment="1" applyFont="1" applyNumberFormat="1">
      <alignment horizontal="center" vertical="center"/>
    </xf>
    <xf borderId="0" fillId="0" fontId="20" numFmtId="167" xfId="0" applyAlignment="1" applyFont="1" applyNumberFormat="1">
      <alignment horizontal="right" shrinkToFit="0" textRotation="90" vertical="center" wrapText="1"/>
    </xf>
    <xf borderId="23" fillId="6" fontId="20" numFmtId="167" xfId="0" applyAlignment="1" applyBorder="1" applyFont="1" applyNumberFormat="1">
      <alignment horizontal="center" shrinkToFit="0" vertical="center" wrapText="1"/>
    </xf>
    <xf borderId="24" fillId="6" fontId="20" numFmtId="167" xfId="0" applyAlignment="1" applyBorder="1" applyFont="1" applyNumberFormat="1">
      <alignment horizontal="center" shrinkToFit="0" vertical="center" wrapText="1"/>
    </xf>
    <xf borderId="25" fillId="6" fontId="34" numFmtId="0" xfId="0" applyAlignment="1" applyBorder="1" applyFont="1">
      <alignment horizontal="center" readingOrder="0" shrinkToFit="0" vertical="center" wrapText="1"/>
    </xf>
    <xf borderId="26" fillId="6" fontId="20" numFmtId="167" xfId="0" applyAlignment="1" applyBorder="1" applyFont="1" applyNumberFormat="1">
      <alignment horizontal="center" shrinkToFit="0" vertical="center" wrapText="1"/>
    </xf>
    <xf borderId="27" fillId="6" fontId="34" numFmtId="0" xfId="0" applyAlignment="1" applyBorder="1" applyFont="1">
      <alignment horizontal="center" readingOrder="0" shrinkToFit="0" vertical="center" wrapText="1"/>
    </xf>
    <xf borderId="28" fillId="6" fontId="20" numFmtId="167" xfId="0" applyAlignment="1" applyBorder="1" applyFont="1" applyNumberFormat="1">
      <alignment horizontal="center" readingOrder="0" shrinkToFit="0" vertical="center" wrapText="1"/>
    </xf>
    <xf borderId="24" fillId="6" fontId="20" numFmtId="167" xfId="0" applyAlignment="1" applyBorder="1" applyFont="1" applyNumberFormat="1">
      <alignment horizontal="center" readingOrder="0" shrinkToFit="0" vertical="center" wrapText="1"/>
    </xf>
    <xf borderId="26" fillId="6" fontId="20" numFmtId="167" xfId="0" applyAlignment="1" applyBorder="1" applyFont="1" applyNumberFormat="1">
      <alignment horizontal="center" readingOrder="0" shrinkToFit="0" vertical="center" wrapText="1"/>
    </xf>
    <xf borderId="0" fillId="0" fontId="35" numFmtId="167" xfId="0" applyAlignment="1" applyFont="1" applyNumberFormat="1">
      <alignment horizontal="right" shrinkToFit="0" vertical="center" wrapText="1"/>
    </xf>
    <xf borderId="29" fillId="0" fontId="22" numFmtId="167" xfId="0" applyAlignment="1" applyBorder="1" applyFont="1" applyNumberFormat="1">
      <alignment horizontal="center" vertical="center"/>
    </xf>
    <xf borderId="30" fillId="0" fontId="22" numFmtId="167" xfId="0" applyAlignment="1" applyBorder="1" applyFont="1" applyNumberFormat="1">
      <alignment horizontal="center" vertical="center"/>
    </xf>
    <xf borderId="31" fillId="2" fontId="22" numFmtId="167" xfId="0" applyAlignment="1" applyBorder="1" applyFont="1" applyNumberFormat="1">
      <alignment horizontal="center" shrinkToFit="0" vertical="center" wrapText="1"/>
    </xf>
    <xf borderId="0" fillId="2" fontId="35" numFmtId="167" xfId="0" applyAlignment="1" applyFont="1" applyNumberFormat="1">
      <alignment horizontal="right" readingOrder="0" vertical="center"/>
    </xf>
    <xf borderId="32" fillId="0" fontId="22" numFmtId="167" xfId="0" applyAlignment="1" applyBorder="1" applyFont="1" applyNumberFormat="1">
      <alignment horizontal="center" vertical="center"/>
    </xf>
    <xf borderId="33" fillId="0" fontId="22" numFmtId="167" xfId="0" applyAlignment="1" applyBorder="1" applyFont="1" applyNumberFormat="1">
      <alignment horizontal="center" vertical="center"/>
    </xf>
    <xf borderId="34" fillId="2" fontId="22" numFmtId="167" xfId="0" applyAlignment="1" applyBorder="1" applyFont="1" applyNumberFormat="1">
      <alignment horizontal="center" shrinkToFit="0" vertical="center" wrapText="1"/>
    </xf>
    <xf borderId="35" fillId="0" fontId="22" numFmtId="167" xfId="0" applyAlignment="1" applyBorder="1" applyFont="1" applyNumberFormat="1">
      <alignment horizontal="center" vertical="center"/>
    </xf>
    <xf borderId="36" fillId="0" fontId="22" numFmtId="167" xfId="0" applyAlignment="1" applyBorder="1" applyFont="1" applyNumberFormat="1">
      <alignment horizontal="center" vertical="center"/>
    </xf>
    <xf borderId="37" fillId="2" fontId="22" numFmtId="167" xfId="0" applyAlignment="1" applyBorder="1" applyFont="1" applyNumberFormat="1">
      <alignment horizontal="center" shrinkToFit="0" vertical="center" wrapText="1"/>
    </xf>
    <xf borderId="0" fillId="0" fontId="33" numFmtId="167" xfId="0" applyAlignment="1" applyFont="1" applyNumberFormat="1">
      <alignment horizontal="left" readingOrder="0" vertical="center"/>
    </xf>
    <xf borderId="0" fillId="0" fontId="34" numFmtId="0" xfId="0" applyAlignment="1" applyFont="1">
      <alignment horizontal="center" shrinkToFit="0" vertical="center" wrapText="1"/>
    </xf>
    <xf borderId="0" fillId="0" fontId="36" numFmtId="167" xfId="0" applyAlignment="1" applyFont="1" applyNumberFormat="1">
      <alignment horizontal="center" shrinkToFit="0" vertical="center" wrapText="1"/>
    </xf>
    <xf borderId="0" fillId="0" fontId="37" numFmtId="0" xfId="0" applyAlignment="1" applyFont="1">
      <alignment horizontal="center" shrinkToFit="0" vertical="center" wrapText="1"/>
    </xf>
    <xf borderId="0" fillId="0" fontId="33" numFmtId="167" xfId="0" applyAlignment="1" applyFont="1" applyNumberFormat="1">
      <alignment horizontal="left" readingOrder="0" shrinkToFit="0" vertical="center" wrapText="0"/>
    </xf>
    <xf borderId="0" fillId="0" fontId="38" numFmtId="167" xfId="0" applyAlignment="1" applyFont="1" applyNumberFormat="1">
      <alignment horizontal="right" readingOrder="0" shrinkToFit="0" vertical="center" wrapText="0"/>
    </xf>
    <xf borderId="2" fillId="0" fontId="22" numFmtId="167" xfId="0" applyAlignment="1" applyBorder="1" applyFont="1" applyNumberFormat="1">
      <alignment horizontal="center" readingOrder="0" shrinkToFit="0" vertical="center" wrapText="1"/>
    </xf>
    <xf borderId="0" fillId="0" fontId="39" numFmtId="0" xfId="0" applyAlignment="1" applyFont="1">
      <alignment horizontal="left" shrinkToFit="0" wrapText="0"/>
    </xf>
    <xf borderId="2" fillId="0" fontId="22" numFmtId="167" xfId="0" applyAlignment="1" applyBorder="1" applyFont="1" applyNumberFormat="1">
      <alignment horizontal="center" shrinkToFit="0" vertical="center" wrapText="1"/>
    </xf>
    <xf borderId="0" fillId="0" fontId="23" numFmtId="167" xfId="0" applyAlignment="1" applyFont="1" applyNumberFormat="1">
      <alignment horizontal="right" shrinkToFit="0" vertical="center" wrapText="0"/>
    </xf>
    <xf borderId="0" fillId="0" fontId="25" numFmtId="167" xfId="0" applyAlignment="1" applyFont="1" applyNumberFormat="1">
      <alignment horizontal="left" readingOrder="0" shrinkToFit="0" vertical="center" wrapText="1"/>
    </xf>
    <xf borderId="0" fillId="0" fontId="37" numFmtId="167" xfId="0" applyAlignment="1" applyFont="1" applyNumberFormat="1">
      <alignment horizontal="center" readingOrder="0" shrinkToFit="0" vertical="center" wrapText="1"/>
    </xf>
    <xf borderId="0" fillId="0" fontId="20" numFmtId="167" xfId="0" applyAlignment="1" applyFont="1" applyNumberFormat="1">
      <alignment horizontal="center" vertical="center"/>
    </xf>
    <xf borderId="0" fillId="0" fontId="38" numFmtId="167" xfId="0" applyAlignment="1" applyFont="1" applyNumberFormat="1">
      <alignment horizontal="right" shrinkToFit="0" vertical="center" wrapText="0"/>
    </xf>
    <xf borderId="2" fillId="0" fontId="27" numFmtId="167" xfId="0" applyAlignment="1" applyBorder="1" applyFont="1" applyNumberFormat="1">
      <alignment horizontal="center" shrinkToFit="0" vertical="center" wrapText="1"/>
    </xf>
    <xf borderId="0" fillId="0" fontId="37" numFmtId="167" xfId="0" applyAlignment="1" applyFont="1" applyNumberFormat="1">
      <alignment horizontal="center" vertical="center"/>
    </xf>
    <xf borderId="0" fillId="0" fontId="40" numFmtId="167" xfId="0" applyAlignment="1" applyFont="1" applyNumberFormat="1">
      <alignment horizontal="center" vertical="center"/>
    </xf>
    <xf borderId="2" fillId="6" fontId="36" numFmtId="167" xfId="0" applyAlignment="1" applyBorder="1" applyFont="1" applyNumberFormat="1">
      <alignment horizontal="center" shrinkToFit="0" vertical="center" wrapText="1"/>
    </xf>
    <xf borderId="2" fillId="6" fontId="36" numFmtId="167" xfId="0" applyAlignment="1" applyBorder="1" applyFont="1" applyNumberFormat="1">
      <alignment horizontal="center" readingOrder="0" shrinkToFit="0" vertical="center" wrapText="1"/>
    </xf>
    <xf borderId="0" fillId="0" fontId="18" numFmtId="0" xfId="0" applyAlignment="1" applyFont="1">
      <alignment shrinkToFit="0" wrapText="1"/>
    </xf>
    <xf borderId="0" fillId="0" fontId="27" numFmtId="0" xfId="0" applyFont="1"/>
    <xf borderId="2" fillId="2" fontId="27" numFmtId="167" xfId="0" applyAlignment="1" applyBorder="1" applyFont="1" applyNumberFormat="1">
      <alignment horizontal="center" vertical="center"/>
    </xf>
    <xf borderId="2" fillId="2" fontId="41" numFmtId="167" xfId="0" applyAlignment="1" applyBorder="1" applyFont="1" applyNumberFormat="1">
      <alignment horizontal="center" vertical="center"/>
    </xf>
    <xf borderId="0" fillId="0" fontId="27" numFmtId="167" xfId="0" applyAlignment="1" applyFont="1" applyNumberFormat="1">
      <alignment horizontal="center" vertical="center"/>
    </xf>
    <xf borderId="2" fillId="2" fontId="27" numFmtId="167" xfId="0" applyAlignment="1" applyBorder="1" applyFont="1" applyNumberFormat="1">
      <alignment horizontal="center" readingOrder="0" vertical="center"/>
    </xf>
    <xf borderId="0" fillId="0" fontId="31" numFmtId="167" xfId="0" applyAlignment="1" applyFont="1" applyNumberFormat="1">
      <alignment horizontal="right" vertical="center"/>
    </xf>
    <xf borderId="0" fillId="0" fontId="31" numFmtId="167" xfId="0" applyAlignment="1" applyFont="1" applyNumberFormat="1">
      <alignment horizontal="right" vertical="top"/>
    </xf>
    <xf borderId="0" fillId="2" fontId="42" numFmtId="167" xfId="0" applyAlignment="1" applyFont="1" applyNumberFormat="1">
      <alignment horizontal="left" vertical="center"/>
    </xf>
    <xf borderId="0" fillId="0" fontId="27" numFmtId="167" xfId="0" applyAlignment="1" applyFont="1" applyNumberFormat="1">
      <alignment horizontal="center" vertical="top"/>
    </xf>
    <xf borderId="0" fillId="0" fontId="27" numFmtId="167" xfId="0" applyAlignment="1" applyFont="1" applyNumberFormat="1">
      <alignment horizontal="right" vertical="center"/>
    </xf>
    <xf borderId="0" fillId="0" fontId="37" numFmtId="167" xfId="0" applyAlignment="1" applyFont="1" applyNumberFormat="1">
      <alignment horizontal="center" readingOrder="0" vertical="center"/>
    </xf>
    <xf borderId="0" fillId="0" fontId="27" numFmtId="167" xfId="0" applyAlignment="1" applyFont="1" applyNumberFormat="1">
      <alignment horizontal="left" vertical="center"/>
    </xf>
    <xf borderId="0" fillId="0" fontId="27" numFmtId="167" xfId="0" applyFont="1" applyNumberFormat="1"/>
    <xf borderId="0" fillId="0" fontId="28" numFmtId="167" xfId="0" applyAlignment="1" applyFont="1" applyNumberFormat="1">
      <alignment horizontal="center" readingOrder="0" vertical="center"/>
    </xf>
    <xf borderId="0" fillId="0" fontId="28" numFmtId="170" xfId="0" applyAlignment="1" applyFont="1" applyNumberFormat="1">
      <alignment horizontal="center" vertical="center"/>
    </xf>
    <xf borderId="0" fillId="2" fontId="11" numFmtId="171" xfId="0" applyAlignment="1" applyFont="1" applyNumberFormat="1">
      <alignment readingOrder="0"/>
    </xf>
    <xf borderId="0" fillId="0" fontId="27" numFmtId="164" xfId="0" applyAlignment="1" applyFont="1" applyNumberFormat="1">
      <alignment horizontal="center" readingOrder="0" vertical="center"/>
    </xf>
    <xf borderId="0" fillId="0" fontId="27" numFmtId="171" xfId="0" applyAlignment="1" applyFont="1" applyNumberFormat="1">
      <alignment horizontal="center" vertical="center"/>
    </xf>
    <xf borderId="0" fillId="0" fontId="12" numFmtId="167" xfId="0" applyAlignment="1" applyFont="1" applyNumberFormat="1">
      <alignment horizontal="right" readingOrder="0" vertical="bottom"/>
    </xf>
    <xf borderId="0" fillId="0" fontId="12" numFmtId="167" xfId="0" applyAlignment="1" applyFont="1" applyNumberFormat="1">
      <alignment horizontal="center" vertical="bottom"/>
    </xf>
    <xf borderId="4" fillId="0" fontId="13" numFmtId="0" xfId="0" applyAlignment="1" applyBorder="1" applyFont="1">
      <alignment horizontal="right" readingOrder="0" vertical="bottom"/>
    </xf>
    <xf borderId="4" fillId="2" fontId="13" numFmtId="0" xfId="0" applyAlignment="1" applyBorder="1" applyFont="1">
      <alignment horizontal="left" readingOrder="0" vertical="bottom"/>
    </xf>
    <xf borderId="4" fillId="0" fontId="13" numFmtId="0" xfId="0" applyAlignment="1" applyBorder="1" applyFont="1">
      <alignment horizontal="center" readingOrder="0" vertical="bottom"/>
    </xf>
    <xf borderId="4" fillId="0" fontId="13" numFmtId="170" xfId="0" applyAlignment="1" applyBorder="1" applyFont="1" applyNumberFormat="1">
      <alignment horizontal="center" readingOrder="0" vertical="bottom"/>
    </xf>
    <xf borderId="38" fillId="2" fontId="22" numFmtId="167" xfId="0" applyAlignment="1" applyBorder="1" applyFont="1" applyNumberFormat="1">
      <alignment horizontal="center" shrinkToFit="0" vertical="center" wrapText="1"/>
    </xf>
    <xf borderId="39" fillId="2" fontId="22" numFmtId="167" xfId="0" applyAlignment="1" applyBorder="1" applyFont="1" applyNumberFormat="1">
      <alignment horizontal="center" shrinkToFit="0" vertical="center" wrapText="1"/>
    </xf>
    <xf borderId="0" fillId="0" fontId="43" numFmtId="167" xfId="0" applyAlignment="1" applyFont="1" applyNumberFormat="1">
      <alignment horizontal="right"/>
    </xf>
    <xf borderId="0" fillId="2" fontId="43" numFmtId="167" xfId="0" applyAlignment="1" applyFont="1" applyNumberFormat="1">
      <alignment vertical="bottom"/>
    </xf>
    <xf borderId="0" fillId="2" fontId="43" numFmtId="167" xfId="0" applyAlignment="1" applyFont="1" applyNumberFormat="1">
      <alignment horizontal="left" readingOrder="0" vertical="bottom"/>
    </xf>
    <xf borderId="0" fillId="0" fontId="43" numFmtId="167" xfId="0" applyAlignment="1" applyFont="1" applyNumberFormat="1">
      <alignment horizontal="center"/>
    </xf>
    <xf borderId="0" fillId="0" fontId="43" numFmtId="168" xfId="0" applyAlignment="1" applyFont="1" applyNumberFormat="1">
      <alignment horizontal="center" readingOrder="0"/>
    </xf>
    <xf borderId="0" fillId="0" fontId="43" numFmtId="168" xfId="0" applyAlignment="1" applyFont="1" applyNumberFormat="1">
      <alignment horizontal="center"/>
    </xf>
    <xf borderId="22" fillId="2" fontId="35" numFmtId="167" xfId="0" applyAlignment="1" applyBorder="1" applyFont="1" applyNumberFormat="1">
      <alignment horizontal="right" readingOrder="0" vertical="center"/>
    </xf>
    <xf borderId="40" fillId="0" fontId="24" numFmtId="167" xfId="0" applyAlignment="1" applyBorder="1" applyFont="1" applyNumberFormat="1">
      <alignment horizontal="left" readingOrder="0" shrinkToFit="0" vertical="bottom" wrapText="0"/>
    </xf>
    <xf borderId="40" fillId="0" fontId="22" numFmtId="167" xfId="0" applyAlignment="1" applyBorder="1" applyFont="1" applyNumberFormat="1">
      <alignment horizontal="center" vertical="center"/>
    </xf>
    <xf borderId="40" fillId="2" fontId="22" numFmtId="0" xfId="0" applyAlignment="1" applyBorder="1" applyFont="1">
      <alignment horizontal="center" shrinkToFit="0" vertical="center" wrapText="1"/>
    </xf>
    <xf borderId="41" fillId="0" fontId="22" numFmtId="167" xfId="0" applyAlignment="1" applyBorder="1" applyFont="1" applyNumberFormat="1">
      <alignment horizontal="center" vertical="center"/>
    </xf>
    <xf borderId="42" fillId="0" fontId="5" numFmtId="167" xfId="0" applyAlignment="1" applyBorder="1" applyFont="1" applyNumberFormat="1">
      <alignment horizontal="center" shrinkToFit="0" vertical="center" wrapText="1"/>
    </xf>
    <xf borderId="14" fillId="6" fontId="44" numFmtId="167" xfId="0" applyAlignment="1" applyBorder="1" applyFont="1" applyNumberFormat="1">
      <alignment horizontal="center" shrinkToFit="0" vertical="center" wrapText="1"/>
    </xf>
    <xf borderId="43" fillId="6" fontId="3" numFmtId="167" xfId="0" applyAlignment="1" applyBorder="1" applyFont="1" applyNumberFormat="1">
      <alignment horizontal="center" readingOrder="0" shrinkToFit="0" vertical="center" wrapText="1"/>
    </xf>
    <xf borderId="44" fillId="0" fontId="5" numFmtId="0" xfId="0" applyAlignment="1" applyBorder="1" applyFont="1">
      <alignment horizontal="center" shrinkToFit="0" vertical="center" wrapText="1"/>
    </xf>
    <xf borderId="43" fillId="6" fontId="5" numFmtId="167" xfId="0" applyAlignment="1" applyBorder="1" applyFont="1" applyNumberFormat="1">
      <alignment horizontal="center" readingOrder="0" shrinkToFit="0" vertical="center" wrapText="1"/>
    </xf>
    <xf borderId="44" fillId="0" fontId="5" numFmtId="167" xfId="0" applyAlignment="1" applyBorder="1" applyFont="1" applyNumberFormat="1">
      <alignment horizontal="center" shrinkToFit="0" vertical="center" wrapText="1"/>
    </xf>
    <xf borderId="45" fillId="0" fontId="5" numFmtId="167" xfId="0" applyAlignment="1" applyBorder="1" applyFont="1" applyNumberFormat="1">
      <alignment horizontal="center" shrinkToFit="0" vertical="center" wrapText="1"/>
    </xf>
    <xf borderId="42" fillId="0" fontId="5" numFmtId="167" xfId="0" applyBorder="1" applyFont="1" applyNumberFormat="1"/>
    <xf borderId="46" fillId="0" fontId="22" numFmtId="167" xfId="0" applyAlignment="1" applyBorder="1" applyFont="1" applyNumberFormat="1">
      <alignment horizontal="center"/>
    </xf>
    <xf borderId="47" fillId="0" fontId="22" numFmtId="167" xfId="0" applyAlignment="1" applyBorder="1" applyFont="1" applyNumberFormat="1">
      <alignment horizontal="center"/>
    </xf>
    <xf borderId="47" fillId="2" fontId="22" numFmtId="167" xfId="0" applyAlignment="1" applyBorder="1" applyFont="1" applyNumberFormat="1">
      <alignment horizontal="center" shrinkToFit="0" wrapText="1"/>
    </xf>
    <xf borderId="44" fillId="0" fontId="5" numFmtId="0" xfId="0" applyAlignment="1" applyBorder="1" applyFont="1">
      <alignment vertical="bottom"/>
    </xf>
    <xf borderId="44" fillId="0" fontId="5" numFmtId="167" xfId="0" applyAlignment="1" applyBorder="1" applyFont="1" applyNumberFormat="1">
      <alignment vertical="bottom"/>
    </xf>
    <xf borderId="45" fillId="0" fontId="5" numFmtId="167" xfId="0" applyBorder="1" applyFont="1" applyNumberFormat="1"/>
    <xf borderId="42" fillId="2" fontId="5" numFmtId="167" xfId="0" applyBorder="1" applyFont="1" applyNumberFormat="1"/>
    <xf borderId="48" fillId="2" fontId="22" numFmtId="167" xfId="0" applyAlignment="1" applyBorder="1" applyFont="1" applyNumberFormat="1">
      <alignment horizontal="center" shrinkToFit="0" wrapText="1"/>
    </xf>
    <xf borderId="47" fillId="0" fontId="22" numFmtId="167" xfId="0" applyAlignment="1" applyBorder="1" applyFont="1" applyNumberFormat="1">
      <alignment horizontal="center" shrinkToFit="0" wrapText="1"/>
    </xf>
    <xf borderId="49" fillId="0" fontId="5" numFmtId="167" xfId="0" applyBorder="1" applyFont="1" applyNumberFormat="1"/>
    <xf borderId="6" fillId="0" fontId="24" numFmtId="167" xfId="0" applyAlignment="1" applyBorder="1" applyFont="1" applyNumberFormat="1">
      <alignment readingOrder="0" shrinkToFit="0" vertical="bottom" wrapText="0"/>
    </xf>
    <xf borderId="6" fillId="0" fontId="5" numFmtId="167" xfId="0" applyAlignment="1" applyBorder="1" applyFont="1" applyNumberFormat="1">
      <alignment vertical="bottom"/>
    </xf>
    <xf borderId="6" fillId="0" fontId="5" numFmtId="167" xfId="0" applyBorder="1" applyFont="1" applyNumberFormat="1"/>
    <xf borderId="0" fillId="0" fontId="5" numFmtId="167" xfId="0" applyFont="1" applyNumberFormat="1"/>
    <xf borderId="6" fillId="0" fontId="22" numFmtId="167" xfId="0" applyAlignment="1" applyBorder="1" applyFont="1" applyNumberFormat="1">
      <alignment horizontal="center" vertical="center"/>
    </xf>
    <xf borderId="6" fillId="0" fontId="14" numFmtId="0" xfId="0" applyBorder="1" applyFont="1"/>
    <xf borderId="50" fillId="0" fontId="5" numFmtId="167" xfId="0" applyAlignment="1" applyBorder="1" applyFont="1" applyNumberFormat="1">
      <alignment horizontal="center" vertical="center"/>
    </xf>
    <xf borderId="46" fillId="6" fontId="44" numFmtId="167" xfId="0" applyAlignment="1" applyBorder="1" applyFont="1" applyNumberFormat="1">
      <alignment horizontal="center" shrinkToFit="0" vertical="center" wrapText="1"/>
    </xf>
    <xf borderId="44" fillId="0" fontId="5" numFmtId="167" xfId="0" applyAlignment="1" applyBorder="1" applyFont="1" applyNumberFormat="1">
      <alignment horizontal="center" vertical="center"/>
    </xf>
    <xf borderId="0" fillId="0" fontId="5" numFmtId="167" xfId="0" applyAlignment="1" applyFont="1" applyNumberFormat="1">
      <alignment horizontal="center" vertical="center"/>
    </xf>
    <xf borderId="45" fillId="0" fontId="5" numFmtId="167" xfId="0" applyAlignment="1" applyBorder="1" applyFont="1" applyNumberFormat="1">
      <alignment horizontal="center" vertical="center"/>
    </xf>
    <xf borderId="50" fillId="0" fontId="5" numFmtId="167" xfId="0" applyBorder="1" applyFont="1" applyNumberFormat="1"/>
    <xf borderId="51" fillId="0" fontId="22" numFmtId="167" xfId="0" applyAlignment="1" applyBorder="1" applyFont="1" applyNumberFormat="1">
      <alignment horizontal="center"/>
    </xf>
    <xf borderId="50" fillId="2" fontId="5" numFmtId="167" xfId="0" applyBorder="1" applyFont="1" applyNumberFormat="1"/>
    <xf borderId="52" fillId="0" fontId="22" numFmtId="167" xfId="0" applyAlignment="1" applyBorder="1" applyFont="1" applyNumberFormat="1">
      <alignment horizontal="center"/>
    </xf>
    <xf borderId="4" fillId="0" fontId="24" numFmtId="167" xfId="0" applyAlignment="1" applyBorder="1" applyFont="1" applyNumberFormat="1">
      <alignment readingOrder="0" shrinkToFit="0" vertical="bottom" wrapText="0"/>
    </xf>
    <xf borderId="50" fillId="0" fontId="5" numFmtId="167" xfId="0" applyAlignment="1" applyBorder="1" applyFont="1" applyNumberFormat="1">
      <alignment vertical="center"/>
    </xf>
    <xf borderId="44" fillId="0" fontId="5" numFmtId="167" xfId="0" applyAlignment="1" applyBorder="1" applyFont="1" applyNumberFormat="1">
      <alignment vertical="center"/>
    </xf>
    <xf borderId="0" fillId="0" fontId="5" numFmtId="167" xfId="0" applyAlignment="1" applyFont="1" applyNumberFormat="1">
      <alignment vertical="center"/>
    </xf>
    <xf borderId="45" fillId="0" fontId="5" numFmtId="167" xfId="0" applyAlignment="1" applyBorder="1" applyFont="1" applyNumberFormat="1">
      <alignment vertical="center"/>
    </xf>
    <xf borderId="4" fillId="0" fontId="5" numFmtId="167" xfId="0" applyBorder="1" applyFont="1" applyNumberFormat="1"/>
    <xf borderId="4" fillId="0" fontId="5" numFmtId="167" xfId="0" applyAlignment="1" applyBorder="1" applyFont="1" applyNumberFormat="1">
      <alignment vertical="bottom"/>
    </xf>
    <xf borderId="45" fillId="0" fontId="1" numFmtId="0" xfId="0" applyBorder="1" applyFont="1"/>
    <xf borderId="53" fillId="6" fontId="5" numFmtId="0" xfId="0" applyAlignment="1" applyBorder="1" applyFont="1">
      <alignment horizontal="center" readingOrder="0" shrinkToFit="0" vertical="center" wrapText="1"/>
    </xf>
    <xf borderId="6" fillId="6" fontId="44" numFmtId="167" xfId="0" applyAlignment="1" applyBorder="1" applyFont="1" applyNumberFormat="1">
      <alignment horizontal="center" shrinkToFit="0" vertical="center" wrapText="1"/>
    </xf>
    <xf borderId="10" fillId="6" fontId="5" numFmtId="0" xfId="0" applyAlignment="1" applyBorder="1" applyFont="1">
      <alignment horizontal="center" readingOrder="0" shrinkToFit="0" vertical="center" wrapText="1"/>
    </xf>
    <xf borderId="6" fillId="0" fontId="22" numFmtId="167" xfId="0" applyAlignment="1" applyBorder="1" applyFont="1" applyNumberFormat="1">
      <alignment horizontal="center"/>
    </xf>
    <xf borderId="54" fillId="2" fontId="22" numFmtId="167" xfId="0" applyAlignment="1" applyBorder="1" applyFont="1" applyNumberFormat="1">
      <alignment horizontal="center" shrinkToFit="0" wrapText="1"/>
    </xf>
    <xf borderId="55" fillId="0" fontId="22" numFmtId="167" xfId="0" applyAlignment="1" applyBorder="1" applyFont="1" applyNumberFormat="1">
      <alignment horizontal="center"/>
    </xf>
    <xf borderId="55" fillId="2" fontId="22" numFmtId="167" xfId="0" applyAlignment="1" applyBorder="1" applyFont="1" applyNumberFormat="1">
      <alignment horizontal="center" shrinkToFit="0" wrapText="1"/>
    </xf>
    <xf borderId="4" fillId="0" fontId="22" numFmtId="167" xfId="0" applyAlignment="1" applyBorder="1" applyFont="1" applyNumberFormat="1">
      <alignment horizontal="center"/>
    </xf>
    <xf borderId="56" fillId="2" fontId="22" numFmtId="167" xfId="0" applyAlignment="1" applyBorder="1" applyFont="1" applyNumberFormat="1">
      <alignment horizontal="center" shrinkToFit="0" wrapText="1"/>
    </xf>
    <xf borderId="49" fillId="2" fontId="5" numFmtId="167" xfId="0" applyBorder="1" applyFont="1" applyNumberFormat="1"/>
    <xf borderId="6" fillId="2" fontId="24" numFmtId="167" xfId="0" applyAlignment="1" applyBorder="1" applyFont="1" applyNumberFormat="1">
      <alignment readingOrder="0" shrinkToFit="0" wrapText="0"/>
    </xf>
    <xf borderId="4" fillId="2" fontId="5" numFmtId="167" xfId="0" applyBorder="1" applyFont="1" applyNumberFormat="1"/>
    <xf borderId="4" fillId="0" fontId="24" numFmtId="167" xfId="0" applyAlignment="1" applyBorder="1" applyFont="1" applyNumberFormat="1">
      <alignment readingOrder="0" shrinkToFit="0" wrapText="0"/>
    </xf>
    <xf borderId="0" fillId="0" fontId="22" numFmtId="167" xfId="0" applyAlignment="1" applyFont="1" applyNumberFormat="1">
      <alignment horizontal="center"/>
    </xf>
    <xf borderId="45" fillId="0" fontId="22" numFmtId="167" xfId="0" applyAlignment="1" applyBorder="1" applyFont="1" applyNumberFormat="1">
      <alignment horizontal="center"/>
    </xf>
    <xf borderId="2" fillId="6" fontId="44" numFmtId="167" xfId="0" applyAlignment="1" applyBorder="1" applyFont="1" applyNumberFormat="1">
      <alignment horizontal="center" readingOrder="0" shrinkToFit="0" vertical="center" wrapText="1"/>
    </xf>
    <xf borderId="46" fillId="6" fontId="44" numFmtId="167" xfId="0" applyAlignment="1" applyBorder="1" applyFont="1" applyNumberFormat="1">
      <alignment horizontal="center" readingOrder="0" shrinkToFit="0" vertical="center" wrapText="1"/>
    </xf>
    <xf borderId="51" fillId="6" fontId="44" numFmtId="167" xfId="0" applyAlignment="1" applyBorder="1" applyFont="1" applyNumberFormat="1">
      <alignment horizontal="center" readingOrder="0" shrinkToFit="0" vertical="center" wrapText="1"/>
    </xf>
    <xf borderId="2" fillId="0" fontId="22" numFmtId="167" xfId="0" applyAlignment="1" applyBorder="1" applyFont="1" applyNumberFormat="1">
      <alignment horizontal="center"/>
    </xf>
    <xf borderId="57" fillId="2" fontId="5" numFmtId="167" xfId="0" applyBorder="1" applyFont="1" applyNumberFormat="1"/>
    <xf borderId="32" fillId="0" fontId="22" numFmtId="167" xfId="0" applyAlignment="1" applyBorder="1" applyFont="1" applyNumberFormat="1">
      <alignment horizontal="center"/>
    </xf>
    <xf borderId="58" fillId="0" fontId="22" numFmtId="167" xfId="0" applyAlignment="1" applyBorder="1" applyFont="1" applyNumberFormat="1">
      <alignment horizontal="center"/>
    </xf>
    <xf borderId="0" fillId="0" fontId="23" numFmtId="167" xfId="0" applyAlignment="1" applyFont="1" applyNumberFormat="1">
      <alignment horizontal="right" readingOrder="0" shrinkToFit="0" vertical="center" wrapText="1"/>
    </xf>
    <xf borderId="2" fillId="6" fontId="23" numFmtId="167" xfId="0" applyAlignment="1" applyBorder="1" applyFont="1" applyNumberFormat="1">
      <alignment horizontal="center" shrinkToFit="0" vertical="center" wrapText="1"/>
    </xf>
    <xf borderId="0" fillId="2" fontId="38" numFmtId="0" xfId="0" applyAlignment="1" applyFont="1">
      <alignment horizontal="right" shrinkToFit="0" vertical="center" wrapText="0"/>
    </xf>
    <xf borderId="2" fillId="0" fontId="25" numFmtId="167" xfId="0" applyAlignment="1" applyBorder="1" applyFont="1" applyNumberFormat="1">
      <alignment horizontal="center" shrinkToFit="0" vertical="center" wrapText="1"/>
    </xf>
    <xf borderId="0" fillId="0" fontId="38" numFmtId="0" xfId="0" applyAlignment="1" applyFont="1">
      <alignment horizontal="right" readingOrder="0" shrinkToFit="0" vertical="center" wrapText="0"/>
    </xf>
    <xf borderId="44" fillId="0" fontId="38" numFmtId="0" xfId="0" applyAlignment="1" applyBorder="1" applyFont="1">
      <alignment horizontal="right" readingOrder="0" shrinkToFit="0" vertical="center" wrapText="0"/>
    </xf>
    <xf borderId="0" fillId="0" fontId="45" numFmtId="167" xfId="0" applyAlignment="1" applyFont="1" applyNumberFormat="1">
      <alignment horizontal="right" readingOrder="0" shrinkToFit="0" vertical="center" wrapText="0"/>
    </xf>
    <xf borderId="2" fillId="0" fontId="22" numFmtId="0" xfId="0" applyAlignment="1" applyBorder="1" applyFont="1">
      <alignment horizontal="center" readingOrder="0" shrinkToFit="0" vertical="center" wrapText="1"/>
    </xf>
    <xf borderId="6" fillId="0" fontId="46" numFmtId="0" xfId="0" applyAlignment="1" applyBorder="1" applyFont="1">
      <alignment horizontal="center" readingOrder="0" shrinkToFit="0" vertical="bottom" wrapText="1"/>
    </xf>
    <xf borderId="6" fillId="0" fontId="47" numFmtId="0" xfId="0" applyAlignment="1" applyBorder="1" applyFont="1">
      <alignment horizontal="center" readingOrder="0" shrinkToFit="0" vertical="bottom" wrapText="1"/>
    </xf>
    <xf borderId="6" fillId="0" fontId="47" numFmtId="0" xfId="0" applyAlignment="1" applyBorder="1" applyFont="1">
      <alignment horizontal="center" readingOrder="0" vertical="bottom"/>
    </xf>
    <xf borderId="6" fillId="0" fontId="48" numFmtId="0" xfId="0" applyAlignment="1" applyBorder="1" applyFont="1">
      <alignment horizontal="right" readingOrder="0" vertical="bottom"/>
    </xf>
    <xf borderId="6" fillId="2" fontId="48" numFmtId="0" xfId="0" applyAlignment="1" applyBorder="1" applyFont="1">
      <alignment horizontal="left" readingOrder="0" vertical="bottom"/>
    </xf>
    <xf borderId="6" fillId="0" fontId="48" numFmtId="170" xfId="0" applyAlignment="1" applyBorder="1" applyFont="1" applyNumberFormat="1">
      <alignment horizontal="center" readingOrder="0" vertical="bottom"/>
    </xf>
    <xf borderId="6" fillId="0" fontId="48" numFmtId="0" xfId="0" applyAlignment="1" applyBorder="1" applyFont="1">
      <alignment horizontal="center" readingOrder="0" vertical="bottom"/>
    </xf>
    <xf borderId="59" fillId="7" fontId="49" numFmtId="0" xfId="0" applyAlignment="1" applyBorder="1" applyFill="1" applyFont="1">
      <alignment horizontal="center" readingOrder="0" shrinkToFit="0" vertical="center" wrapText="1"/>
    </xf>
    <xf borderId="46" fillId="0" fontId="14" numFmtId="0" xfId="0" applyBorder="1" applyFont="1"/>
    <xf borderId="59" fillId="7" fontId="50" numFmtId="0" xfId="0" applyAlignment="1" applyBorder="1" applyFont="1">
      <alignment horizontal="center" readingOrder="0" vertical="center"/>
    </xf>
    <xf borderId="1" fillId="7" fontId="49" numFmtId="0" xfId="0" applyAlignment="1" applyBorder="1" applyFont="1">
      <alignment horizontal="center" readingOrder="0" shrinkToFit="0" vertical="center" wrapText="1"/>
    </xf>
    <xf borderId="59" fillId="7" fontId="50" numFmtId="0" xfId="0" applyAlignment="1" applyBorder="1" applyFont="1">
      <alignment horizontal="center" shrinkToFit="0" vertical="center" wrapText="1"/>
    </xf>
    <xf borderId="60" fillId="6" fontId="51" numFmtId="0" xfId="0" applyAlignment="1" applyBorder="1" applyFont="1">
      <alignment horizontal="center" readingOrder="0" shrinkToFit="0" textRotation="0" vertical="center" wrapText="1"/>
    </xf>
    <xf borderId="10" fillId="6" fontId="51" numFmtId="0" xfId="0" applyAlignment="1" applyBorder="1" applyFont="1">
      <alignment horizontal="center" readingOrder="0" shrinkToFit="0" vertical="center" wrapText="1"/>
    </xf>
    <xf borderId="19" fillId="6" fontId="51" numFmtId="0" xfId="0" applyAlignment="1" applyBorder="1" applyFont="1">
      <alignment horizontal="center" readingOrder="0" shrinkToFit="0" vertical="center" wrapText="1"/>
    </xf>
    <xf borderId="1" fillId="0" fontId="14" numFmtId="0" xfId="0" applyBorder="1" applyFont="1"/>
    <xf borderId="14" fillId="6" fontId="51" numFmtId="0" xfId="0" applyAlignment="1" applyBorder="1" applyFont="1">
      <alignment horizontal="center" readingOrder="0" shrinkToFit="0" vertical="center" wrapText="1"/>
    </xf>
    <xf borderId="46" fillId="6" fontId="51" numFmtId="0" xfId="0" applyAlignment="1" applyBorder="1" applyFont="1">
      <alignment horizontal="center" readingOrder="0" shrinkToFit="0" vertical="center" wrapText="1"/>
    </xf>
    <xf borderId="60" fillId="0" fontId="47" numFmtId="0" xfId="0" applyAlignment="1" applyBorder="1" applyFont="1">
      <alignment horizontal="center" readingOrder="0" shrinkToFit="0" textRotation="90" vertical="center" wrapText="1"/>
    </xf>
    <xf borderId="10" fillId="0" fontId="52" numFmtId="0" xfId="0" applyAlignment="1" applyBorder="1" applyFont="1">
      <alignment horizontal="center" readingOrder="0" shrinkToFit="0" textRotation="90" vertical="center" wrapText="1"/>
    </xf>
    <xf borderId="14" fillId="0" fontId="51" numFmtId="0" xfId="0" applyAlignment="1" applyBorder="1" applyFont="1">
      <alignment horizontal="left" readingOrder="0" vertical="center"/>
    </xf>
    <xf borderId="14" fillId="0" fontId="53" numFmtId="0" xfId="0" applyAlignment="1" applyBorder="1" applyFont="1">
      <alignment horizontal="center" shrinkToFit="0" vertical="center" wrapText="1"/>
    </xf>
    <xf borderId="14" fillId="0" fontId="53" numFmtId="0" xfId="0" applyAlignment="1" applyBorder="1" applyFont="1">
      <alignment horizontal="center" readingOrder="0" shrinkToFit="0" vertical="center" wrapText="1"/>
    </xf>
    <xf borderId="46" fillId="0" fontId="53" numFmtId="0" xfId="0" applyAlignment="1" applyBorder="1" applyFont="1">
      <alignment horizontal="center" shrinkToFit="0" vertical="center" wrapText="1"/>
    </xf>
    <xf borderId="60" fillId="0" fontId="14" numFmtId="0" xfId="0" applyBorder="1" applyFont="1"/>
    <xf borderId="14" fillId="0" fontId="6" numFmtId="0" xfId="0" applyAlignment="1" applyBorder="1" applyFont="1">
      <alignment horizontal="left" vertical="center"/>
    </xf>
    <xf borderId="14" fillId="0" fontId="50" numFmtId="0" xfId="0" applyAlignment="1" applyBorder="1" applyFont="1">
      <alignment horizontal="left" readingOrder="0" vertical="center"/>
    </xf>
    <xf borderId="14" fillId="2" fontId="49" numFmtId="0" xfId="0" applyAlignment="1" applyBorder="1" applyFont="1">
      <alignment horizontal="left" readingOrder="0" vertical="center"/>
    </xf>
    <xf borderId="14" fillId="2" fontId="53" numFmtId="0" xfId="0" applyAlignment="1" applyBorder="1" applyFont="1">
      <alignment horizontal="center" readingOrder="0" shrinkToFit="0" vertical="center" wrapText="1"/>
    </xf>
    <xf borderId="14" fillId="2" fontId="53" numFmtId="0" xfId="0" applyAlignment="1" applyBorder="1" applyFont="1">
      <alignment horizontal="center" shrinkToFit="0" vertical="center" wrapText="1"/>
    </xf>
    <xf borderId="46" fillId="2" fontId="53" numFmtId="0" xfId="0" applyAlignment="1" applyBorder="1" applyFont="1">
      <alignment horizontal="center" shrinkToFit="0" vertical="center" wrapText="1"/>
    </xf>
    <xf borderId="14" fillId="0" fontId="6" numFmtId="0" xfId="0" applyAlignment="1" applyBorder="1" applyFont="1">
      <alignment horizontal="left" readingOrder="0" vertical="center"/>
    </xf>
    <xf borderId="14" fillId="0" fontId="49" numFmtId="0" xfId="0" applyAlignment="1" applyBorder="1" applyFont="1">
      <alignment horizontal="left" readingOrder="0" vertical="center"/>
    </xf>
    <xf borderId="11" fillId="0" fontId="49" numFmtId="0" xfId="0" applyAlignment="1" applyBorder="1" applyFont="1">
      <alignment horizontal="left" readingOrder="0" shrinkToFit="0" vertical="center" wrapText="1"/>
    </xf>
    <xf borderId="14" fillId="0" fontId="54" numFmtId="0" xfId="0" applyAlignment="1" applyBorder="1" applyFont="1">
      <alignment horizontal="center" readingOrder="0" vertical="center"/>
    </xf>
    <xf borderId="19" fillId="0" fontId="49" numFmtId="0" xfId="0" applyAlignment="1" applyBorder="1" applyFont="1">
      <alignment horizontal="left" readingOrder="0" shrinkToFit="0" vertical="center" wrapText="1"/>
    </xf>
    <xf borderId="27" fillId="0" fontId="49" numFmtId="0" xfId="0" applyAlignment="1" applyBorder="1" applyFont="1">
      <alignment horizontal="center" readingOrder="0" shrinkToFit="0" vertical="center" wrapText="1"/>
    </xf>
    <xf borderId="27" fillId="0" fontId="49" numFmtId="0" xfId="0" applyAlignment="1" applyBorder="1" applyFont="1">
      <alignment horizontal="center" readingOrder="0" vertical="center"/>
    </xf>
    <xf borderId="6" fillId="0" fontId="49" numFmtId="0" xfId="0" applyAlignment="1" applyBorder="1" applyFont="1">
      <alignment horizontal="center" readingOrder="0" shrinkToFit="0" vertical="center" wrapText="1"/>
    </xf>
    <xf borderId="59" fillId="7" fontId="55" numFmtId="0" xfId="0" applyAlignment="1" applyBorder="1" applyFont="1">
      <alignment horizontal="center" readingOrder="0" shrinkToFit="0" vertical="center" wrapText="1"/>
    </xf>
    <xf borderId="59" fillId="7" fontId="50" numFmtId="0" xfId="0" applyAlignment="1" applyBorder="1" applyFont="1">
      <alignment horizontal="center" vertical="center"/>
    </xf>
    <xf borderId="1" fillId="7" fontId="55" numFmtId="0" xfId="0" applyAlignment="1" applyBorder="1" applyFont="1">
      <alignment horizontal="center" readingOrder="0" shrinkToFit="0" vertical="center" wrapText="1"/>
    </xf>
    <xf borderId="59" fillId="7" fontId="56" numFmtId="0" xfId="0" applyAlignment="1" applyBorder="1" applyFont="1">
      <alignment horizontal="center" shrinkToFit="0" vertical="center" wrapText="1"/>
    </xf>
    <xf borderId="11" fillId="2" fontId="47" numFmtId="0" xfId="0" applyAlignment="1" applyBorder="1" applyFont="1">
      <alignment horizontal="center" readingOrder="0" shrinkToFit="0" vertical="center" wrapText="1"/>
    </xf>
    <xf borderId="61" fillId="6" fontId="51" numFmtId="0" xfId="0" applyAlignment="1" applyBorder="1" applyFont="1">
      <alignment horizontal="left" readingOrder="0" shrinkToFit="0" vertical="center" wrapText="1"/>
    </xf>
    <xf borderId="11" fillId="6" fontId="51" numFmtId="0" xfId="0" applyAlignment="1" applyBorder="1" applyFont="1">
      <alignment horizontal="center" readingOrder="0" shrinkToFit="0" vertical="center" wrapText="1"/>
    </xf>
    <xf borderId="61" fillId="6" fontId="51" numFmtId="0" xfId="0" applyAlignment="1" applyBorder="1" applyFont="1">
      <alignment horizontal="center" readingOrder="0" shrinkToFit="0" vertical="center" wrapText="1"/>
    </xf>
    <xf borderId="62" fillId="0" fontId="14" numFmtId="0" xfId="0" applyBorder="1" applyFont="1"/>
    <xf borderId="59" fillId="0" fontId="14" numFmtId="0" xfId="0" applyBorder="1" applyFont="1"/>
    <xf borderId="2" fillId="6" fontId="51" numFmtId="0" xfId="0" applyAlignment="1" applyBorder="1" applyFont="1">
      <alignment horizontal="center" readingOrder="0" shrinkToFit="0" vertical="center" wrapText="1"/>
    </xf>
    <xf borderId="11" fillId="0" fontId="57" numFmtId="0" xfId="0" applyAlignment="1" applyBorder="1" applyFont="1">
      <alignment horizontal="left" readingOrder="0" shrinkToFit="0" vertical="center" wrapText="1"/>
    </xf>
    <xf borderId="2" fillId="0" fontId="58" numFmtId="0" xfId="0" applyAlignment="1" applyBorder="1" applyFont="1">
      <alignment horizontal="center" shrinkToFit="0" vertical="center" wrapText="1"/>
    </xf>
    <xf borderId="2" fillId="0" fontId="57" numFmtId="0" xfId="0" applyAlignment="1" applyBorder="1" applyFont="1">
      <alignment horizontal="center" vertical="center"/>
    </xf>
    <xf borderId="2" fillId="0" fontId="57" numFmtId="0" xfId="0" applyAlignment="1" applyBorder="1" applyFont="1">
      <alignment horizontal="left" readingOrder="0" shrinkToFit="0" vertical="center" wrapText="1"/>
    </xf>
    <xf borderId="2" fillId="0" fontId="58" numFmtId="0" xfId="0" applyAlignment="1" applyBorder="1" applyFont="1">
      <alignment horizontal="center" readingOrder="0" shrinkToFit="0" vertical="center" wrapText="1"/>
    </xf>
    <xf borderId="11" fillId="0" fontId="59" numFmtId="0" xfId="0" applyAlignment="1" applyBorder="1" applyFont="1">
      <alignment horizontal="left" readingOrder="0" shrinkToFit="0" vertical="center" wrapText="1"/>
    </xf>
    <xf borderId="2" fillId="0" fontId="53" numFmtId="0" xfId="0" applyAlignment="1" applyBorder="1" applyFont="1">
      <alignment horizontal="center" shrinkToFit="0" vertical="center" wrapText="1"/>
    </xf>
    <xf borderId="2" fillId="0" fontId="53" numFmtId="0" xfId="0" applyAlignment="1" applyBorder="1" applyFont="1">
      <alignment horizontal="center" vertical="center"/>
    </xf>
    <xf borderId="2" fillId="0" fontId="59" numFmtId="0" xfId="0" applyAlignment="1" applyBorder="1" applyFont="1">
      <alignment horizontal="left" readingOrder="0" shrinkToFit="0" vertical="center" wrapText="1"/>
    </xf>
    <xf borderId="2" fillId="0" fontId="60" numFmtId="0" xfId="0" applyAlignment="1" applyBorder="1" applyFont="1">
      <alignment horizontal="center" shrinkToFit="0" vertical="center" wrapText="1"/>
    </xf>
    <xf borderId="2" fillId="0" fontId="54" numFmtId="0" xfId="0" applyAlignment="1" applyBorder="1" applyFont="1">
      <alignment horizontal="center" vertical="center"/>
    </xf>
    <xf borderId="63" fillId="0" fontId="14" numFmtId="0" xfId="0" applyBorder="1" applyFont="1"/>
    <xf borderId="2" fillId="0" fontId="61" numFmtId="0" xfId="0" applyAlignment="1" applyBorder="1" applyFont="1">
      <alignment horizontal="center" shrinkToFit="0" vertical="center" wrapText="1"/>
    </xf>
    <xf borderId="2" fillId="0" fontId="61" numFmtId="0" xfId="0" applyAlignment="1" applyBorder="1" applyFont="1">
      <alignment horizontal="center" vertical="center"/>
    </xf>
    <xf borderId="2" fillId="0" fontId="62" numFmtId="0" xfId="0" applyBorder="1" applyFont="1"/>
    <xf borderId="2" fillId="0" fontId="61" numFmtId="0" xfId="0" applyAlignment="1" applyBorder="1" applyFont="1">
      <alignment horizontal="center" readingOrder="0" shrinkToFit="0" vertical="center" wrapText="1"/>
    </xf>
    <xf borderId="2" fillId="0" fontId="62" numFmtId="167" xfId="0" applyAlignment="1" applyBorder="1" applyFont="1" applyNumberFormat="1">
      <alignment horizontal="center" vertical="center"/>
    </xf>
    <xf borderId="2" fillId="0" fontId="61" numFmtId="0" xfId="0" applyAlignment="1" applyBorder="1" applyFont="1">
      <alignment horizontal="center" shrinkToFit="0" vertical="center" wrapText="1"/>
    </xf>
    <xf borderId="19" fillId="0" fontId="47" numFmtId="0" xfId="0" applyAlignment="1" applyBorder="1" applyFont="1">
      <alignment horizontal="center" readingOrder="0" shrinkToFit="0" vertical="center" wrapText="1"/>
    </xf>
    <xf borderId="63" fillId="6" fontId="63" numFmtId="0" xfId="0" applyAlignment="1" applyBorder="1" applyFont="1">
      <alignment horizontal="center" readingOrder="0" shrinkToFit="0" vertical="center" wrapText="1"/>
    </xf>
    <xf borderId="44" fillId="0" fontId="14" numFmtId="0" xfId="0" applyBorder="1" applyFont="1"/>
    <xf borderId="60" fillId="6" fontId="63" numFmtId="0" xfId="0" applyAlignment="1" applyBorder="1" applyFont="1">
      <alignment horizontal="center" readingOrder="0" shrinkToFit="0" vertical="center" wrapText="1"/>
    </xf>
    <xf borderId="59" fillId="6" fontId="63" numFmtId="0" xfId="0" applyAlignment="1" applyBorder="1" applyFont="1">
      <alignment horizontal="center" readingOrder="0" shrinkToFit="0" vertical="center" wrapText="1"/>
    </xf>
    <xf borderId="2" fillId="6" fontId="63" numFmtId="0" xfId="0" applyAlignment="1" applyBorder="1" applyFont="1">
      <alignment horizontal="center" readingOrder="0" shrinkToFit="0" vertical="center" wrapText="1"/>
    </xf>
    <xf borderId="2" fillId="0" fontId="64" numFmtId="0" xfId="0" applyAlignment="1" applyBorder="1" applyFont="1">
      <alignment horizontal="center" shrinkToFit="0" vertical="center" wrapText="1"/>
    </xf>
    <xf borderId="2" fillId="0" fontId="65" numFmtId="0" xfId="0" applyAlignment="1" applyBorder="1" applyFont="1">
      <alignment horizontal="center" shrinkToFit="0" vertical="center" wrapText="1"/>
    </xf>
    <xf borderId="2" fillId="0" fontId="66" numFmtId="0" xfId="0" applyAlignment="1" applyBorder="1" applyFont="1">
      <alignment horizontal="center" shrinkToFit="0" vertical="center" wrapText="1"/>
    </xf>
    <xf borderId="2" fillId="0" fontId="64" numFmtId="0" xfId="0" applyAlignment="1" applyBorder="1" applyFont="1">
      <alignment horizontal="center" readingOrder="0" shrinkToFit="0" vertical="center" wrapText="1"/>
    </xf>
    <xf borderId="2" fillId="0" fontId="60" numFmtId="0" xfId="0" applyAlignment="1" applyBorder="1" applyFont="1">
      <alignment horizontal="center" readingOrder="0" shrinkToFit="0" vertical="center" wrapText="1"/>
    </xf>
    <xf borderId="2" fillId="0" fontId="53" numFmtId="0" xfId="0" applyAlignment="1" applyBorder="1" applyFont="1">
      <alignment horizontal="center" readingOrder="0" shrinkToFit="0" vertical="center" wrapText="1"/>
    </xf>
    <xf borderId="2" fillId="0" fontId="64" numFmtId="0" xfId="0" applyAlignment="1" applyBorder="1" applyFont="1">
      <alignment horizontal="center" vertical="center"/>
    </xf>
    <xf borderId="2" fillId="0" fontId="50" numFmtId="0" xfId="0" applyAlignment="1" applyBorder="1" applyFont="1">
      <alignment horizontal="center" vertical="center"/>
    </xf>
    <xf borderId="11" fillId="0" fontId="57" numFmtId="0" xfId="0" applyAlignment="1" applyBorder="1" applyFont="1">
      <alignment horizontal="center" readingOrder="0" shrinkToFit="0" vertical="center" wrapText="1"/>
    </xf>
    <xf borderId="0" fillId="0" fontId="55" numFmtId="0" xfId="0" applyAlignment="1" applyFont="1">
      <alignment horizontal="center" readingOrder="0" shrinkToFit="0" vertical="center" wrapText="1"/>
    </xf>
    <xf borderId="0" fillId="0" fontId="49" numFmtId="0" xfId="0" applyAlignment="1" applyFont="1">
      <alignment horizontal="center" readingOrder="0" vertical="center"/>
    </xf>
    <xf borderId="0" fillId="0" fontId="55" numFmtId="0" xfId="0" applyAlignment="1" applyFont="1">
      <alignment horizontal="center" readingOrder="0" vertical="center"/>
    </xf>
    <xf borderId="0" fillId="0" fontId="56" numFmtId="0" xfId="0" applyAlignment="1" applyFont="1">
      <alignment horizontal="center" shrinkToFit="0" vertical="center" wrapText="1"/>
    </xf>
    <xf borderId="0" fillId="0" fontId="59" numFmtId="0" xfId="0" applyAlignment="1" applyFont="1">
      <alignment shrinkToFit="0" wrapText="1"/>
    </xf>
    <xf borderId="0" fillId="0" fontId="54" numFmtId="0" xfId="0" applyAlignment="1" applyFont="1">
      <alignment horizontal="right" readingOrder="0" shrinkToFit="0" wrapText="1"/>
    </xf>
    <xf borderId="0" fillId="0" fontId="54" numFmtId="170" xfId="0" applyAlignment="1" applyFont="1" applyNumberFormat="1">
      <alignment horizontal="left" shrinkToFit="0" wrapText="1"/>
    </xf>
    <xf borderId="0" fillId="0" fontId="54" numFmtId="170" xfId="0" applyFont="1" applyNumberFormat="1"/>
    <xf borderId="0" fillId="0" fontId="4" numFmtId="0" xfId="0" applyAlignment="1" applyFont="1">
      <alignment horizontal="right" readingOrder="0" shrinkToFit="0" wrapText="1"/>
    </xf>
    <xf borderId="0" fillId="0" fontId="4" numFmtId="170" xfId="0" applyAlignment="1" applyFont="1" applyNumberFormat="1">
      <alignment horizontal="left" shrinkToFit="0" wrapText="1"/>
    </xf>
    <xf borderId="0" fillId="0" fontId="4" numFmtId="170" xfId="0" applyFont="1" applyNumberFormat="1"/>
    <xf borderId="0" fillId="0" fontId="54" numFmtId="0" xfId="0" applyAlignment="1" applyFont="1">
      <alignment horizontal="right" shrinkToFit="0" wrapText="1"/>
    </xf>
    <xf borderId="11" fillId="0" fontId="67" numFmtId="0" xfId="0" applyAlignment="1" applyBorder="1" applyFont="1">
      <alignment horizontal="center" readingOrder="0" vertical="top"/>
    </xf>
    <xf borderId="11" fillId="0" fontId="68" numFmtId="0" xfId="0" applyAlignment="1" applyBorder="1" applyFont="1">
      <alignment horizontal="left" readingOrder="0" vertical="top"/>
    </xf>
    <xf borderId="11" fillId="0" fontId="69" numFmtId="0" xfId="0" applyAlignment="1" applyBorder="1" applyFont="1">
      <alignment horizontal="left" vertical="bottom"/>
    </xf>
    <xf borderId="19" fillId="0" fontId="69" numFmtId="0" xfId="0" applyAlignment="1" applyBorder="1" applyFont="1">
      <alignment horizontal="left" vertical="bottom"/>
    </xf>
    <xf borderId="11" fillId="0" fontId="70" numFmtId="0" xfId="0" applyAlignment="1" applyBorder="1" applyFont="1">
      <alignment horizontal="center" readingOrder="0" vertical="top"/>
    </xf>
    <xf borderId="14" fillId="0" fontId="70" numFmtId="0" xfId="0" applyAlignment="1" applyBorder="1" applyFont="1">
      <alignment horizontal="left" readingOrder="0" vertical="top"/>
    </xf>
    <xf borderId="2" fillId="0" fontId="70" numFmtId="0" xfId="0" applyAlignment="1" applyBorder="1" applyFont="1">
      <alignment horizontal="left" readingOrder="0" vertical="top"/>
    </xf>
    <xf borderId="10" fillId="0" fontId="71" numFmtId="0" xfId="0" applyAlignment="1" applyBorder="1" applyFont="1">
      <alignment horizontal="left" readingOrder="0" vertical="top"/>
    </xf>
    <xf borderId="61" fillId="0" fontId="71" numFmtId="0" xfId="0" applyAlignment="1" applyBorder="1" applyFont="1">
      <alignment horizontal="left" readingOrder="0" vertical="top"/>
    </xf>
    <xf borderId="19" fillId="0" fontId="71" numFmtId="0" xfId="0" applyAlignment="1" applyBorder="1" applyFont="1">
      <alignment horizontal="left" readingOrder="0" vertical="top"/>
    </xf>
    <xf borderId="14" fillId="0" fontId="71" numFmtId="0" xfId="0" applyAlignment="1" applyBorder="1" applyFont="1">
      <alignment horizontal="left" readingOrder="0" vertical="top"/>
    </xf>
    <xf borderId="2" fillId="0" fontId="69" numFmtId="0" xfId="0" applyAlignment="1" applyBorder="1" applyFont="1">
      <alignment horizontal="left" readingOrder="0" shrinkToFit="0" vertical="top" wrapText="0"/>
    </xf>
    <xf borderId="19" fillId="0" fontId="72" numFmtId="0" xfId="0" applyAlignment="1" applyBorder="1" applyFont="1">
      <alignment horizontal="left" readingOrder="0" vertical="top"/>
    </xf>
    <xf borderId="14" fillId="0" fontId="69" numFmtId="0" xfId="0" applyAlignment="1" applyBorder="1" applyFont="1">
      <alignment horizontal="left" readingOrder="0" vertical="bottom"/>
    </xf>
    <xf borderId="10" fillId="0" fontId="70" numFmtId="0" xfId="0" applyAlignment="1" applyBorder="1" applyFont="1">
      <alignment horizontal="center" readingOrder="0" textRotation="90" vertical="center"/>
    </xf>
    <xf borderId="14" fillId="0" fontId="72" numFmtId="0" xfId="0" applyAlignment="1" applyBorder="1" applyFont="1">
      <alignment horizontal="left" readingOrder="0" vertical="top"/>
    </xf>
    <xf borderId="14" fillId="0" fontId="69" numFmtId="0" xfId="0" applyAlignment="1" applyBorder="1" applyFont="1">
      <alignment horizontal="left" vertical="bottom"/>
    </xf>
    <xf borderId="10" fillId="0" fontId="70" numFmtId="0" xfId="0" applyAlignment="1" applyBorder="1" applyFont="1">
      <alignment horizontal="left" readingOrder="0" textRotation="90" vertical="center"/>
    </xf>
    <xf borderId="2" fillId="0" fontId="69" numFmtId="0" xfId="0" applyAlignment="1" applyBorder="1" applyFont="1">
      <alignment horizontal="left" vertical="bottom"/>
    </xf>
    <xf borderId="19" fillId="0" fontId="68" numFmtId="0" xfId="0" applyAlignment="1" applyBorder="1" applyFont="1">
      <alignment horizontal="center" readingOrder="0" vertical="top"/>
    </xf>
    <xf borderId="0" fillId="0" fontId="4" numFmtId="0" xfId="0" applyAlignment="1" applyFont="1">
      <alignment horizontal="right" shrinkToFit="0" vertical="center" wrapText="1"/>
    </xf>
    <xf borderId="0" fillId="0" fontId="73" numFmtId="0" xfId="0" applyAlignment="1" applyFont="1">
      <alignment horizontal="left" shrinkToFit="0" vertical="center" wrapText="1"/>
    </xf>
    <xf borderId="0" fillId="0" fontId="74" numFmtId="0" xfId="0" applyAlignment="1" applyFont="1">
      <alignment horizontal="center" readingOrder="0" vertical="center"/>
    </xf>
    <xf borderId="0" fillId="0" fontId="75" numFmtId="165" xfId="0" applyAlignment="1" applyFont="1" applyNumberFormat="1">
      <alignment horizontal="center" readingOrder="0" vertical="center"/>
    </xf>
    <xf borderId="0" fillId="0" fontId="75" numFmtId="0" xfId="0" applyAlignment="1" applyFont="1">
      <alignment horizontal="center" readingOrder="0" vertical="center"/>
    </xf>
    <xf borderId="0" fillId="0" fontId="73" numFmtId="0" xfId="0" applyAlignment="1" applyFont="1">
      <alignment horizontal="center" readingOrder="0" shrinkToFit="0" vertical="center" wrapText="1"/>
    </xf>
    <xf borderId="28" fillId="0" fontId="73" numFmtId="0" xfId="0" applyAlignment="1" applyBorder="1" applyFont="1">
      <alignment horizontal="center" shrinkToFit="0" vertical="center" wrapText="1"/>
    </xf>
    <xf borderId="24" fillId="0" fontId="15" numFmtId="0" xfId="0" applyAlignment="1" applyBorder="1" applyFont="1">
      <alignment horizontal="left" shrinkToFit="0" vertical="center" wrapText="1"/>
    </xf>
    <xf borderId="24" fillId="0" fontId="3" numFmtId="167" xfId="0" applyAlignment="1" applyBorder="1" applyFont="1" applyNumberFormat="1">
      <alignment horizontal="center" shrinkToFit="0" vertical="center" wrapText="1"/>
    </xf>
    <xf borderId="64" fillId="0" fontId="3" numFmtId="167" xfId="0" applyAlignment="1" applyBorder="1" applyFont="1" applyNumberFormat="1">
      <alignment horizontal="center" shrinkToFit="0" vertical="center" wrapText="1"/>
    </xf>
    <xf borderId="64" fillId="0" fontId="76" numFmtId="167" xfId="0" applyAlignment="1" applyBorder="1" applyFont="1" applyNumberFormat="1">
      <alignment horizontal="center" shrinkToFit="0" vertical="center" wrapText="1"/>
    </xf>
    <xf borderId="64" fillId="0" fontId="76" numFmtId="167" xfId="0" applyAlignment="1" applyBorder="1" applyFont="1" applyNumberFormat="1">
      <alignment horizontal="center" readingOrder="0" shrinkToFit="0" vertical="center" wrapText="1"/>
    </xf>
    <xf borderId="2" fillId="0" fontId="3" numFmtId="167" xfId="0" applyAlignment="1" applyBorder="1" applyFont="1" applyNumberFormat="1">
      <alignment horizontal="center" readingOrder="0" shrinkToFit="0" vertical="center" wrapText="1"/>
    </xf>
    <xf borderId="20" fillId="0" fontId="4" numFmtId="0" xfId="0" applyAlignment="1" applyBorder="1" applyFont="1">
      <alignment horizontal="right" vertical="center"/>
    </xf>
    <xf borderId="2" fillId="0" fontId="77" numFmtId="0" xfId="0" applyAlignment="1" applyBorder="1" applyFont="1">
      <alignment horizontal="left" readingOrder="0" vertical="center"/>
    </xf>
    <xf borderId="1" fillId="2" fontId="78" numFmtId="167" xfId="0" applyAlignment="1" applyBorder="1" applyFont="1" applyNumberFormat="1">
      <alignment horizontal="center"/>
    </xf>
    <xf borderId="46" fillId="2" fontId="78" numFmtId="167" xfId="0" applyAlignment="1" applyBorder="1" applyFont="1" applyNumberFormat="1">
      <alignment horizontal="center"/>
    </xf>
    <xf borderId="46" fillId="2" fontId="27" numFmtId="167" xfId="0" applyAlignment="1" applyBorder="1" applyFont="1" applyNumberFormat="1">
      <alignment horizontal="center"/>
    </xf>
    <xf borderId="46" fillId="2" fontId="15" numFmtId="167" xfId="0" applyAlignment="1" applyBorder="1" applyFont="1" applyNumberFormat="1">
      <alignment horizontal="center"/>
    </xf>
    <xf borderId="10" fillId="2" fontId="15" numFmtId="167" xfId="0" applyAlignment="1" applyBorder="1" applyFont="1" applyNumberFormat="1">
      <alignment horizontal="center" vertical="center"/>
    </xf>
    <xf borderId="2" fillId="0" fontId="77" numFmtId="0" xfId="0" applyAlignment="1" applyBorder="1" applyFont="1">
      <alignment horizontal="left" readingOrder="0" vertical="center"/>
    </xf>
    <xf borderId="20" fillId="0" fontId="4" numFmtId="0" xfId="0" applyAlignment="1" applyBorder="1" applyFont="1">
      <alignment horizontal="right" readingOrder="0" vertical="center"/>
    </xf>
    <xf borderId="20" fillId="0" fontId="4" numFmtId="0" xfId="0" applyAlignment="1" applyBorder="1" applyFont="1">
      <alignment horizontal="center" vertical="center"/>
    </xf>
    <xf borderId="1" fillId="2" fontId="78" numFmtId="167" xfId="0" applyAlignment="1" applyBorder="1" applyFont="1" applyNumberFormat="1">
      <alignment horizontal="center" vertical="center"/>
    </xf>
    <xf borderId="46" fillId="2" fontId="78" numFmtId="167" xfId="0" applyAlignment="1" applyBorder="1" applyFont="1" applyNumberFormat="1">
      <alignment horizontal="center" vertical="center"/>
    </xf>
    <xf borderId="46" fillId="2" fontId="27" numFmtId="167" xfId="0" applyAlignment="1" applyBorder="1" applyFont="1" applyNumberFormat="1">
      <alignment horizontal="center" vertical="center"/>
    </xf>
    <xf borderId="46" fillId="2" fontId="15" numFmtId="167" xfId="0" applyAlignment="1" applyBorder="1" applyFont="1" applyNumberFormat="1">
      <alignment horizontal="center" vertical="center"/>
    </xf>
    <xf borderId="60" fillId="2" fontId="15" numFmtId="167" xfId="0" applyAlignment="1" applyBorder="1" applyFont="1" applyNumberFormat="1">
      <alignment horizontal="center" vertical="center"/>
    </xf>
    <xf borderId="2" fillId="2" fontId="15" numFmtId="167" xfId="0" applyAlignment="1" applyBorder="1" applyFont="1" applyNumberFormat="1">
      <alignment horizontal="center" vertical="center"/>
    </xf>
    <xf borderId="65" fillId="0" fontId="79" numFmtId="0" xfId="0" applyAlignment="1" applyBorder="1" applyFont="1">
      <alignment horizontal="right" vertical="center"/>
    </xf>
    <xf borderId="4" fillId="0" fontId="80" numFmtId="0" xfId="0" applyAlignment="1" applyBorder="1" applyFont="1">
      <alignment horizontal="left" readingOrder="0"/>
    </xf>
    <xf borderId="65" fillId="0" fontId="80" numFmtId="172" xfId="0" applyAlignment="1" applyBorder="1" applyFont="1" applyNumberFormat="1">
      <alignment horizontal="center" vertical="center"/>
    </xf>
    <xf borderId="32" fillId="2" fontId="15" numFmtId="167" xfId="0" applyAlignment="1" applyBorder="1" applyFont="1" applyNumberFormat="1">
      <alignment horizontal="center" vertical="center"/>
    </xf>
    <xf borderId="0" fillId="0" fontId="4" numFmtId="0" xfId="0" applyAlignment="1" applyFont="1">
      <alignment horizontal="right"/>
    </xf>
    <xf borderId="0" fillId="0" fontId="77" numFmtId="0" xfId="0" applyAlignment="1" applyFont="1">
      <alignment horizontal="left"/>
    </xf>
    <xf borderId="0" fillId="0" fontId="73" numFmtId="0" xfId="0" applyFont="1"/>
    <xf borderId="0" fillId="0" fontId="73" numFmtId="0" xfId="0" applyAlignment="1" applyFont="1">
      <alignment vertical="center"/>
    </xf>
    <xf borderId="0" fillId="0" fontId="81" numFmtId="173" xfId="0" applyFont="1" applyNumberFormat="1"/>
    <xf borderId="0" fillId="0" fontId="82" numFmtId="173" xfId="0" applyAlignment="1" applyFont="1" applyNumberFormat="1">
      <alignment horizontal="center" readingOrder="0"/>
    </xf>
    <xf borderId="0" fillId="0" fontId="82" numFmtId="165" xfId="0" applyAlignment="1" applyFont="1" applyNumberFormat="1">
      <alignment horizontal="center" readingOrder="0"/>
    </xf>
    <xf borderId="0" fillId="0" fontId="83" numFmtId="173" xfId="0" applyAlignment="1" applyFont="1" applyNumberFormat="1">
      <alignment shrinkToFit="0" wrapText="0"/>
    </xf>
    <xf borderId="6" fillId="0" fontId="81" numFmtId="173" xfId="0" applyAlignment="1" applyBorder="1" applyFont="1" applyNumberFormat="1">
      <alignment vertical="bottom"/>
    </xf>
    <xf borderId="6" fillId="0" fontId="81" numFmtId="173" xfId="0" applyAlignment="1" applyBorder="1" applyFont="1" applyNumberFormat="1">
      <alignment horizontal="center" readingOrder="0" vertical="bottom"/>
    </xf>
    <xf borderId="44" fillId="0" fontId="81" numFmtId="173" xfId="0" applyAlignment="1" applyBorder="1" applyFont="1" applyNumberFormat="1">
      <alignment horizontal="center"/>
    </xf>
    <xf borderId="46" fillId="0" fontId="81" numFmtId="173" xfId="0" applyBorder="1" applyFont="1" applyNumberFormat="1"/>
    <xf borderId="46" fillId="0" fontId="81" numFmtId="173" xfId="0" applyAlignment="1" applyBorder="1" applyFont="1" applyNumberFormat="1">
      <alignment horizontal="center"/>
    </xf>
    <xf borderId="44" fillId="0" fontId="81" numFmtId="173" xfId="0" applyBorder="1" applyFont="1" applyNumberFormat="1"/>
    <xf borderId="6" fillId="0" fontId="81" numFmtId="173" xfId="0" applyBorder="1" applyFont="1" applyNumberFormat="1"/>
    <xf borderId="6" fillId="0" fontId="81" numFmtId="173" xfId="0" applyAlignment="1" applyBorder="1" applyFont="1" applyNumberFormat="1">
      <alignment horizontal="center"/>
    </xf>
    <xf borderId="46" fillId="2" fontId="81" numFmtId="173" xfId="0" applyAlignment="1" applyBorder="1" applyFont="1" applyNumberFormat="1">
      <alignment horizontal="center" vertical="bottom"/>
    </xf>
    <xf borderId="46" fillId="0" fontId="81" numFmtId="173" xfId="0" applyAlignment="1" applyBorder="1" applyFont="1" applyNumberFormat="1">
      <alignment readingOrder="0"/>
    </xf>
    <xf borderId="46" fillId="0" fontId="81" numFmtId="173" xfId="0" applyAlignment="1" applyBorder="1" applyFont="1" applyNumberFormat="1">
      <alignment horizontal="center" readingOrder="0"/>
    </xf>
    <xf borderId="44" fillId="0" fontId="5" numFmtId="0" xfId="0" applyBorder="1" applyFont="1"/>
    <xf borderId="6" fillId="0" fontId="84" numFmtId="0" xfId="0" applyAlignment="1" applyBorder="1" applyFont="1">
      <alignment horizontal="center"/>
    </xf>
    <xf borderId="2" fillId="0" fontId="1" numFmtId="0" xfId="0" applyAlignment="1" applyBorder="1" applyFont="1">
      <alignment horizontal="center" readingOrder="0" shrinkToFit="0" vertical="center" wrapText="1"/>
    </xf>
    <xf borderId="2" fillId="0" fontId="1" numFmtId="165" xfId="0" applyAlignment="1" applyBorder="1" applyFont="1" applyNumberFormat="1">
      <alignment horizontal="center" readingOrder="0" shrinkToFit="0" vertical="center" wrapText="1"/>
    </xf>
    <xf borderId="2" fillId="8" fontId="1" numFmtId="0" xfId="0" applyAlignment="1" applyBorder="1" applyFill="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8" fontId="5" numFmtId="0" xfId="0" applyAlignment="1" applyBorder="1" applyFont="1">
      <alignment horizontal="center" shrinkToFit="0" wrapText="1"/>
    </xf>
    <xf borderId="2" fillId="8" fontId="5" numFmtId="0" xfId="0" applyAlignment="1" applyBorder="1" applyFont="1">
      <alignment horizontal="center" shrinkToFit="0" wrapText="1"/>
    </xf>
    <xf borderId="2" fillId="8" fontId="5" numFmtId="0" xfId="0" applyBorder="1" applyFont="1"/>
    <xf borderId="2" fillId="8" fontId="5" numFmtId="0" xfId="0" applyAlignment="1" applyBorder="1" applyFont="1">
      <alignment horizontal="center" readingOrder="0" shrinkToFit="0" wrapText="1"/>
    </xf>
    <xf borderId="2" fillId="8" fontId="5" numFmtId="0" xfId="0" applyBorder="1" applyFont="1"/>
    <xf borderId="2" fillId="9" fontId="5" numFmtId="0" xfId="0" applyAlignment="1" applyBorder="1" applyFill="1" applyFont="1">
      <alignment horizontal="center" shrinkToFit="0" wrapText="1"/>
    </xf>
    <xf borderId="2" fillId="10" fontId="5" numFmtId="0" xfId="0" applyAlignment="1" applyBorder="1" applyFill="1" applyFont="1">
      <alignment horizontal="center" shrinkToFit="0" wrapText="1"/>
    </xf>
    <xf borderId="0" fillId="0" fontId="1" numFmtId="165" xfId="0" applyAlignment="1" applyFont="1" applyNumberFormat="1">
      <alignment readingOrder="0"/>
    </xf>
    <xf borderId="0" fillId="2" fontId="11" numFmtId="0" xfId="0" applyAlignment="1" applyFont="1">
      <alignment readingOrder="0"/>
    </xf>
    <xf borderId="2" fillId="2" fontId="5" numFmtId="0" xfId="0" applyAlignment="1" applyBorder="1" applyFont="1">
      <alignment horizontal="center" shrinkToFit="0" wrapText="1"/>
    </xf>
    <xf borderId="2" fillId="2" fontId="5" numFmtId="0" xfId="0" applyBorder="1" applyFont="1"/>
    <xf borderId="2" fillId="9" fontId="5" numFmtId="0" xfId="0" applyAlignment="1" applyBorder="1" applyFont="1">
      <alignment horizontal="center" shrinkToFit="0" wrapText="1"/>
    </xf>
    <xf borderId="2" fillId="10" fontId="5" numFmtId="0" xfId="0" applyAlignment="1" applyBorder="1" applyFont="1">
      <alignment horizontal="center" shrinkToFit="0" wrapText="1"/>
    </xf>
    <xf borderId="2" fillId="0" fontId="1" numFmtId="164" xfId="0" applyAlignment="1" applyBorder="1" applyFont="1" applyNumberFormat="1">
      <alignment readingOrder="0"/>
    </xf>
    <xf borderId="2" fillId="0" fontId="1" numFmtId="165" xfId="0" applyAlignment="1" applyBorder="1" applyFont="1" applyNumberFormat="1">
      <alignment readingOrder="0"/>
    </xf>
    <xf borderId="2" fillId="2" fontId="1" numFmtId="0" xfId="0" applyBorder="1" applyFont="1"/>
    <xf borderId="2" fillId="0" fontId="1" numFmtId="0" xfId="0" applyBorder="1" applyFont="1"/>
    <xf borderId="2" fillId="0" fontId="1" numFmtId="0" xfId="0" applyAlignment="1" applyBorder="1" applyFont="1">
      <alignment readingOrder="0"/>
    </xf>
    <xf borderId="2" fillId="11" fontId="5" numFmtId="0" xfId="0" applyAlignment="1" applyBorder="1" applyFill="1" applyFont="1">
      <alignment horizontal="center" shrinkToFit="0" wrapText="1"/>
    </xf>
    <xf borderId="2" fillId="11" fontId="5" numFmtId="0" xfId="0" applyBorder="1" applyFont="1"/>
    <xf borderId="2" fillId="11" fontId="5" numFmtId="0" xfId="0" applyAlignment="1" applyBorder="1" applyFont="1">
      <alignment horizontal="center" shrinkToFit="0" wrapText="1"/>
    </xf>
    <xf borderId="2" fillId="2" fontId="1" numFmtId="0" xfId="0" applyBorder="1" applyFont="1"/>
    <xf borderId="0" fillId="0" fontId="2" numFmtId="0" xfId="0" applyAlignment="1" applyFont="1">
      <alignment horizontal="left" readingOrder="0" shrinkToFit="0" wrapText="1"/>
    </xf>
    <xf borderId="0" fillId="0" fontId="2" numFmtId="0" xfId="0" applyAlignment="1" applyFont="1">
      <alignment horizontal="center" readingOrder="0" shrinkToFit="0" wrapText="1"/>
    </xf>
    <xf borderId="0" fillId="0" fontId="2" numFmtId="0" xfId="0" applyAlignment="1" applyFont="1">
      <alignment readingOrder="0"/>
    </xf>
    <xf borderId="0" fillId="0" fontId="2" numFmtId="165" xfId="0" applyFont="1" applyNumberFormat="1"/>
    <xf borderId="0" fillId="12" fontId="85" numFmtId="0" xfId="0" applyAlignment="1" applyFill="1" applyFont="1">
      <alignment horizontal="right" readingOrder="0"/>
    </xf>
    <xf borderId="0" fillId="12" fontId="86" numFmtId="165" xfId="0" applyAlignment="1" applyFont="1" applyNumberFormat="1">
      <alignment horizontal="right" readingOrder="0"/>
    </xf>
    <xf borderId="0" fillId="12" fontId="85" numFmtId="0" xfId="0" applyAlignment="1" applyFont="1">
      <alignment horizontal="center" readingOrder="0"/>
    </xf>
    <xf borderId="0" fillId="12" fontId="85" numFmtId="165" xfId="0" applyAlignment="1" applyFont="1" applyNumberFormat="1">
      <alignment readingOrder="0"/>
    </xf>
    <xf borderId="0" fillId="12" fontId="86" numFmtId="0" xfId="0" applyFont="1"/>
    <xf borderId="0" fillId="12" fontId="85" numFmtId="0" xfId="0" applyFont="1"/>
    <xf borderId="0" fillId="12" fontId="1" numFmtId="0" xfId="0" applyAlignment="1" applyFont="1">
      <alignment horizontal="center" shrinkToFit="0" vertical="center" wrapText="1"/>
    </xf>
    <xf borderId="3" fillId="12" fontId="1" numFmtId="0" xfId="0" applyAlignment="1" applyBorder="1" applyFont="1">
      <alignment horizontal="center" readingOrder="0" shrinkToFit="0" vertical="center" wrapText="1"/>
    </xf>
    <xf borderId="5" fillId="12" fontId="1" numFmtId="0" xfId="0" applyAlignment="1" applyBorder="1" applyFont="1">
      <alignment horizontal="center" shrinkToFit="0" vertical="center" wrapText="1"/>
    </xf>
    <xf borderId="5" fillId="12" fontId="1" numFmtId="0" xfId="0" applyAlignment="1" applyBorder="1" applyFont="1">
      <alignment horizontal="center" readingOrder="0" shrinkToFit="0" vertical="center" wrapText="1"/>
    </xf>
    <xf borderId="9" fillId="12" fontId="1" numFmtId="0" xfId="0" applyAlignment="1" applyBorder="1" applyFont="1">
      <alignment horizontal="center" readingOrder="0" shrinkToFit="0" vertical="center" wrapText="1"/>
    </xf>
    <xf borderId="0" fillId="12" fontId="1" numFmtId="0" xfId="0" applyAlignment="1" applyFont="1">
      <alignment horizontal="center" readingOrder="0" shrinkToFit="0" vertical="center" wrapText="1"/>
    </xf>
    <xf borderId="0" fillId="12" fontId="1" numFmtId="0" xfId="0" applyAlignment="1" applyFont="1">
      <alignment readingOrder="0"/>
    </xf>
    <xf borderId="66" fillId="12" fontId="1" numFmtId="0" xfId="0" applyBorder="1" applyFont="1"/>
    <xf borderId="0" fillId="12" fontId="1" numFmtId="0" xfId="0" applyFont="1"/>
    <xf borderId="67" fillId="12" fontId="1" numFmtId="0" xfId="0" applyBorder="1" applyFont="1"/>
    <xf borderId="0" fillId="12" fontId="5" numFmtId="0" xfId="0" applyAlignment="1" applyFont="1">
      <alignment vertical="bottom"/>
    </xf>
    <xf borderId="68" fillId="12" fontId="86" numFmtId="0" xfId="0" applyAlignment="1" applyBorder="1" applyFont="1">
      <alignment vertical="bottom"/>
    </xf>
    <xf borderId="68" fillId="0" fontId="14" numFmtId="0" xfId="0" applyBorder="1" applyFont="1"/>
    <xf borderId="68" fillId="12" fontId="5" numFmtId="0" xfId="0" applyAlignment="1" applyBorder="1" applyFont="1">
      <alignment vertical="bottom"/>
    </xf>
    <xf borderId="69" fillId="12" fontId="5" numFmtId="0" xfId="0" applyBorder="1" applyFont="1"/>
    <xf borderId="70" fillId="12" fontId="5" numFmtId="0" xfId="0" applyAlignment="1" applyBorder="1" applyFont="1">
      <alignment horizontal="center" shrinkToFit="0" wrapText="1"/>
    </xf>
    <xf borderId="70" fillId="12" fontId="5" numFmtId="0" xfId="0" applyAlignment="1" applyBorder="1" applyFont="1">
      <alignment horizontal="center" readingOrder="0" shrinkToFit="0" wrapText="1"/>
    </xf>
    <xf borderId="71" fillId="12" fontId="5" numFmtId="0" xfId="0" applyAlignment="1" applyBorder="1" applyFont="1">
      <alignment horizontal="center" shrinkToFit="0" wrapText="1"/>
    </xf>
    <xf borderId="72" fillId="0" fontId="1" numFmtId="0" xfId="0" applyAlignment="1" applyBorder="1" applyFont="1">
      <alignment horizontal="center" shrinkToFit="0" vertical="center" wrapText="1"/>
    </xf>
    <xf borderId="73" fillId="0" fontId="1" numFmtId="0" xfId="0" applyAlignment="1" applyBorder="1" applyFont="1">
      <alignment horizontal="center" shrinkToFit="0" vertical="center" wrapText="1"/>
    </xf>
    <xf borderId="74" fillId="0" fontId="1" numFmtId="0" xfId="0" applyAlignment="1" applyBorder="1" applyFont="1">
      <alignment horizontal="center" readingOrder="0" shrinkToFit="0" vertical="center" wrapText="1"/>
    </xf>
    <xf borderId="0" fillId="12" fontId="5" numFmtId="0" xfId="0" applyFont="1"/>
    <xf borderId="69" fillId="12" fontId="1" numFmtId="0" xfId="0" applyAlignment="1" applyBorder="1" applyFont="1">
      <alignment readingOrder="0"/>
    </xf>
    <xf borderId="75" fillId="12" fontId="5" numFmtId="0" xfId="0" applyAlignment="1" applyBorder="1" applyFont="1">
      <alignment horizontal="right" vertical="bottom"/>
    </xf>
    <xf borderId="76" fillId="12" fontId="26" numFmtId="0" xfId="0" applyAlignment="1" applyBorder="1" applyFont="1">
      <alignment horizontal="center" shrinkToFit="0" vertical="center" wrapText="1"/>
    </xf>
    <xf borderId="72" fillId="12" fontId="26" numFmtId="0" xfId="0" applyAlignment="1" applyBorder="1" applyFont="1">
      <alignment horizontal="center" shrinkToFit="0" vertical="center" wrapText="1"/>
    </xf>
    <xf borderId="73" fillId="12" fontId="26" numFmtId="0" xfId="0" applyAlignment="1" applyBorder="1" applyFont="1">
      <alignment horizontal="center" shrinkToFit="0" vertical="center" wrapText="1"/>
    </xf>
    <xf borderId="77" fillId="12" fontId="34" numFmtId="0" xfId="0" applyAlignment="1" applyBorder="1" applyFont="1">
      <alignment horizontal="center" shrinkToFit="0" vertical="center" wrapText="1"/>
    </xf>
    <xf borderId="78" fillId="12" fontId="34" numFmtId="0" xfId="0" applyAlignment="1" applyBorder="1" applyFont="1">
      <alignment horizontal="center" shrinkToFit="0" vertical="center" wrapText="1"/>
    </xf>
    <xf borderId="79" fillId="12" fontId="34" numFmtId="0" xfId="0" applyAlignment="1" applyBorder="1" applyFont="1">
      <alignment horizontal="center" shrinkToFit="0" vertical="center" wrapText="1"/>
    </xf>
    <xf borderId="80" fillId="12" fontId="34" numFmtId="0" xfId="0" applyAlignment="1" applyBorder="1" applyFont="1">
      <alignment horizontal="center" shrinkToFit="0" vertical="center" wrapText="1"/>
    </xf>
    <xf borderId="81" fillId="12" fontId="34" numFmtId="0" xfId="0" applyAlignment="1" applyBorder="1" applyFont="1">
      <alignment horizontal="center" shrinkToFit="0" vertical="center" wrapText="1"/>
    </xf>
    <xf borderId="82" fillId="12" fontId="34" numFmtId="0" xfId="0" applyAlignment="1" applyBorder="1" applyFont="1">
      <alignment horizontal="center" shrinkToFit="0" vertical="center" wrapText="1"/>
    </xf>
    <xf borderId="83" fillId="12" fontId="5" numFmtId="0" xfId="0" applyAlignment="1" applyBorder="1" applyFont="1">
      <alignment vertical="bottom"/>
    </xf>
    <xf borderId="0" fillId="2" fontId="85" numFmtId="0" xfId="0" applyAlignment="1" applyFont="1">
      <alignment horizontal="right" readingOrder="0"/>
    </xf>
    <xf borderId="0" fillId="2" fontId="85" numFmtId="0" xfId="0" applyAlignment="1" applyFont="1">
      <alignment horizontal="left" readingOrder="0"/>
    </xf>
    <xf borderId="0" fillId="0" fontId="86" numFmtId="165" xfId="0" applyAlignment="1" applyFont="1" applyNumberFormat="1">
      <alignment horizontal="right" readingOrder="0"/>
    </xf>
    <xf borderId="0" fillId="2" fontId="85" numFmtId="0" xfId="0" applyAlignment="1" applyFont="1">
      <alignment horizontal="center" readingOrder="0"/>
    </xf>
    <xf borderId="0" fillId="2" fontId="85" numFmtId="165" xfId="0" applyAlignment="1" applyFont="1" applyNumberFormat="1">
      <alignment readingOrder="0"/>
    </xf>
    <xf borderId="0" fillId="0" fontId="86" numFmtId="0" xfId="0" applyFont="1"/>
    <xf borderId="0" fillId="2" fontId="85" numFmtId="0" xfId="0" applyFont="1"/>
    <xf borderId="9" fillId="0" fontId="1" numFmtId="0" xfId="0" applyAlignment="1" applyBorder="1" applyFont="1">
      <alignment horizontal="center" readingOrder="0" shrinkToFit="0" vertical="center" wrapText="1"/>
    </xf>
    <xf borderId="66" fillId="0" fontId="1" numFmtId="0" xfId="0" applyBorder="1" applyFont="1"/>
    <xf borderId="67" fillId="0" fontId="1" numFmtId="0" xfId="0" applyBorder="1" applyFont="1"/>
    <xf borderId="83" fillId="0" fontId="5" numFmtId="0" xfId="0" applyAlignment="1" applyBorder="1" applyFont="1">
      <alignment vertical="bottom"/>
    </xf>
    <xf borderId="0" fillId="0" fontId="5" numFmtId="0" xfId="0" applyAlignment="1" applyFont="1">
      <alignment vertical="bottom"/>
    </xf>
    <xf borderId="0" fillId="0" fontId="86" numFmtId="0" xfId="0" applyAlignment="1" applyFont="1">
      <alignment horizontal="right" readingOrder="0"/>
    </xf>
    <xf borderId="0" fillId="0" fontId="86" numFmtId="0" xfId="0" applyAlignment="1" applyFont="1">
      <alignment readingOrder="0"/>
    </xf>
    <xf borderId="0" fillId="0" fontId="86" numFmtId="0" xfId="0" applyAlignment="1" applyFont="1">
      <alignment horizontal="center" readingOrder="0"/>
    </xf>
    <xf borderId="3" fillId="0" fontId="1" numFmtId="0" xfId="0" applyAlignment="1" applyBorder="1" applyFont="1">
      <alignment horizontal="center" readingOrder="0" shrinkToFit="0" vertical="center" wrapText="1"/>
    </xf>
    <xf borderId="0" fillId="0" fontId="87" numFmtId="0" xfId="0" applyAlignment="1" applyFont="1">
      <alignment readingOrder="0"/>
    </xf>
    <xf borderId="0" fillId="0" fontId="87" numFmtId="0" xfId="0" applyFont="1"/>
    <xf borderId="84" fillId="0" fontId="1" numFmtId="0" xfId="0" applyAlignment="1" applyBorder="1" applyFont="1">
      <alignment horizontal="center" shrinkToFit="0" vertical="center" wrapText="1"/>
    </xf>
    <xf borderId="74" fillId="0" fontId="1" numFmtId="0" xfId="0" applyAlignment="1" applyBorder="1" applyFont="1">
      <alignment horizontal="center" shrinkToFit="0" vertical="center" wrapText="1"/>
    </xf>
    <xf borderId="85" fillId="0" fontId="1" numFmtId="0" xfId="0" applyAlignment="1" applyBorder="1" applyFont="1">
      <alignment horizontal="center" readingOrder="0" shrinkToFit="0" vertical="center" wrapText="1"/>
    </xf>
    <xf borderId="86" fillId="0" fontId="1" numFmtId="0" xfId="0" applyAlignment="1" applyBorder="1" applyFont="1">
      <alignment horizontal="center" shrinkToFit="0" vertical="center" wrapText="1"/>
    </xf>
    <xf borderId="0" fillId="0" fontId="1" numFmtId="0" xfId="0" applyAlignment="1" applyFont="1">
      <alignment horizontal="center" vertical="center"/>
    </xf>
    <xf borderId="84" fillId="0" fontId="5" numFmtId="0" xfId="0" applyAlignment="1" applyBorder="1" applyFont="1">
      <alignment horizontal="center" shrinkToFit="0" vertical="center" wrapText="1"/>
    </xf>
    <xf borderId="74" fillId="0" fontId="5" numFmtId="0" xfId="0" applyAlignment="1" applyBorder="1" applyFont="1">
      <alignment horizontal="center" shrinkToFit="0" vertical="center" wrapText="1"/>
    </xf>
    <xf borderId="74" fillId="0" fontId="5" numFmtId="165" xfId="0" applyAlignment="1" applyBorder="1" applyFont="1" applyNumberFormat="1">
      <alignment horizontal="center" shrinkToFit="0" vertical="center" wrapText="1"/>
    </xf>
    <xf borderId="87" fillId="0" fontId="5" numFmtId="0" xfId="0" applyAlignment="1" applyBorder="1" applyFont="1">
      <alignment horizontal="center" shrinkToFit="0" vertical="center" wrapText="1"/>
    </xf>
    <xf borderId="67" fillId="2" fontId="11" numFmtId="0" xfId="0" applyBorder="1" applyFont="1"/>
    <xf borderId="88" fillId="2" fontId="11" numFmtId="0" xfId="0" applyBorder="1" applyFont="1"/>
    <xf borderId="0" fillId="2" fontId="88" numFmtId="0" xfId="0" applyAlignment="1" applyFont="1">
      <alignment horizontal="left" readingOrder="0"/>
    </xf>
    <xf borderId="89" fillId="2" fontId="11" numFmtId="0" xfId="0" applyBorder="1" applyFont="1"/>
    <xf borderId="76" fillId="0" fontId="26" numFmtId="0" xfId="0" applyAlignment="1" applyBorder="1" applyFont="1">
      <alignment horizontal="center" shrinkToFit="0" vertical="center" wrapText="1"/>
    </xf>
    <xf borderId="72" fillId="0" fontId="26" numFmtId="0" xfId="0" applyAlignment="1" applyBorder="1" applyFont="1">
      <alignment horizontal="center" shrinkToFit="0" vertical="center" wrapText="1"/>
    </xf>
    <xf borderId="73" fillId="0" fontId="26" numFmtId="0" xfId="0" applyAlignment="1" applyBorder="1" applyFont="1">
      <alignment horizontal="center" shrinkToFit="0" vertical="center" wrapText="1"/>
    </xf>
    <xf borderId="77" fillId="0" fontId="34" numFmtId="0" xfId="0" applyAlignment="1" applyBorder="1" applyFont="1">
      <alignment horizontal="center" shrinkToFit="0" vertical="center" wrapText="1"/>
    </xf>
    <xf borderId="78" fillId="0" fontId="34" numFmtId="0" xfId="0" applyAlignment="1" applyBorder="1" applyFont="1">
      <alignment horizontal="center" shrinkToFit="0" vertical="center" wrapText="1"/>
    </xf>
    <xf borderId="79" fillId="0" fontId="34" numFmtId="0" xfId="0" applyAlignment="1" applyBorder="1" applyFont="1">
      <alignment horizontal="center" shrinkToFit="0" vertical="center" wrapText="1"/>
    </xf>
    <xf borderId="80" fillId="0" fontId="34" numFmtId="0" xfId="0" applyAlignment="1" applyBorder="1" applyFont="1">
      <alignment horizontal="center" shrinkToFit="0" vertical="center" wrapText="1"/>
    </xf>
    <xf borderId="81" fillId="0" fontId="34" numFmtId="0" xfId="0" applyAlignment="1" applyBorder="1" applyFont="1">
      <alignment horizontal="center" shrinkToFit="0" vertical="center" wrapText="1"/>
    </xf>
    <xf borderId="82" fillId="0" fontId="34" numFmtId="0" xfId="0" applyAlignment="1" applyBorder="1" applyFont="1">
      <alignment horizontal="center" shrinkToFit="0" vertical="center" wrapText="1"/>
    </xf>
    <xf borderId="90" fillId="0" fontId="1" numFmtId="0" xfId="0" applyBorder="1" applyFont="1"/>
    <xf borderId="91" fillId="0" fontId="1" numFmtId="0" xfId="0" applyBorder="1" applyFont="1"/>
    <xf borderId="92" fillId="0" fontId="1" numFmtId="0" xfId="0" applyBorder="1" applyFont="1"/>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shrinkToFit="0" wrapText="1"/>
    </xf>
    <xf borderId="6" fillId="0" fontId="89" numFmtId="0" xfId="0" applyAlignment="1" applyBorder="1" applyFont="1">
      <alignment horizontal="center" readingOrder="0" vertical="top"/>
    </xf>
    <xf borderId="0" fillId="0" fontId="79" numFmtId="174" xfId="0" applyAlignment="1" applyFont="1" applyNumberFormat="1">
      <alignment horizontal="center" readingOrder="0"/>
    </xf>
    <xf borderId="0" fillId="0" fontId="1" numFmtId="0" xfId="0" applyAlignment="1" applyFont="1">
      <alignment horizontal="left"/>
    </xf>
    <xf borderId="6" fillId="0" fontId="87" numFmtId="0" xfId="0" applyBorder="1" applyFont="1"/>
    <xf borderId="0" fillId="0" fontId="5" numFmtId="0" xfId="0" applyAlignment="1" applyFont="1">
      <alignment vertical="bottom"/>
    </xf>
    <xf borderId="27" fillId="0" fontId="5" numFmtId="0" xfId="0" applyAlignment="1" applyBorder="1" applyFont="1">
      <alignment vertical="bottom"/>
    </xf>
    <xf borderId="0" fillId="0" fontId="3" numFmtId="167" xfId="0" applyFont="1" applyNumberFormat="1"/>
    <xf borderId="0" fillId="0" fontId="90" numFmtId="167" xfId="0" applyAlignment="1" applyFont="1" applyNumberFormat="1">
      <alignment horizontal="right"/>
    </xf>
    <xf borderId="6" fillId="0" fontId="76" numFmtId="175" xfId="0" applyAlignment="1" applyBorder="1" applyFont="1" applyNumberFormat="1">
      <alignment horizontal="right"/>
    </xf>
    <xf borderId="6" fillId="0" fontId="5" numFmtId="167" xfId="0" applyAlignment="1" applyBorder="1" applyFont="1" applyNumberFormat="1">
      <alignment shrinkToFit="0" wrapText="1"/>
    </xf>
    <xf borderId="6" fillId="0" fontId="76" numFmtId="175" xfId="0" applyAlignment="1" applyBorder="1" applyFont="1" applyNumberFormat="1">
      <alignment horizontal="right" shrinkToFit="0" wrapText="1"/>
    </xf>
    <xf borderId="0" fillId="0" fontId="86" numFmtId="175" xfId="0" applyAlignment="1" applyFont="1" applyNumberFormat="1">
      <alignment horizontal="right" shrinkToFit="0" wrapText="1"/>
    </xf>
    <xf borderId="0" fillId="0" fontId="76" numFmtId="167" xfId="0" applyAlignment="1" applyFont="1" applyNumberFormat="1">
      <alignment vertical="bottom"/>
    </xf>
    <xf borderId="0" fillId="0" fontId="5" numFmtId="167" xfId="0" applyAlignment="1" applyFont="1" applyNumberFormat="1">
      <alignment vertical="bottom"/>
    </xf>
    <xf borderId="0" fillId="0" fontId="5" numFmtId="175" xfId="0" applyAlignment="1" applyFont="1" applyNumberFormat="1">
      <alignment vertical="bottom"/>
    </xf>
    <xf borderId="6" fillId="0" fontId="76" numFmtId="175" xfId="0" applyAlignment="1" applyBorder="1" applyFont="1" applyNumberFormat="1">
      <alignment horizontal="right" vertical="bottom"/>
    </xf>
    <xf borderId="0" fillId="0" fontId="86" numFmtId="175" xfId="0" applyAlignment="1" applyFont="1" applyNumberFormat="1">
      <alignment horizontal="right" vertical="bottom"/>
    </xf>
    <xf borderId="0" fillId="0" fontId="86" numFmtId="175" xfId="0" applyAlignment="1" applyFont="1" applyNumberFormat="1">
      <alignment horizontal="center" shrinkToFit="0" vertical="bottom" wrapText="1"/>
    </xf>
    <xf borderId="0" fillId="0" fontId="86" numFmtId="167" xfId="0" applyAlignment="1" applyFont="1" applyNumberFormat="1">
      <alignment shrinkToFit="0" vertical="top" wrapText="1"/>
    </xf>
    <xf borderId="0" fillId="2" fontId="5" numFmtId="175" xfId="0" applyAlignment="1" applyFont="1" applyNumberFormat="1">
      <alignment vertical="bottom"/>
    </xf>
    <xf borderId="0" fillId="0" fontId="3" numFmtId="167" xfId="0" applyAlignment="1" applyFont="1" applyNumberFormat="1">
      <alignment horizontal="right" shrinkToFit="0" vertical="bottom" wrapText="1"/>
    </xf>
    <xf borderId="0" fillId="2" fontId="91" numFmtId="175" xfId="0" applyAlignment="1" applyFont="1" applyNumberFormat="1">
      <alignment vertical="bottom"/>
    </xf>
    <xf borderId="0" fillId="0" fontId="84" numFmtId="0" xfId="0" applyAlignment="1" applyFont="1">
      <alignment shrinkToFit="0" vertical="bottom" wrapText="1"/>
    </xf>
    <xf borderId="0" fillId="0" fontId="5" numFmtId="0" xfId="0" applyFont="1"/>
    <xf borderId="0" fillId="13" fontId="92" numFmtId="0" xfId="0" applyAlignment="1" applyFill="1" applyFont="1">
      <alignment horizontal="center" readingOrder="0" shrinkToFit="0" vertical="center" wrapText="1"/>
    </xf>
    <xf borderId="0" fillId="13" fontId="93" numFmtId="0" xfId="0" applyAlignment="1" applyFont="1">
      <alignment horizontal="center" readingOrder="0" shrinkToFit="0" vertical="center" wrapText="1"/>
    </xf>
    <xf borderId="0" fillId="0" fontId="79" numFmtId="0" xfId="0" applyFont="1"/>
    <xf borderId="93" fillId="0" fontId="1" numFmtId="0" xfId="0" applyAlignment="1" applyBorder="1" applyFont="1">
      <alignment readingOrder="0"/>
    </xf>
    <xf borderId="0" fillId="0" fontId="79" numFmtId="0" xfId="0" applyAlignment="1" applyFont="1">
      <alignment shrinkToFit="0" wrapText="0"/>
    </xf>
    <xf borderId="0" fillId="0" fontId="79" numFmtId="0" xfId="0" applyAlignment="1" applyFont="1">
      <alignment horizontal="center" readingOrder="0" vertical="center"/>
    </xf>
    <xf borderId="0" fillId="2" fontId="10" numFmtId="0" xfId="0" applyAlignment="1" applyFont="1">
      <alignment readingOrder="0"/>
    </xf>
    <xf borderId="0" fillId="2" fontId="1" numFmtId="0" xfId="0" applyFont="1"/>
    <xf borderId="0" fillId="0" fontId="1" numFmtId="0" xfId="0" applyAlignment="1" applyFont="1">
      <alignment shrinkToFit="0" wrapText="0"/>
    </xf>
    <xf borderId="0" fillId="0" fontId="94" numFmtId="0" xfId="0" applyAlignment="1" applyFont="1">
      <alignment readingOrder="0" shrinkToFit="0" wrapText="0"/>
    </xf>
    <xf borderId="0" fillId="14" fontId="10" numFmtId="0" xfId="0" applyAlignment="1" applyFill="1" applyFont="1">
      <alignment readingOrder="0"/>
    </xf>
    <xf borderId="0" fillId="14" fontId="1" numFmtId="0" xfId="0" applyAlignment="1" applyFont="1">
      <alignment readingOrder="0"/>
    </xf>
    <xf borderId="0" fillId="14" fontId="5" numFmtId="0" xfId="0" applyAlignment="1" applyFont="1">
      <alignment horizontal="right" readingOrder="0" vertical="bottom"/>
    </xf>
    <xf borderId="0" fillId="15" fontId="95" numFmtId="0" xfId="0" applyAlignment="1" applyFill="1" applyFont="1">
      <alignment readingOrder="0" shrinkToFit="0" wrapText="0"/>
    </xf>
    <xf quotePrefix="1" borderId="0" fillId="2" fontId="10" numFmtId="0" xfId="0" applyAlignment="1" applyFont="1">
      <alignment readingOrder="0"/>
    </xf>
    <xf quotePrefix="1" borderId="0" fillId="2" fontId="96" numFmtId="0" xfId="0" applyAlignment="1" applyFont="1">
      <alignment vertical="bottom"/>
    </xf>
    <xf borderId="93" fillId="2" fontId="88" numFmtId="0" xfId="0" applyAlignment="1" applyBorder="1" applyFont="1">
      <alignment horizontal="left" readingOrder="0"/>
    </xf>
    <xf borderId="0" fillId="0" fontId="10" numFmtId="0" xfId="0" applyAlignment="1" applyFont="1">
      <alignment readingOrder="0"/>
    </xf>
    <xf borderId="0" fillId="13" fontId="5" numFmtId="0" xfId="0" applyAlignment="1" applyFont="1">
      <alignment vertical="bottom"/>
    </xf>
    <xf borderId="0" fillId="0" fontId="96" numFmtId="0" xfId="0" applyAlignment="1" applyFont="1">
      <alignment vertical="bottom"/>
    </xf>
    <xf borderId="2" fillId="0" fontId="97" numFmtId="0" xfId="0" applyAlignment="1" applyBorder="1" applyFont="1">
      <alignment readingOrder="0"/>
    </xf>
    <xf borderId="0" fillId="14" fontId="96" numFmtId="0" xfId="0" applyAlignment="1" applyFont="1">
      <alignment readingOrder="0" vertical="bottom"/>
    </xf>
    <xf borderId="0" fillId="0" fontId="98" numFmtId="0" xfId="0" applyAlignment="1" applyFont="1">
      <alignment readingOrder="0"/>
    </xf>
    <xf borderId="0" fillId="2" fontId="96" numFmtId="0" xfId="0" applyAlignment="1" applyFont="1">
      <alignment vertical="bottom"/>
    </xf>
    <xf borderId="0" fillId="2" fontId="5" numFmtId="0" xfId="0" applyAlignment="1" applyFont="1">
      <alignment readingOrder="0" vertical="bottom"/>
    </xf>
    <xf borderId="0" fillId="14" fontId="5" numFmtId="0" xfId="0" applyAlignment="1" applyFont="1">
      <alignment readingOrder="0" vertical="bottom"/>
    </xf>
    <xf borderId="0" fillId="16" fontId="99" numFmtId="0" xfId="0" applyAlignment="1" applyFill="1" applyFont="1">
      <alignment readingOrder="0"/>
    </xf>
    <xf borderId="0" fillId="0" fontId="1" numFmtId="0" xfId="0" applyFont="1"/>
    <xf borderId="0" fillId="0" fontId="96" numFmtId="0" xfId="0" applyAlignment="1" applyFont="1">
      <alignment vertical="bottom"/>
    </xf>
    <xf borderId="0" fillId="16" fontId="100" numFmtId="0" xfId="0" applyAlignment="1" applyFont="1">
      <alignment readingOrder="0"/>
    </xf>
    <xf borderId="0" fillId="17" fontId="99" numFmtId="0" xfId="0" applyAlignment="1" applyFill="1" applyFont="1">
      <alignment readingOrder="0"/>
    </xf>
    <xf borderId="0" fillId="0" fontId="96" numFmtId="0" xfId="0" applyAlignment="1" applyFont="1">
      <alignment vertical="bottom"/>
    </xf>
    <xf borderId="0" fillId="0" fontId="96" numFmtId="0" xfId="0" applyAlignment="1" applyFont="1">
      <alignment readingOrder="0" vertical="bottom"/>
    </xf>
    <xf borderId="0" fillId="0" fontId="5" numFmtId="0" xfId="0" applyAlignment="1" applyFont="1">
      <alignment vertical="bottom"/>
    </xf>
    <xf borderId="0" fillId="2" fontId="5" numFmtId="0" xfId="0" applyAlignment="1" applyFont="1">
      <alignment vertical="bottom"/>
    </xf>
    <xf borderId="0" fillId="0" fontId="5" numFmtId="0" xfId="0" applyAlignment="1" applyFont="1">
      <alignment vertical="bottom"/>
    </xf>
    <xf borderId="0" fillId="14" fontId="5" numFmtId="0" xfId="0" applyAlignment="1" applyFont="1">
      <alignment vertical="bottom"/>
    </xf>
    <xf borderId="0" fillId="0" fontId="5" numFmtId="0" xfId="0" applyAlignment="1" applyFont="1">
      <alignment readingOrder="0" vertical="bottom"/>
    </xf>
    <xf borderId="0" fillId="2" fontId="5" numFmtId="0" xfId="0" applyAlignment="1" applyFont="1">
      <alignment vertical="bottom"/>
    </xf>
  </cellXfs>
  <cellStyles count="1">
    <cellStyle xfId="0" name="Normal" builtinId="0"/>
  </cellStyles>
  <dxfs count="12">
    <dxf>
      <font/>
      <fill>
        <patternFill patternType="none"/>
      </fill>
      <border/>
    </dxf>
    <dxf>
      <font/>
      <fill>
        <patternFill patternType="solid">
          <fgColor rgb="FFF4C7C3"/>
          <bgColor rgb="FFF4C7C3"/>
        </patternFill>
      </fill>
      <border/>
    </dxf>
    <dxf>
      <font/>
      <fill>
        <patternFill patternType="solid">
          <fgColor rgb="FFCCA677"/>
          <bgColor rgb="FFCCA677"/>
        </patternFill>
      </fill>
      <border/>
    </dxf>
    <dxf>
      <font/>
      <fill>
        <patternFill patternType="solid">
          <fgColor rgb="FFFFFFFF"/>
          <bgColor rgb="FFFFFFFF"/>
        </patternFill>
      </fill>
      <border/>
    </dxf>
    <dxf>
      <font/>
      <fill>
        <patternFill patternType="solid">
          <fgColor rgb="FFF8F2EB"/>
          <bgColor rgb="FFF8F2EB"/>
        </patternFill>
      </fill>
      <border/>
    </dxf>
    <dxf>
      <font/>
      <fill>
        <patternFill patternType="solid">
          <fgColor rgb="FFF3F3F3"/>
          <bgColor rgb="FFF3F3F3"/>
        </patternFill>
      </fill>
      <border/>
    </dxf>
    <dxf>
      <font/>
      <fill>
        <patternFill patternType="solid">
          <fgColor rgb="FF8BC34A"/>
          <bgColor rgb="FF8BC34A"/>
        </patternFill>
      </fill>
      <border/>
    </dxf>
    <dxf>
      <font/>
      <fill>
        <patternFill patternType="solid">
          <fgColor rgb="FFD9EAD3"/>
          <bgColor rgb="FFD9EAD3"/>
        </patternFill>
      </fill>
      <border/>
    </dxf>
    <dxf>
      <font/>
      <fill>
        <patternFill patternType="solid">
          <fgColor rgb="FFEEF7E3"/>
          <bgColor rgb="FFEEF7E3"/>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FCE8B2"/>
          <bgColor rgb="FFFCE8B2"/>
        </patternFill>
      </fill>
      <border/>
    </dxf>
  </dxfs>
  <tableStyles count="5">
    <tableStyle count="3" pivot="0" name="BALANCE SHEET-style">
      <tableStyleElement dxfId="2" type="headerRow"/>
      <tableStyleElement dxfId="3" type="firstRowStripe"/>
      <tableStyleElement dxfId="4" type="secondRowStripe"/>
    </tableStyle>
    <tableStyle count="2" pivot="0" name="BALANCE SHEET-style 2">
      <tableStyleElement dxfId="3" type="firstRowStripe"/>
      <tableStyleElement dxfId="5" type="secondRowStripe"/>
    </tableStyle>
    <tableStyle count="3" pivot="0" name="Profile Requests-style">
      <tableStyleElement dxfId="6" type="headerRow"/>
      <tableStyleElement dxfId="7" type="firstRowStripe"/>
      <tableStyleElement dxfId="8" type="secondRowStripe"/>
    </tableStyle>
    <tableStyle count="3" pivot="0" name="Utility-style">
      <tableStyleElement dxfId="9" type="headerRow"/>
      <tableStyleElement dxfId="3" type="firstRowStripe"/>
      <tableStyleElement dxfId="10" type="secondRowStripe"/>
    </tableStyle>
    <tableStyle count="2" pivot="0" name="Utility-style 2">
      <tableStyleElement dxfId="10"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457200</xdr:colOff>
      <xdr:row>1</xdr:row>
      <xdr:rowOff>171450</xdr:rowOff>
    </xdr:from>
    <xdr:ext cx="2381250" cy="733425"/>
    <xdr:sp>
      <xdr:nvSpPr>
        <xdr:cNvPr id="3" name="Shape 3"/>
        <xdr:cNvSpPr/>
      </xdr:nvSpPr>
      <xdr:spPr>
        <a:xfrm>
          <a:off x="2649450" y="1626675"/>
          <a:ext cx="4383300" cy="13344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800" u="sng"/>
            <a:t>Block Reporting</a:t>
          </a:r>
          <a:endParaRPr b="1" sz="3800" u="sng"/>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urmeet Singh Sidhu" id="{55e7dedb-79ec-4727-974b-f7b1fa4306c7}" providerId="google-sheets"/>
</x18tc:personList>
</file>

<file path=xl/tables/table1.xml><?xml version="1.0" encoding="utf-8"?>
<table xmlns="http://schemas.openxmlformats.org/spreadsheetml/2006/main" headerRowCount="0" ref="I1:AQ50" displayName="Table_1" name="Table_1" id="1">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BALANCE SHEE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D3:D50" displayName="Table_2" name="Table_2" id="2">
  <tableColumns count="1">
    <tableColumn name="Column1" id="1"/>
  </tableColumns>
  <tableStyleInfo name="BALANCE SHEET-style 2" showColumnStripes="0" showFirstColumn="1" showLastColumn="1" showRowStripes="1"/>
</table>
</file>

<file path=xl/tables/table3.xml><?xml version="1.0" encoding="utf-8"?>
<table xmlns="http://schemas.openxmlformats.org/spreadsheetml/2006/main" ref="A1:I997" displayName="Table_3" name="Table_3" id="3">
  <tableColumns count="9">
    <tableColumn name="Name of Institute" id="1"/>
    <tableColumn name="Reporting Authority" id="2"/>
    <tableColumn name="Name" id="3"/>
    <tableColumn name="Designation " id="4"/>
    <tableColumn name="Moble Nmber" id="5"/>
    <tableColumn name="Email" id="6"/>
    <tableColumn name="User Roles" id="7"/>
    <tableColumn name="Org Id" id="8"/>
    <tableColumn name="Pass" id="9"/>
  </tableColumns>
  <tableStyleInfo name="Profile Requests-style" showColumnStripes="0" showFirstColumn="1" showLastColumn="1" showRowStripes="1"/>
</table>
</file>

<file path=xl/tables/table4.xml><?xml version="1.0" encoding="utf-8"?>
<table xmlns="http://schemas.openxmlformats.org/spreadsheetml/2006/main" ref="A5:D29" displayName="Table_4" name="Table_4" id="4">
  <tableColumns count="4">
    <tableColumn name="Fields" id="1"/>
    <tableColumn name="Values" id="2"/>
    <tableColumn name="Fields 2" id="3"/>
    <tableColumn name="Values 2" id="4"/>
  </tableColumns>
  <tableStyleInfo name="Utility-style" showColumnStripes="0" showFirstColumn="1" showLastColumn="1" showRowStripes="1"/>
</table>
</file>

<file path=xl/tables/table5.xml><?xml version="1.0" encoding="utf-8"?>
<table xmlns="http://schemas.openxmlformats.org/spreadsheetml/2006/main" headerRowCount="0" ref="D33" displayName="Table_5" name="Table_5" id="5">
  <tableColumns count="1">
    <tableColumn name="Column1" id="1"/>
  </tableColumns>
  <tableStyleInfo name="Utility-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6-03T09:54:28.00" personId="{55e7dedb-79ec-4727-974b-f7b1fa4306c7}" id="{18a69a3c-1989-4bda-a361-68d76a5c879b}" done="0">
    <x18tc:text xml:space="preserve">24/03/2023 4800</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U267" dT="2026-02-28T03:45:36.00" personId="{55e7dedb-79ec-4727-974b-f7b1fa4306c7}" id="{9b1d8215-81da-4f2a-86b6-cb0c35054319}" done="0">
    <x18tc:text xml:space="preserve">To be adjusted</x18tc:text>
  </x18tc:threadedComment>
  <x18tc:threadedComment ref="FC12" dT="2025-09-30T11:07:07.00" personId="{55e7dedb-79ec-4727-974b-f7b1fa4306c7}" id="{bc8d2232-72d7-4d84-8114-f4c92d36eac9}" done="0">
    <x18tc:text xml:space="preserve">6 + 15</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xml"/><Relationship Id="rId5"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script.google.com/macros/s/AKfycbwUYjJDMzyErjccnTyPyjHLP1-dcfRjVjOT_ohD1mbdJStVYKDUyZhVJ70zdWdecXwl/exec" TargetMode="External"/><Relationship Id="rId2" Type="http://schemas.openxmlformats.org/officeDocument/2006/relationships/hyperlink" Target="https://docs.google.com/forms/u/0/d/e/1FAIpQLSdM4amZmfUi6jcU7VlLlmaUV3bu2F9HAji7UZDTbV93GO-zVA/formResponse" TargetMode="External"/><Relationship Id="rId3" Type="http://schemas.openxmlformats.org/officeDocument/2006/relationships/hyperlink" Target="https://docs.google.com/forms/d/e/1FAIpQLSfDq9Kno6RR2cFnsDDwoQU4oXY9JQPEfTCclrxYO_ozUS7FIA/formResponse" TargetMode="External"/><Relationship Id="rId4" Type="http://schemas.openxmlformats.org/officeDocument/2006/relationships/hyperlink" Target="https://docs.google.com/forms/d/e/1FAIpQLSdW-uWeWGB8LuUZlNocW9SwdLmw7528us97DVmIV2Oo1HzMuw/formResponse" TargetMode="External"/><Relationship Id="rId11" Type="http://schemas.openxmlformats.org/officeDocument/2006/relationships/table" Target="../tables/table5.xml"/><Relationship Id="rId10" Type="http://schemas.openxmlformats.org/officeDocument/2006/relationships/table" Target="../tables/table4.xml"/><Relationship Id="rId5" Type="http://schemas.openxmlformats.org/officeDocument/2006/relationships/hyperlink" Target="https://docs.google.com/forms/d/e/1FAIpQLSdxdlk5QS7sSqZQ0dSrzLObFK8JWMHAM90IcPeGPxv45uwr5w/formResponse" TargetMode="External"/><Relationship Id="rId6" Type="http://schemas.openxmlformats.org/officeDocument/2006/relationships/hyperlink" Target="https://www.google.com/" TargetMode="External"/><Relationship Id="rId7"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0.13"/>
    <col customWidth="1" min="3" max="3" width="15.25"/>
    <col customWidth="1" min="4" max="4" width="10.63"/>
    <col customWidth="1" min="5" max="5" width="18.88"/>
    <col customWidth="1" min="6" max="12" width="10.0"/>
    <col customWidth="1" min="13" max="15" width="9.0"/>
    <col customWidth="1" min="16" max="18" width="10.0"/>
    <col customWidth="1" min="19" max="19" width="9.0"/>
    <col customWidth="1" min="20" max="21" width="10.0"/>
    <col customWidth="1" min="22" max="27" width="18.88"/>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1" t="s">
        <v>15</v>
      </c>
      <c r="Q1" s="1" t="s">
        <v>16</v>
      </c>
      <c r="R1" s="1" t="s">
        <v>17</v>
      </c>
      <c r="S1" s="2" t="s">
        <v>18</v>
      </c>
      <c r="T1" s="1" t="s">
        <v>19</v>
      </c>
      <c r="U1" s="1" t="s">
        <v>19</v>
      </c>
      <c r="V1" s="3"/>
      <c r="W1" s="4"/>
      <c r="X1" s="4"/>
      <c r="Y1" s="4"/>
      <c r="Z1" s="4"/>
      <c r="AA1" s="4"/>
    </row>
    <row r="2">
      <c r="A2" s="5">
        <v>45032.51688109954</v>
      </c>
      <c r="B2" s="6">
        <v>45016.0</v>
      </c>
      <c r="C2" s="7" t="s">
        <v>20</v>
      </c>
      <c r="D2" s="7" t="s">
        <v>21</v>
      </c>
      <c r="F2" s="7">
        <v>25.0</v>
      </c>
      <c r="H2" s="7">
        <v>30.0</v>
      </c>
      <c r="J2" s="7">
        <v>66.0</v>
      </c>
      <c r="L2" s="7">
        <v>30.0</v>
      </c>
      <c r="P2" s="7">
        <v>320.0</v>
      </c>
      <c r="R2" s="7">
        <v>40.0</v>
      </c>
    </row>
    <row r="3">
      <c r="A3" s="5">
        <v>45032.51767134259</v>
      </c>
      <c r="B3" s="6">
        <v>45017.0</v>
      </c>
      <c r="C3" s="7" t="s">
        <v>20</v>
      </c>
      <c r="D3" s="7" t="s">
        <v>22</v>
      </c>
      <c r="E3" s="7" t="s">
        <v>23</v>
      </c>
      <c r="F3" s="7">
        <v>5.0</v>
      </c>
      <c r="J3" s="7">
        <v>15.0</v>
      </c>
      <c r="P3" s="7">
        <v>15.0</v>
      </c>
    </row>
    <row r="4">
      <c r="A4" s="5">
        <v>45032.51812125</v>
      </c>
      <c r="B4" s="6">
        <v>45017.0</v>
      </c>
      <c r="C4" s="7" t="s">
        <v>20</v>
      </c>
      <c r="D4" s="7" t="s">
        <v>22</v>
      </c>
      <c r="E4" s="7" t="s">
        <v>20</v>
      </c>
      <c r="H4" s="7">
        <v>5.0</v>
      </c>
      <c r="P4" s="7">
        <v>5.0</v>
      </c>
    </row>
    <row r="5">
      <c r="A5" s="5">
        <v>45032.51858193287</v>
      </c>
      <c r="B5" s="6">
        <v>45032.0</v>
      </c>
      <c r="C5" s="7" t="s">
        <v>20</v>
      </c>
      <c r="D5" s="7" t="s">
        <v>22</v>
      </c>
      <c r="E5" s="7" t="s">
        <v>24</v>
      </c>
      <c r="H5" s="7">
        <v>5.0</v>
      </c>
      <c r="J5" s="7">
        <v>30.0</v>
      </c>
      <c r="L5" s="7">
        <v>4.0</v>
      </c>
      <c r="P5" s="7">
        <v>15.0</v>
      </c>
      <c r="R5" s="7">
        <v>1.0</v>
      </c>
    </row>
    <row r="6">
      <c r="A6" s="5">
        <v>45032.52205670139</v>
      </c>
      <c r="B6" s="6">
        <v>45017.0</v>
      </c>
      <c r="C6" s="7" t="s">
        <v>20</v>
      </c>
      <c r="D6" s="7" t="s">
        <v>22</v>
      </c>
      <c r="E6" s="7" t="s">
        <v>25</v>
      </c>
      <c r="J6" s="7">
        <v>15.0</v>
      </c>
      <c r="P6" s="7">
        <v>15.0</v>
      </c>
    </row>
    <row r="7">
      <c r="A7" s="5">
        <v>45032.522545370375</v>
      </c>
      <c r="B7" s="6">
        <v>45019.0</v>
      </c>
      <c r="C7" s="7" t="s">
        <v>20</v>
      </c>
      <c r="D7" s="7" t="s">
        <v>22</v>
      </c>
      <c r="E7" s="7" t="s">
        <v>23</v>
      </c>
      <c r="J7" s="7">
        <v>15.0</v>
      </c>
    </row>
    <row r="8">
      <c r="A8" s="5">
        <v>45032.523284560186</v>
      </c>
      <c r="B8" s="6">
        <v>45021.0</v>
      </c>
      <c r="C8" s="7" t="s">
        <v>20</v>
      </c>
      <c r="D8" s="7" t="s">
        <v>22</v>
      </c>
      <c r="E8" s="7" t="s">
        <v>26</v>
      </c>
      <c r="P8" s="7">
        <v>30.0</v>
      </c>
    </row>
    <row r="9">
      <c r="A9" s="5">
        <v>45032.52383909722</v>
      </c>
      <c r="B9" s="6">
        <v>45022.0</v>
      </c>
      <c r="C9" s="7" t="s">
        <v>20</v>
      </c>
      <c r="D9" s="7" t="s">
        <v>22</v>
      </c>
      <c r="E9" s="7" t="s">
        <v>27</v>
      </c>
      <c r="P9" s="7">
        <v>30.0</v>
      </c>
    </row>
    <row r="10">
      <c r="A10" s="5">
        <v>45032.52438729166</v>
      </c>
      <c r="B10" s="6">
        <v>45022.0</v>
      </c>
      <c r="C10" s="7" t="s">
        <v>20</v>
      </c>
      <c r="D10" s="7" t="s">
        <v>22</v>
      </c>
      <c r="E10" s="7" t="s">
        <v>28</v>
      </c>
      <c r="F10" s="7">
        <v>5.0</v>
      </c>
      <c r="P10" s="7">
        <v>15.0</v>
      </c>
      <c r="R10" s="7">
        <v>10.0</v>
      </c>
    </row>
    <row r="11">
      <c r="A11" s="5">
        <v>45032.52474975694</v>
      </c>
      <c r="B11" s="6">
        <v>45028.0</v>
      </c>
      <c r="C11" s="7" t="s">
        <v>20</v>
      </c>
      <c r="D11" s="7" t="s">
        <v>21</v>
      </c>
      <c r="F11" s="7">
        <v>15.0</v>
      </c>
      <c r="H11" s="7">
        <v>15.0</v>
      </c>
    </row>
    <row r="12">
      <c r="A12" s="5">
        <v>45032.52512071759</v>
      </c>
      <c r="B12" s="6">
        <v>45032.0</v>
      </c>
      <c r="C12" s="7" t="s">
        <v>20</v>
      </c>
      <c r="D12" s="7" t="s">
        <v>22</v>
      </c>
      <c r="E12" s="7" t="s">
        <v>29</v>
      </c>
      <c r="H12" s="7">
        <v>5.0</v>
      </c>
    </row>
    <row r="13">
      <c r="A13" s="5">
        <v>45032.525699143516</v>
      </c>
      <c r="B13" s="6">
        <v>45028.0</v>
      </c>
      <c r="C13" s="7" t="s">
        <v>20</v>
      </c>
      <c r="D13" s="7" t="s">
        <v>22</v>
      </c>
      <c r="E13" s="7" t="s">
        <v>30</v>
      </c>
      <c r="F13" s="7">
        <v>5.0</v>
      </c>
      <c r="P13" s="7">
        <v>30.0</v>
      </c>
    </row>
    <row r="14">
      <c r="A14" s="5">
        <v>45032.526034016206</v>
      </c>
      <c r="B14" s="6">
        <v>45029.0</v>
      </c>
      <c r="C14" s="7" t="s">
        <v>20</v>
      </c>
      <c r="D14" s="7" t="s">
        <v>22</v>
      </c>
      <c r="E14" s="7" t="s">
        <v>31</v>
      </c>
      <c r="F14" s="7">
        <v>5.0</v>
      </c>
    </row>
    <row r="15">
      <c r="A15" s="5">
        <v>45032.52628333333</v>
      </c>
      <c r="B15" s="6">
        <v>45029.0</v>
      </c>
      <c r="C15" s="7" t="s">
        <v>20</v>
      </c>
      <c r="D15" s="7" t="s">
        <v>22</v>
      </c>
      <c r="E15" s="7" t="s">
        <v>32</v>
      </c>
      <c r="F15" s="7">
        <v>5.0</v>
      </c>
      <c r="P15" s="7">
        <v>15.0</v>
      </c>
    </row>
    <row r="16">
      <c r="A16" s="5">
        <v>45032.52683054398</v>
      </c>
      <c r="B16" s="6">
        <v>45031.0</v>
      </c>
      <c r="C16" s="7" t="s">
        <v>20</v>
      </c>
      <c r="D16" s="7" t="s">
        <v>22</v>
      </c>
      <c r="E16" s="7" t="s">
        <v>24</v>
      </c>
      <c r="H16" s="7">
        <v>15.0</v>
      </c>
      <c r="P16" s="7">
        <v>30.0</v>
      </c>
    </row>
    <row r="17">
      <c r="A17" s="5">
        <v>45032.5270294213</v>
      </c>
      <c r="B17" s="6">
        <v>45031.0</v>
      </c>
      <c r="C17" s="7" t="s">
        <v>20</v>
      </c>
      <c r="D17" s="7" t="s">
        <v>22</v>
      </c>
      <c r="E17" s="7" t="s">
        <v>20</v>
      </c>
      <c r="F17" s="7">
        <v>5.0</v>
      </c>
      <c r="H17" s="7">
        <v>5.0</v>
      </c>
    </row>
    <row r="18">
      <c r="A18" s="5">
        <v>45032.542281898146</v>
      </c>
      <c r="B18" s="6">
        <v>45029.0</v>
      </c>
      <c r="C18" s="7" t="s">
        <v>20</v>
      </c>
      <c r="D18" s="7" t="s">
        <v>22</v>
      </c>
      <c r="E18" s="7" t="s">
        <v>28</v>
      </c>
      <c r="P18" s="7"/>
    </row>
    <row r="19">
      <c r="A19" s="5">
        <v>45032.85286114583</v>
      </c>
      <c r="B19" s="6">
        <v>45031.0</v>
      </c>
      <c r="C19" s="7" t="s">
        <v>20</v>
      </c>
      <c r="D19" s="7" t="s">
        <v>22</v>
      </c>
      <c r="E19" s="7" t="s">
        <v>29</v>
      </c>
      <c r="P19" s="7">
        <v>15.0</v>
      </c>
    </row>
    <row r="20">
      <c r="A20" s="5">
        <v>45034.66146775463</v>
      </c>
      <c r="B20" s="6">
        <v>45034.0</v>
      </c>
      <c r="C20" s="7" t="s">
        <v>20</v>
      </c>
      <c r="D20" s="7" t="s">
        <v>22</v>
      </c>
      <c r="E20" s="7" t="s">
        <v>24</v>
      </c>
      <c r="L20" s="7">
        <v>10.0</v>
      </c>
    </row>
    <row r="21">
      <c r="A21" s="5">
        <v>45036.39056133102</v>
      </c>
      <c r="B21" s="6">
        <v>45036.0</v>
      </c>
      <c r="C21" s="7" t="s">
        <v>20</v>
      </c>
      <c r="D21" s="7" t="s">
        <v>22</v>
      </c>
      <c r="E21" s="7" t="s">
        <v>20</v>
      </c>
      <c r="F21" s="7">
        <v>5.0</v>
      </c>
      <c r="H21" s="7">
        <v>10.0</v>
      </c>
    </row>
    <row r="22">
      <c r="A22" s="5">
        <v>45037.55404012732</v>
      </c>
      <c r="B22" s="6">
        <v>45037.0</v>
      </c>
      <c r="C22" s="7" t="s">
        <v>20</v>
      </c>
      <c r="D22" s="7" t="s">
        <v>22</v>
      </c>
      <c r="E22" s="7" t="s">
        <v>20</v>
      </c>
      <c r="P22" s="7">
        <v>15.0</v>
      </c>
    </row>
    <row r="23">
      <c r="A23" s="5">
        <v>45045.368277800924</v>
      </c>
      <c r="B23" s="6">
        <v>45040.0</v>
      </c>
      <c r="C23" s="7" t="s">
        <v>20</v>
      </c>
      <c r="D23" s="7" t="s">
        <v>22</v>
      </c>
      <c r="E23" s="7" t="s">
        <v>33</v>
      </c>
      <c r="P23" s="7">
        <v>15.0</v>
      </c>
    </row>
    <row r="24">
      <c r="A24" s="5">
        <v>45045.36897697917</v>
      </c>
      <c r="B24" s="6">
        <v>45044.0</v>
      </c>
      <c r="C24" s="7" t="s">
        <v>20</v>
      </c>
      <c r="D24" s="7" t="s">
        <v>21</v>
      </c>
      <c r="L24" s="7">
        <v>30.0</v>
      </c>
      <c r="P24" s="7">
        <v>240.0</v>
      </c>
      <c r="R24" s="7">
        <v>30.0</v>
      </c>
    </row>
    <row r="25">
      <c r="A25" s="5">
        <v>45045.36937907407</v>
      </c>
      <c r="B25" s="6">
        <v>45044.0</v>
      </c>
      <c r="C25" s="7" t="s">
        <v>20</v>
      </c>
      <c r="D25" s="7" t="s">
        <v>22</v>
      </c>
      <c r="E25" s="7" t="s">
        <v>20</v>
      </c>
      <c r="P25" s="7">
        <v>15.0</v>
      </c>
    </row>
    <row r="26">
      <c r="A26" s="5">
        <v>45045.56042516204</v>
      </c>
      <c r="B26" s="6">
        <v>45045.0</v>
      </c>
      <c r="C26" s="7" t="s">
        <v>20</v>
      </c>
      <c r="D26" s="7" t="s">
        <v>22</v>
      </c>
      <c r="E26" s="7" t="s">
        <v>24</v>
      </c>
      <c r="F26" s="7">
        <v>5.0</v>
      </c>
      <c r="P26" s="7">
        <v>15.0</v>
      </c>
    </row>
    <row r="27">
      <c r="A27" s="5">
        <v>45045.564529375</v>
      </c>
      <c r="B27" s="6">
        <v>45045.0</v>
      </c>
      <c r="C27" s="7" t="s">
        <v>20</v>
      </c>
      <c r="D27" s="7" t="s">
        <v>22</v>
      </c>
      <c r="E27" s="7" t="s">
        <v>32</v>
      </c>
      <c r="P27" s="7">
        <v>45.0</v>
      </c>
    </row>
    <row r="28">
      <c r="A28" s="5">
        <v>45048.36968556713</v>
      </c>
      <c r="B28" s="6">
        <v>45048.0</v>
      </c>
      <c r="C28" s="7" t="s">
        <v>20</v>
      </c>
      <c r="D28" s="7" t="s">
        <v>22</v>
      </c>
      <c r="E28" s="7" t="s">
        <v>28</v>
      </c>
      <c r="P28" s="7">
        <v>15.0</v>
      </c>
    </row>
    <row r="29">
      <c r="A29" s="5">
        <v>45048.48374456019</v>
      </c>
      <c r="B29" s="6">
        <v>45048.0</v>
      </c>
      <c r="C29" s="7" t="s">
        <v>20</v>
      </c>
      <c r="D29" s="7" t="s">
        <v>22</v>
      </c>
      <c r="E29" s="7" t="s">
        <v>23</v>
      </c>
      <c r="L29" s="7">
        <v>10.0</v>
      </c>
      <c r="P29" s="7">
        <v>30.0</v>
      </c>
    </row>
    <row r="30">
      <c r="A30" s="5">
        <v>45048.483943784726</v>
      </c>
      <c r="B30" s="6">
        <v>45048.0</v>
      </c>
      <c r="C30" s="7" t="s">
        <v>20</v>
      </c>
      <c r="D30" s="7" t="s">
        <v>22</v>
      </c>
      <c r="E30" s="7" t="s">
        <v>29</v>
      </c>
      <c r="P30" s="7">
        <v>15.0</v>
      </c>
    </row>
    <row r="31">
      <c r="A31" s="5">
        <v>45055.46860849537</v>
      </c>
      <c r="B31" s="6">
        <v>45050.0</v>
      </c>
      <c r="C31" s="7" t="s">
        <v>20</v>
      </c>
      <c r="D31" s="7" t="s">
        <v>22</v>
      </c>
      <c r="E31" s="7" t="s">
        <v>27</v>
      </c>
      <c r="P31" s="7">
        <v>30.0</v>
      </c>
    </row>
    <row r="32">
      <c r="A32" s="5">
        <v>45055.46885373842</v>
      </c>
      <c r="B32" s="6">
        <v>45055.0</v>
      </c>
      <c r="C32" s="7" t="s">
        <v>20</v>
      </c>
      <c r="D32" s="7" t="s">
        <v>22</v>
      </c>
      <c r="E32" s="7" t="s">
        <v>33</v>
      </c>
      <c r="P32" s="7">
        <v>15.0</v>
      </c>
    </row>
    <row r="33">
      <c r="A33" s="5">
        <v>45055.550187280096</v>
      </c>
      <c r="B33" s="6">
        <v>45055.0</v>
      </c>
      <c r="C33" s="7" t="s">
        <v>20</v>
      </c>
      <c r="D33" s="7" t="s">
        <v>22</v>
      </c>
      <c r="E33" s="7" t="s">
        <v>25</v>
      </c>
      <c r="P33" s="7">
        <v>15.0</v>
      </c>
    </row>
    <row r="34">
      <c r="A34" s="5">
        <v>45063.72709579861</v>
      </c>
      <c r="B34" s="6">
        <v>45063.0</v>
      </c>
      <c r="C34" s="7" t="s">
        <v>20</v>
      </c>
      <c r="D34" s="7" t="s">
        <v>22</v>
      </c>
      <c r="E34" s="7" t="s">
        <v>29</v>
      </c>
      <c r="P34" s="7">
        <v>15.0</v>
      </c>
    </row>
    <row r="35">
      <c r="A35" s="5">
        <v>45072.55089230324</v>
      </c>
      <c r="B35" s="6">
        <v>45071.0</v>
      </c>
      <c r="C35" s="7" t="s">
        <v>20</v>
      </c>
      <c r="D35" s="7" t="s">
        <v>22</v>
      </c>
      <c r="E35" s="7" t="s">
        <v>32</v>
      </c>
      <c r="P35" s="7">
        <v>0.0</v>
      </c>
    </row>
    <row r="36">
      <c r="A36" s="5">
        <v>45072.551226261574</v>
      </c>
      <c r="B36" s="6">
        <v>45072.0</v>
      </c>
      <c r="C36" s="7" t="s">
        <v>20</v>
      </c>
      <c r="D36" s="7" t="s">
        <v>21</v>
      </c>
      <c r="P36" s="7">
        <v>105.0</v>
      </c>
    </row>
    <row r="37">
      <c r="A37" s="5">
        <v>45073.366192685186</v>
      </c>
      <c r="B37" s="6">
        <v>45073.0</v>
      </c>
      <c r="C37" s="7" t="s">
        <v>20</v>
      </c>
      <c r="D37" s="7" t="s">
        <v>22</v>
      </c>
      <c r="E37" s="7" t="s">
        <v>24</v>
      </c>
      <c r="P37" s="7">
        <v>15.0</v>
      </c>
    </row>
    <row r="38">
      <c r="A38" s="5">
        <v>45073.366441226855</v>
      </c>
      <c r="B38" s="6">
        <v>45073.0</v>
      </c>
      <c r="C38" s="7" t="s">
        <v>20</v>
      </c>
      <c r="D38" s="7" t="s">
        <v>22</v>
      </c>
      <c r="E38" s="7" t="s">
        <v>31</v>
      </c>
      <c r="P38" s="7">
        <v>30.0</v>
      </c>
    </row>
    <row r="39">
      <c r="A39" s="5">
        <v>45076.473230868054</v>
      </c>
      <c r="B39" s="6">
        <v>45076.0</v>
      </c>
      <c r="C39" s="7" t="s">
        <v>20</v>
      </c>
      <c r="D39" s="7" t="s">
        <v>22</v>
      </c>
      <c r="E39" s="7" t="s">
        <v>30</v>
      </c>
      <c r="L39" s="7">
        <v>10.0</v>
      </c>
      <c r="P39" s="7">
        <v>45.0</v>
      </c>
      <c r="R39" s="7">
        <v>10.0</v>
      </c>
    </row>
    <row r="40">
      <c r="A40" s="5">
        <v>45076.47366800926</v>
      </c>
      <c r="B40" s="6">
        <v>45076.0</v>
      </c>
      <c r="C40" s="7" t="s">
        <v>20</v>
      </c>
      <c r="D40" s="7" t="s">
        <v>22</v>
      </c>
      <c r="E40" s="7" t="s">
        <v>27</v>
      </c>
      <c r="P40" s="7">
        <v>30.0</v>
      </c>
    </row>
    <row r="41">
      <c r="A41" s="5">
        <v>45077.646704074075</v>
      </c>
      <c r="B41" s="6">
        <v>45077.0</v>
      </c>
      <c r="C41" s="7" t="s">
        <v>20</v>
      </c>
      <c r="D41" s="7" t="s">
        <v>22</v>
      </c>
      <c r="E41" s="7" t="s">
        <v>24</v>
      </c>
      <c r="P41" s="7">
        <v>15.0</v>
      </c>
    </row>
    <row r="42">
      <c r="A42" s="5">
        <v>45078.37617045139</v>
      </c>
      <c r="B42" s="6">
        <v>45078.0</v>
      </c>
      <c r="C42" s="7" t="s">
        <v>20</v>
      </c>
      <c r="D42" s="7" t="s">
        <v>22</v>
      </c>
      <c r="E42" s="7" t="s">
        <v>20</v>
      </c>
      <c r="P42" s="7">
        <v>15.0</v>
      </c>
    </row>
    <row r="43">
      <c r="A43" s="5">
        <v>45092.373378749995</v>
      </c>
      <c r="B43" s="6">
        <v>45082.0</v>
      </c>
      <c r="C43" s="7" t="s">
        <v>20</v>
      </c>
      <c r="D43" s="7" t="s">
        <v>22</v>
      </c>
      <c r="E43" s="7" t="s">
        <v>20</v>
      </c>
      <c r="P43" s="7">
        <v>30.0</v>
      </c>
    </row>
    <row r="44">
      <c r="A44" s="5">
        <v>45092.373645011576</v>
      </c>
      <c r="B44" s="6">
        <v>45086.0</v>
      </c>
      <c r="C44" s="7" t="s">
        <v>20</v>
      </c>
      <c r="D44" s="7" t="s">
        <v>22</v>
      </c>
      <c r="E44" s="7" t="s">
        <v>33</v>
      </c>
      <c r="P44" s="7"/>
    </row>
    <row r="45">
      <c r="A45" s="5">
        <v>45092.37423386574</v>
      </c>
      <c r="B45" s="6">
        <v>45086.0</v>
      </c>
      <c r="C45" s="7" t="s">
        <v>20</v>
      </c>
      <c r="D45" s="7" t="s">
        <v>22</v>
      </c>
      <c r="E45" s="7" t="s">
        <v>33</v>
      </c>
      <c r="L45" s="7">
        <v>10.0</v>
      </c>
      <c r="P45" s="7">
        <v>15.0</v>
      </c>
      <c r="R45" s="7">
        <v>10.0</v>
      </c>
    </row>
    <row r="46">
      <c r="A46" s="5">
        <v>45092.37458548611</v>
      </c>
      <c r="B46" s="6">
        <v>45090.0</v>
      </c>
      <c r="C46" s="7" t="s">
        <v>20</v>
      </c>
      <c r="D46" s="7" t="s">
        <v>22</v>
      </c>
      <c r="E46" s="7" t="s">
        <v>26</v>
      </c>
      <c r="P46" s="7">
        <v>15.0</v>
      </c>
    </row>
    <row r="47">
      <c r="A47" s="5">
        <v>45092.379223599535</v>
      </c>
      <c r="B47" s="6">
        <v>45091.0</v>
      </c>
      <c r="C47" s="7" t="s">
        <v>20</v>
      </c>
      <c r="D47" s="7" t="s">
        <v>21</v>
      </c>
      <c r="P47" s="7">
        <v>300.0</v>
      </c>
    </row>
    <row r="48">
      <c r="A48" s="5">
        <v>45092.3795172338</v>
      </c>
      <c r="B48" s="6">
        <v>45091.0</v>
      </c>
      <c r="C48" s="7" t="s">
        <v>20</v>
      </c>
      <c r="D48" s="7" t="s">
        <v>22</v>
      </c>
      <c r="E48" s="7" t="s">
        <v>23</v>
      </c>
      <c r="L48" s="7">
        <v>10.0</v>
      </c>
      <c r="P48" s="7">
        <v>15.0</v>
      </c>
    </row>
    <row r="49">
      <c r="A49" s="5">
        <v>45092.37978365741</v>
      </c>
      <c r="B49" s="6">
        <v>45092.0</v>
      </c>
      <c r="C49" s="7" t="s">
        <v>20</v>
      </c>
      <c r="D49" s="7" t="s">
        <v>22</v>
      </c>
      <c r="E49" s="7" t="s">
        <v>28</v>
      </c>
      <c r="P49" s="7">
        <v>15.0</v>
      </c>
    </row>
    <row r="50">
      <c r="A50" s="5">
        <v>45093.36861711806</v>
      </c>
      <c r="B50" s="6">
        <v>45092.0</v>
      </c>
      <c r="C50" s="7" t="s">
        <v>20</v>
      </c>
      <c r="D50" s="7" t="s">
        <v>22</v>
      </c>
      <c r="E50" s="7" t="s">
        <v>25</v>
      </c>
      <c r="R50" s="7">
        <v>10.0</v>
      </c>
    </row>
    <row r="51">
      <c r="A51" s="5">
        <v>45093.57732078704</v>
      </c>
      <c r="B51" s="6">
        <v>45093.0</v>
      </c>
      <c r="C51" s="7" t="s">
        <v>20</v>
      </c>
      <c r="D51" s="7" t="s">
        <v>22</v>
      </c>
      <c r="E51" s="7" t="s">
        <v>29</v>
      </c>
      <c r="P51" s="7">
        <v>15.0</v>
      </c>
    </row>
    <row r="52">
      <c r="A52" s="5">
        <v>45097.37798881944</v>
      </c>
      <c r="B52" s="6">
        <v>45096.0</v>
      </c>
      <c r="C52" s="7" t="s">
        <v>20</v>
      </c>
      <c r="D52" s="7" t="s">
        <v>22</v>
      </c>
      <c r="E52" s="7" t="s">
        <v>32</v>
      </c>
      <c r="P52" s="7">
        <v>30.0</v>
      </c>
    </row>
    <row r="53">
      <c r="A53" s="5">
        <v>45127.41022788195</v>
      </c>
      <c r="B53" s="6">
        <v>45107.0</v>
      </c>
      <c r="C53" s="7" t="s">
        <v>20</v>
      </c>
      <c r="D53" s="7" t="s">
        <v>21</v>
      </c>
      <c r="H53" s="7">
        <v>30.0</v>
      </c>
      <c r="I53" s="7">
        <v>30.0</v>
      </c>
      <c r="L53" s="7">
        <v>20.0</v>
      </c>
      <c r="P53" s="7">
        <v>105.0</v>
      </c>
    </row>
    <row r="54">
      <c r="A54" s="5">
        <v>45127.4109079051</v>
      </c>
      <c r="B54" s="6">
        <v>45114.0</v>
      </c>
      <c r="C54" s="7" t="s">
        <v>20</v>
      </c>
      <c r="D54" s="7" t="s">
        <v>22</v>
      </c>
      <c r="E54" s="7" t="s">
        <v>28</v>
      </c>
      <c r="H54" s="7">
        <v>5.0</v>
      </c>
      <c r="P54" s="7">
        <v>15.0</v>
      </c>
    </row>
    <row r="55">
      <c r="A55" s="5">
        <v>45127.41147009259</v>
      </c>
      <c r="B55" s="6">
        <v>45118.0</v>
      </c>
      <c r="C55" s="7" t="s">
        <v>20</v>
      </c>
      <c r="D55" s="7" t="s">
        <v>21</v>
      </c>
      <c r="F55" s="7">
        <v>142.0</v>
      </c>
      <c r="I55" s="7">
        <v>15.0</v>
      </c>
    </row>
    <row r="56">
      <c r="A56" s="5">
        <v>45127.41248114583</v>
      </c>
      <c r="B56" s="6">
        <v>45118.0</v>
      </c>
      <c r="C56" s="7" t="s">
        <v>20</v>
      </c>
      <c r="D56" s="7" t="s">
        <v>22</v>
      </c>
      <c r="E56" s="7" t="s">
        <v>23</v>
      </c>
      <c r="F56" s="7">
        <v>15.0</v>
      </c>
    </row>
    <row r="57">
      <c r="A57" s="5">
        <v>45127.41288746528</v>
      </c>
      <c r="B57" s="6">
        <v>45118.0</v>
      </c>
      <c r="C57" s="7" t="s">
        <v>20</v>
      </c>
      <c r="D57" s="7" t="s">
        <v>22</v>
      </c>
      <c r="E57" s="7" t="s">
        <v>20</v>
      </c>
      <c r="F57" s="7">
        <v>10.0</v>
      </c>
      <c r="I57" s="7">
        <v>5.0</v>
      </c>
    </row>
    <row r="58">
      <c r="A58" s="5">
        <v>45127.41364667824</v>
      </c>
      <c r="B58" s="6">
        <v>45118.0</v>
      </c>
      <c r="C58" s="7" t="s">
        <v>20</v>
      </c>
      <c r="D58" s="7" t="s">
        <v>22</v>
      </c>
      <c r="E58" s="7" t="s">
        <v>24</v>
      </c>
      <c r="F58" s="7">
        <v>12.0</v>
      </c>
      <c r="I58" s="7">
        <v>5.0</v>
      </c>
      <c r="P58" s="7">
        <v>15.0</v>
      </c>
    </row>
    <row r="59">
      <c r="A59" s="5">
        <v>45127.414416678235</v>
      </c>
      <c r="B59" s="6">
        <v>45120.0</v>
      </c>
      <c r="C59" s="7" t="s">
        <v>20</v>
      </c>
      <c r="D59" s="7" t="s">
        <v>22</v>
      </c>
      <c r="E59" s="7" t="s">
        <v>31</v>
      </c>
      <c r="F59" s="7">
        <v>10.0</v>
      </c>
      <c r="H59" s="7">
        <v>0.0</v>
      </c>
      <c r="I59" s="7">
        <v>5.0</v>
      </c>
      <c r="P59" s="7">
        <v>15.0</v>
      </c>
    </row>
    <row r="60">
      <c r="A60" s="5">
        <v>45127.41480076389</v>
      </c>
      <c r="B60" s="6">
        <v>45120.0</v>
      </c>
      <c r="C60" s="7" t="s">
        <v>20</v>
      </c>
      <c r="D60" s="7" t="s">
        <v>22</v>
      </c>
      <c r="E60" s="7" t="s">
        <v>32</v>
      </c>
      <c r="F60" s="7">
        <v>10.0</v>
      </c>
      <c r="I60" s="7">
        <v>5.0</v>
      </c>
    </row>
    <row r="61">
      <c r="A61" s="5">
        <v>45127.415374675926</v>
      </c>
      <c r="B61" s="6">
        <v>45124.0</v>
      </c>
      <c r="C61" s="7" t="s">
        <v>20</v>
      </c>
      <c r="D61" s="7" t="s">
        <v>22</v>
      </c>
      <c r="E61" s="7" t="s">
        <v>27</v>
      </c>
      <c r="F61" s="7">
        <v>15.0</v>
      </c>
      <c r="P61" s="7">
        <v>30.0</v>
      </c>
    </row>
    <row r="62">
      <c r="A62" s="5">
        <v>45127.415851111116</v>
      </c>
      <c r="B62" s="6">
        <v>45125.0</v>
      </c>
      <c r="C62" s="7" t="s">
        <v>20</v>
      </c>
      <c r="D62" s="7" t="s">
        <v>22</v>
      </c>
      <c r="E62" s="7" t="s">
        <v>33</v>
      </c>
      <c r="F62" s="7">
        <v>15.0</v>
      </c>
      <c r="L62" s="7">
        <v>10.0</v>
      </c>
    </row>
    <row r="63">
      <c r="A63" s="5">
        <v>45127.41750108796</v>
      </c>
      <c r="B63" s="6">
        <v>45127.0</v>
      </c>
      <c r="C63" s="7" t="s">
        <v>20</v>
      </c>
      <c r="D63" s="7" t="s">
        <v>22</v>
      </c>
      <c r="E63" s="7" t="s">
        <v>29</v>
      </c>
      <c r="F63" s="7">
        <v>15.0</v>
      </c>
      <c r="P63" s="7">
        <v>15.0</v>
      </c>
    </row>
    <row r="64">
      <c r="A64" s="5">
        <v>45127.41811</v>
      </c>
      <c r="B64" s="6">
        <v>45127.0</v>
      </c>
      <c r="C64" s="7" t="s">
        <v>20</v>
      </c>
      <c r="D64" s="7" t="s">
        <v>22</v>
      </c>
      <c r="E64" s="7" t="s">
        <v>26</v>
      </c>
      <c r="F64" s="7">
        <v>15.0</v>
      </c>
      <c r="P64" s="7">
        <v>30.0</v>
      </c>
    </row>
    <row r="65">
      <c r="A65" s="5">
        <v>45129.39151199074</v>
      </c>
      <c r="B65" s="6">
        <v>45129.0</v>
      </c>
      <c r="C65" s="7" t="s">
        <v>20</v>
      </c>
      <c r="D65" s="7" t="s">
        <v>22</v>
      </c>
      <c r="E65" s="7" t="s">
        <v>24</v>
      </c>
      <c r="H65" s="7">
        <v>15.0</v>
      </c>
      <c r="I65" s="7">
        <v>5.0</v>
      </c>
    </row>
    <row r="66">
      <c r="A66" s="5">
        <v>45133.36894479167</v>
      </c>
      <c r="B66" s="6">
        <v>45133.0</v>
      </c>
      <c r="C66" s="7" t="s">
        <v>20</v>
      </c>
      <c r="D66" s="7" t="s">
        <v>22</v>
      </c>
      <c r="E66" s="7" t="s">
        <v>30</v>
      </c>
      <c r="F66" s="7">
        <v>15.0</v>
      </c>
      <c r="P66" s="7">
        <v>45.0</v>
      </c>
    </row>
    <row r="67">
      <c r="A67" s="5">
        <v>45134.35557194444</v>
      </c>
      <c r="B67" s="6">
        <v>45133.0</v>
      </c>
      <c r="C67" s="7" t="s">
        <v>20</v>
      </c>
      <c r="D67" s="7" t="s">
        <v>22</v>
      </c>
      <c r="E67" s="7" t="s">
        <v>32</v>
      </c>
      <c r="P67" s="7">
        <v>30.0</v>
      </c>
    </row>
    <row r="68">
      <c r="A68" s="5">
        <v>45134.35578993056</v>
      </c>
      <c r="B68" s="6">
        <v>45134.0</v>
      </c>
      <c r="C68" s="7" t="s">
        <v>20</v>
      </c>
      <c r="D68" s="7" t="s">
        <v>21</v>
      </c>
      <c r="J68" s="7">
        <v>30.0</v>
      </c>
      <c r="P68" s="7">
        <v>105.0</v>
      </c>
    </row>
    <row r="69">
      <c r="A69" s="5">
        <v>45134.3560225463</v>
      </c>
      <c r="B69" s="6">
        <v>45133.0</v>
      </c>
      <c r="C69" s="7" t="s">
        <v>20</v>
      </c>
      <c r="D69" s="7" t="s">
        <v>22</v>
      </c>
      <c r="E69" s="7" t="s">
        <v>20</v>
      </c>
      <c r="J69" s="7">
        <v>6.0</v>
      </c>
      <c r="P69" s="7">
        <v>15.0</v>
      </c>
    </row>
    <row r="70">
      <c r="A70" s="5">
        <v>45136.35545004629</v>
      </c>
      <c r="B70" s="6">
        <v>45135.0</v>
      </c>
      <c r="C70" s="7" t="s">
        <v>20</v>
      </c>
      <c r="D70" s="7" t="s">
        <v>22</v>
      </c>
      <c r="E70" s="7" t="s">
        <v>27</v>
      </c>
      <c r="P70" s="7">
        <v>30.0</v>
      </c>
    </row>
    <row r="71">
      <c r="A71" s="5">
        <v>45136.35573002315</v>
      </c>
      <c r="B71" s="6">
        <v>45136.0</v>
      </c>
      <c r="C71" s="7" t="s">
        <v>20</v>
      </c>
      <c r="D71" s="7" t="s">
        <v>22</v>
      </c>
      <c r="E71" s="7" t="s">
        <v>28</v>
      </c>
      <c r="F71" s="7">
        <v>10.0</v>
      </c>
      <c r="H71" s="7">
        <v>5.0</v>
      </c>
      <c r="P71" s="7">
        <v>15.0</v>
      </c>
    </row>
    <row r="72">
      <c r="A72" s="5">
        <v>45139.44694105324</v>
      </c>
      <c r="B72" s="6">
        <v>45139.0</v>
      </c>
      <c r="C72" s="7" t="s">
        <v>20</v>
      </c>
      <c r="D72" s="7" t="s">
        <v>22</v>
      </c>
      <c r="E72" s="7" t="s">
        <v>20</v>
      </c>
      <c r="P72" s="7">
        <v>0.0</v>
      </c>
    </row>
    <row r="73">
      <c r="A73" s="5">
        <v>45139.44707334491</v>
      </c>
      <c r="B73" s="6">
        <v>45139.0</v>
      </c>
      <c r="C73" s="7" t="s">
        <v>20</v>
      </c>
      <c r="D73" s="7" t="s">
        <v>22</v>
      </c>
      <c r="E73" s="7" t="s">
        <v>26</v>
      </c>
      <c r="P73" s="7">
        <v>60.0</v>
      </c>
    </row>
    <row r="74">
      <c r="A74" s="5">
        <v>45139.478144733795</v>
      </c>
      <c r="B74" s="6">
        <v>45134.0</v>
      </c>
      <c r="C74" s="7" t="s">
        <v>20</v>
      </c>
      <c r="D74" s="7" t="s">
        <v>22</v>
      </c>
      <c r="E74" s="7" t="s">
        <v>24</v>
      </c>
      <c r="I74" s="7">
        <v>5.0</v>
      </c>
      <c r="J74" s="7">
        <v>15.0</v>
      </c>
      <c r="P74" s="7">
        <v>15.0</v>
      </c>
    </row>
    <row r="75">
      <c r="A75" s="5">
        <v>45139.47833696759</v>
      </c>
      <c r="B75" s="6">
        <v>45139.0</v>
      </c>
      <c r="C75" s="7" t="s">
        <v>20</v>
      </c>
      <c r="D75" s="7" t="s">
        <v>22</v>
      </c>
      <c r="E75" s="7" t="s">
        <v>33</v>
      </c>
      <c r="P75" s="7">
        <v>45.0</v>
      </c>
    </row>
    <row r="76">
      <c r="A76" s="5">
        <v>45139.50052920139</v>
      </c>
      <c r="B76" s="6">
        <v>45139.0</v>
      </c>
      <c r="C76" s="7" t="s">
        <v>20</v>
      </c>
      <c r="D76" s="7" t="s">
        <v>22</v>
      </c>
      <c r="E76" s="7" t="s">
        <v>23</v>
      </c>
      <c r="H76" s="7">
        <v>5.0</v>
      </c>
      <c r="P76" s="7">
        <v>45.0</v>
      </c>
    </row>
    <row r="77">
      <c r="A77" s="5">
        <v>45141.448911203704</v>
      </c>
      <c r="B77" s="6">
        <v>45141.0</v>
      </c>
      <c r="C77" s="7" t="s">
        <v>20</v>
      </c>
      <c r="D77" s="7" t="s">
        <v>22</v>
      </c>
      <c r="E77" s="7" t="s">
        <v>24</v>
      </c>
      <c r="P77" s="7">
        <v>15.0</v>
      </c>
    </row>
    <row r="78">
      <c r="A78" s="5">
        <v>45141.48828262731</v>
      </c>
      <c r="B78" s="6">
        <v>45141.0</v>
      </c>
      <c r="C78" s="7" t="s">
        <v>20</v>
      </c>
      <c r="D78" s="7" t="s">
        <v>21</v>
      </c>
      <c r="J78" s="7">
        <v>30.0</v>
      </c>
      <c r="P78" s="7">
        <v>300.0</v>
      </c>
      <c r="Q78" s="7">
        <v>60.0</v>
      </c>
    </row>
    <row r="79">
      <c r="A79" s="5">
        <v>45146.485026724535</v>
      </c>
      <c r="B79" s="6">
        <v>45146.0</v>
      </c>
      <c r="C79" s="7" t="s">
        <v>20</v>
      </c>
      <c r="D79" s="7" t="s">
        <v>22</v>
      </c>
      <c r="E79" s="7" t="s">
        <v>23</v>
      </c>
      <c r="I79" s="7">
        <v>5.0</v>
      </c>
      <c r="J79" s="7">
        <v>5.0</v>
      </c>
    </row>
    <row r="80">
      <c r="A80" s="5">
        <v>45146.49185233796</v>
      </c>
      <c r="B80" s="6">
        <v>45145.0</v>
      </c>
      <c r="C80" s="7" t="s">
        <v>20</v>
      </c>
      <c r="D80" s="7" t="s">
        <v>22</v>
      </c>
      <c r="E80" s="7" t="s">
        <v>26</v>
      </c>
      <c r="J80" s="7">
        <v>5.0</v>
      </c>
    </row>
    <row r="81">
      <c r="A81" s="5">
        <v>45146.492368182866</v>
      </c>
      <c r="B81" s="6">
        <v>45145.0</v>
      </c>
      <c r="C81" s="7" t="s">
        <v>20</v>
      </c>
      <c r="D81" s="7" t="s">
        <v>22</v>
      </c>
      <c r="E81" s="7" t="s">
        <v>24</v>
      </c>
      <c r="J81" s="7">
        <v>5.0</v>
      </c>
    </row>
    <row r="82">
      <c r="A82" s="5">
        <v>45148.37783085648</v>
      </c>
      <c r="B82" s="6">
        <v>45147.0</v>
      </c>
      <c r="C82" s="7" t="s">
        <v>20</v>
      </c>
      <c r="D82" s="7" t="s">
        <v>22</v>
      </c>
      <c r="E82" s="7" t="s">
        <v>28</v>
      </c>
      <c r="I82" s="7">
        <v>0.0</v>
      </c>
      <c r="P82" s="7">
        <v>0.0</v>
      </c>
      <c r="Q82" s="7">
        <v>0.0</v>
      </c>
    </row>
    <row r="83">
      <c r="A83" s="5">
        <v>45148.3781034375</v>
      </c>
      <c r="B83" s="6">
        <v>45147.0</v>
      </c>
      <c r="C83" s="7" t="s">
        <v>20</v>
      </c>
      <c r="D83" s="7" t="s">
        <v>22</v>
      </c>
      <c r="E83" s="7" t="s">
        <v>25</v>
      </c>
      <c r="J83" s="7">
        <v>5.0</v>
      </c>
    </row>
    <row r="84">
      <c r="A84" s="5">
        <v>45220.525802592594</v>
      </c>
      <c r="B84" s="6">
        <v>45147.0</v>
      </c>
      <c r="C84" s="7" t="s">
        <v>20</v>
      </c>
      <c r="D84" s="7" t="s">
        <v>22</v>
      </c>
      <c r="E84" s="7" t="s">
        <v>29</v>
      </c>
      <c r="I84" s="7">
        <v>5.0</v>
      </c>
      <c r="P84" s="7">
        <v>15.0</v>
      </c>
      <c r="Q84" s="7">
        <v>15.0</v>
      </c>
    </row>
    <row r="85">
      <c r="A85" s="5">
        <v>45220.5276781713</v>
      </c>
      <c r="B85" s="6">
        <v>45149.0</v>
      </c>
      <c r="C85" s="7" t="s">
        <v>20</v>
      </c>
      <c r="D85" s="7" t="s">
        <v>22</v>
      </c>
      <c r="E85" s="7" t="s">
        <v>32</v>
      </c>
      <c r="J85" s="7">
        <v>5.0</v>
      </c>
      <c r="P85" s="7">
        <v>15.0</v>
      </c>
      <c r="Q85" s="7">
        <v>15.0</v>
      </c>
    </row>
    <row r="86">
      <c r="A86" s="5">
        <v>45220.5285795949</v>
      </c>
      <c r="B86" s="6">
        <v>45149.0</v>
      </c>
      <c r="C86" s="7" t="s">
        <v>20</v>
      </c>
      <c r="D86" s="7" t="s">
        <v>22</v>
      </c>
      <c r="E86" s="7" t="s">
        <v>31</v>
      </c>
      <c r="J86" s="7">
        <v>5.0</v>
      </c>
      <c r="P86" s="7">
        <v>15.0</v>
      </c>
      <c r="Q86" s="7">
        <v>15.0</v>
      </c>
    </row>
    <row r="87">
      <c r="A87" s="5">
        <v>45220.529199756944</v>
      </c>
      <c r="B87" s="6">
        <v>45150.0</v>
      </c>
      <c r="C87" s="7" t="s">
        <v>20</v>
      </c>
      <c r="D87" s="7" t="s">
        <v>22</v>
      </c>
      <c r="E87" s="7" t="s">
        <v>33</v>
      </c>
      <c r="I87" s="7">
        <v>5.0</v>
      </c>
      <c r="P87" s="7">
        <v>15.0</v>
      </c>
    </row>
    <row r="88">
      <c r="A88" s="5">
        <v>45220.529890694444</v>
      </c>
      <c r="B88" s="6">
        <v>45159.0</v>
      </c>
      <c r="C88" s="7" t="s">
        <v>20</v>
      </c>
      <c r="D88" s="7" t="s">
        <v>21</v>
      </c>
      <c r="F88" s="7">
        <v>75.0</v>
      </c>
      <c r="I88" s="7">
        <v>75.0</v>
      </c>
      <c r="J88" s="7">
        <v>60.0</v>
      </c>
      <c r="P88" s="7">
        <v>60.0</v>
      </c>
    </row>
    <row r="89">
      <c r="A89" s="5">
        <v>45225.40303678241</v>
      </c>
      <c r="B89" s="6">
        <v>45160.0</v>
      </c>
      <c r="C89" s="7" t="s">
        <v>20</v>
      </c>
      <c r="D89" s="7" t="s">
        <v>22</v>
      </c>
      <c r="E89" s="7" t="s">
        <v>32</v>
      </c>
      <c r="I89" s="7">
        <v>5.0</v>
      </c>
      <c r="J89" s="7">
        <v>10.0</v>
      </c>
      <c r="P89" s="7">
        <v>15.0</v>
      </c>
    </row>
    <row r="90">
      <c r="A90" s="5">
        <v>45225.4049381713</v>
      </c>
      <c r="B90" s="6">
        <v>45160.0</v>
      </c>
      <c r="C90" s="7" t="s">
        <v>20</v>
      </c>
      <c r="D90" s="7" t="s">
        <v>22</v>
      </c>
      <c r="E90" s="7" t="s">
        <v>31</v>
      </c>
      <c r="I90" s="7">
        <v>5.0</v>
      </c>
      <c r="J90" s="7">
        <v>10.0</v>
      </c>
    </row>
    <row r="91">
      <c r="A91" s="5">
        <v>45225.406266157406</v>
      </c>
      <c r="B91" s="6">
        <v>45160.0</v>
      </c>
      <c r="C91" s="7" t="s">
        <v>20</v>
      </c>
      <c r="D91" s="7" t="s">
        <v>22</v>
      </c>
      <c r="E91" s="7" t="s">
        <v>28</v>
      </c>
      <c r="I91" s="7">
        <v>5.0</v>
      </c>
      <c r="J91" s="7">
        <v>10.0</v>
      </c>
      <c r="P91" s="7">
        <v>15.0</v>
      </c>
      <c r="Q91" s="7">
        <v>5.0</v>
      </c>
    </row>
    <row r="92">
      <c r="A92" s="5">
        <v>45225.40755762732</v>
      </c>
      <c r="B92" s="6">
        <v>45161.0</v>
      </c>
      <c r="C92" s="7" t="s">
        <v>20</v>
      </c>
      <c r="D92" s="7" t="s">
        <v>22</v>
      </c>
      <c r="E92" s="7" t="s">
        <v>33</v>
      </c>
      <c r="I92" s="7">
        <v>15.0</v>
      </c>
    </row>
    <row r="93">
      <c r="A93" s="5">
        <v>45225.413038541665</v>
      </c>
      <c r="B93" s="6">
        <v>45163.0</v>
      </c>
      <c r="C93" s="7" t="s">
        <v>20</v>
      </c>
      <c r="D93" s="7" t="s">
        <v>22</v>
      </c>
      <c r="E93" s="7" t="s">
        <v>26</v>
      </c>
      <c r="F93" s="7">
        <v>15.0</v>
      </c>
      <c r="P93" s="7">
        <v>45.0</v>
      </c>
    </row>
    <row r="94">
      <c r="A94" s="5">
        <v>45225.413790763894</v>
      </c>
      <c r="B94" s="6">
        <v>45164.0</v>
      </c>
      <c r="C94" s="7" t="s">
        <v>20</v>
      </c>
      <c r="D94" s="7" t="s">
        <v>22</v>
      </c>
      <c r="E94" s="7" t="s">
        <v>24</v>
      </c>
      <c r="J94" s="7">
        <v>15.0</v>
      </c>
      <c r="P94" s="7">
        <v>30.0</v>
      </c>
    </row>
    <row r="95">
      <c r="A95" s="5">
        <v>45225.41489893518</v>
      </c>
      <c r="B95" s="6">
        <v>45166.0</v>
      </c>
      <c r="C95" s="7" t="s">
        <v>20</v>
      </c>
      <c r="D95" s="7" t="s">
        <v>22</v>
      </c>
      <c r="E95" s="7" t="s">
        <v>30</v>
      </c>
      <c r="F95" s="7">
        <v>15.0</v>
      </c>
      <c r="P95" s="7">
        <v>30.0</v>
      </c>
    </row>
    <row r="96">
      <c r="A96" s="5">
        <v>45225.41623822917</v>
      </c>
      <c r="B96" s="6">
        <v>45167.0</v>
      </c>
      <c r="C96" s="7" t="s">
        <v>20</v>
      </c>
      <c r="D96" s="7" t="s">
        <v>22</v>
      </c>
      <c r="E96" s="7" t="s">
        <v>23</v>
      </c>
      <c r="J96" s="7">
        <v>15.0</v>
      </c>
      <c r="L96" s="7">
        <v>10.0</v>
      </c>
      <c r="P96" s="7">
        <v>30.0</v>
      </c>
    </row>
    <row r="97">
      <c r="A97" s="5">
        <v>45225.417393090276</v>
      </c>
      <c r="B97" s="6">
        <v>45167.0</v>
      </c>
      <c r="C97" s="7" t="s">
        <v>20</v>
      </c>
      <c r="D97" s="7" t="s">
        <v>22</v>
      </c>
      <c r="E97" s="7" t="s">
        <v>32</v>
      </c>
      <c r="F97" s="7">
        <v>15.0</v>
      </c>
      <c r="P97" s="7">
        <v>15.0</v>
      </c>
    </row>
    <row r="98">
      <c r="A98" s="5">
        <v>45225.41825581019</v>
      </c>
      <c r="B98" s="6">
        <v>45167.0</v>
      </c>
      <c r="C98" s="7" t="s">
        <v>20</v>
      </c>
      <c r="D98" s="7" t="s">
        <v>22</v>
      </c>
      <c r="E98" s="7" t="s">
        <v>31</v>
      </c>
      <c r="F98" s="7">
        <v>15.0</v>
      </c>
      <c r="P98" s="7">
        <v>15.0</v>
      </c>
    </row>
    <row r="99">
      <c r="A99" s="5">
        <v>45225.41920020833</v>
      </c>
      <c r="B99" s="6">
        <v>45167.0</v>
      </c>
      <c r="C99" s="7" t="s">
        <v>20</v>
      </c>
      <c r="D99" s="7" t="s">
        <v>22</v>
      </c>
      <c r="E99" s="7" t="s">
        <v>29</v>
      </c>
      <c r="F99" s="7">
        <v>10.0</v>
      </c>
      <c r="I99" s="7">
        <v>10.0</v>
      </c>
      <c r="P99" s="7">
        <v>15.0</v>
      </c>
    </row>
    <row r="100">
      <c r="A100" s="5">
        <v>45225.42002453704</v>
      </c>
      <c r="B100" s="6">
        <v>45167.0</v>
      </c>
      <c r="C100" s="7" t="s">
        <v>20</v>
      </c>
      <c r="D100" s="7" t="s">
        <v>22</v>
      </c>
      <c r="E100" s="7" t="s">
        <v>28</v>
      </c>
      <c r="F100" s="7">
        <v>5.0</v>
      </c>
      <c r="I100" s="7">
        <v>10.0</v>
      </c>
    </row>
    <row r="101">
      <c r="A101" s="5">
        <v>45225.42087616898</v>
      </c>
      <c r="B101" s="6">
        <v>45173.0</v>
      </c>
      <c r="C101" s="7" t="s">
        <v>20</v>
      </c>
      <c r="D101" s="7" t="s">
        <v>22</v>
      </c>
      <c r="E101" s="7" t="s">
        <v>28</v>
      </c>
      <c r="I101" s="7">
        <v>10.0</v>
      </c>
      <c r="P101" s="7">
        <v>30.0</v>
      </c>
    </row>
    <row r="102">
      <c r="A102" s="5">
        <v>45225.45341636574</v>
      </c>
      <c r="B102" s="6">
        <v>45174.0</v>
      </c>
      <c r="C102" s="7" t="s">
        <v>20</v>
      </c>
      <c r="D102" s="7" t="s">
        <v>22</v>
      </c>
      <c r="E102" s="7" t="s">
        <v>27</v>
      </c>
      <c r="I102" s="7">
        <v>15.0</v>
      </c>
      <c r="P102" s="7">
        <v>45.0</v>
      </c>
      <c r="Q102" s="7">
        <v>10.0</v>
      </c>
    </row>
    <row r="103">
      <c r="A103" s="5">
        <v>45225.45422262732</v>
      </c>
      <c r="B103" s="6">
        <v>45174.0</v>
      </c>
      <c r="C103" s="7" t="s">
        <v>20</v>
      </c>
      <c r="D103" s="7" t="s">
        <v>22</v>
      </c>
      <c r="E103" s="7" t="s">
        <v>20</v>
      </c>
      <c r="P103" s="7">
        <v>15.0</v>
      </c>
    </row>
    <row r="104">
      <c r="A104" s="5">
        <v>45225.45574572917</v>
      </c>
      <c r="B104" s="6">
        <v>45174.0</v>
      </c>
      <c r="C104" s="7" t="s">
        <v>20</v>
      </c>
      <c r="D104" s="7" t="s">
        <v>21</v>
      </c>
      <c r="F104" s="7">
        <v>15.0</v>
      </c>
      <c r="I104" s="7">
        <v>15.0</v>
      </c>
      <c r="P104" s="7">
        <v>150.0</v>
      </c>
      <c r="Q104" s="7">
        <v>60.0</v>
      </c>
    </row>
    <row r="105">
      <c r="A105" s="5">
        <v>45225.4592640162</v>
      </c>
      <c r="B105" s="6">
        <v>45177.0</v>
      </c>
      <c r="C105" s="7" t="s">
        <v>20</v>
      </c>
      <c r="D105" s="7" t="s">
        <v>22</v>
      </c>
      <c r="E105" s="7" t="s">
        <v>33</v>
      </c>
      <c r="F105" s="7">
        <v>5.0</v>
      </c>
      <c r="P105" s="7">
        <v>45.0</v>
      </c>
    </row>
    <row r="106">
      <c r="A106" s="5">
        <v>45225.46260644676</v>
      </c>
      <c r="B106" s="6">
        <v>45178.0</v>
      </c>
      <c r="C106" s="7" t="s">
        <v>20</v>
      </c>
      <c r="D106" s="7" t="s">
        <v>22</v>
      </c>
      <c r="E106" s="7" t="s">
        <v>24</v>
      </c>
      <c r="P106" s="7">
        <v>15.0</v>
      </c>
    </row>
    <row r="107">
      <c r="A107" s="5">
        <v>45225.46319174768</v>
      </c>
      <c r="B107" s="6">
        <v>45178.0</v>
      </c>
      <c r="C107" s="7" t="s">
        <v>20</v>
      </c>
      <c r="D107" s="7" t="s">
        <v>22</v>
      </c>
      <c r="E107" s="7" t="s">
        <v>25</v>
      </c>
      <c r="I107" s="7">
        <v>5.0</v>
      </c>
      <c r="P107" s="7">
        <v>15.0</v>
      </c>
    </row>
    <row r="108">
      <c r="A108" s="5">
        <v>45225.4639071875</v>
      </c>
      <c r="B108" s="6">
        <v>45178.0</v>
      </c>
      <c r="C108" s="7" t="s">
        <v>20</v>
      </c>
      <c r="D108" s="7" t="s">
        <v>22</v>
      </c>
      <c r="E108" s="7" t="s">
        <v>29</v>
      </c>
      <c r="I108" s="7">
        <v>5.0</v>
      </c>
      <c r="P108" s="7">
        <v>30.0</v>
      </c>
      <c r="Q108" s="7">
        <v>30.0</v>
      </c>
    </row>
    <row r="109">
      <c r="A109" s="5">
        <v>45225.464629027774</v>
      </c>
      <c r="B109" s="6">
        <v>45180.0</v>
      </c>
      <c r="C109" s="7" t="s">
        <v>20</v>
      </c>
      <c r="D109" s="7" t="s">
        <v>22</v>
      </c>
      <c r="E109" s="7" t="s">
        <v>20</v>
      </c>
      <c r="F109" s="7">
        <v>5.0</v>
      </c>
      <c r="I109" s="7">
        <v>0.0</v>
      </c>
      <c r="P109" s="7">
        <v>15.0</v>
      </c>
    </row>
    <row r="110">
      <c r="A110" s="5">
        <v>45225.46560402778</v>
      </c>
      <c r="B110" s="6">
        <v>45181.0</v>
      </c>
      <c r="C110" s="7" t="s">
        <v>20</v>
      </c>
      <c r="D110" s="7" t="s">
        <v>22</v>
      </c>
      <c r="E110" s="7" t="s">
        <v>24</v>
      </c>
      <c r="P110" s="7">
        <v>30.0</v>
      </c>
    </row>
    <row r="111">
      <c r="A111" s="5">
        <v>45225.46664731481</v>
      </c>
      <c r="B111" s="6">
        <v>45181.0</v>
      </c>
      <c r="C111" s="7" t="s">
        <v>20</v>
      </c>
      <c r="D111" s="7" t="s">
        <v>22</v>
      </c>
      <c r="E111" s="7" t="s">
        <v>32</v>
      </c>
      <c r="F111" s="7">
        <v>5.0</v>
      </c>
      <c r="Q111" s="7">
        <v>15.0</v>
      </c>
    </row>
    <row r="112">
      <c r="A112" s="5">
        <v>45225.46732372685</v>
      </c>
      <c r="B112" s="6">
        <v>45181.0</v>
      </c>
      <c r="C112" s="7" t="s">
        <v>20</v>
      </c>
      <c r="D112" s="7" t="s">
        <v>22</v>
      </c>
      <c r="E112" s="7" t="s">
        <v>31</v>
      </c>
      <c r="I112" s="7">
        <v>5.0</v>
      </c>
    </row>
    <row r="113">
      <c r="A113" s="5">
        <v>45225.46800984954</v>
      </c>
      <c r="B113" s="6">
        <v>45182.0</v>
      </c>
      <c r="C113" s="7" t="s">
        <v>20</v>
      </c>
      <c r="D113" s="7" t="s">
        <v>22</v>
      </c>
      <c r="E113" s="7" t="s">
        <v>20</v>
      </c>
      <c r="Q113" s="7">
        <v>15.0</v>
      </c>
    </row>
    <row r="114">
      <c r="A114" s="5">
        <v>45225.585846875</v>
      </c>
      <c r="B114" s="6">
        <v>45188.0</v>
      </c>
      <c r="C114" s="7" t="s">
        <v>20</v>
      </c>
      <c r="D114" s="7" t="s">
        <v>21</v>
      </c>
      <c r="F114" s="7">
        <v>180.0</v>
      </c>
      <c r="L114" s="7">
        <v>30.0</v>
      </c>
      <c r="P114" s="7">
        <v>390.0</v>
      </c>
    </row>
    <row r="115">
      <c r="A115" s="5">
        <v>45225.58635357639</v>
      </c>
      <c r="B115" s="6">
        <v>45188.0</v>
      </c>
      <c r="C115" s="7" t="s">
        <v>20</v>
      </c>
      <c r="D115" s="7" t="s">
        <v>22</v>
      </c>
      <c r="E115" s="7" t="s">
        <v>26</v>
      </c>
      <c r="F115" s="7">
        <v>15.0</v>
      </c>
      <c r="L115" s="7">
        <v>10.0</v>
      </c>
      <c r="P115" s="7">
        <v>30.0</v>
      </c>
    </row>
    <row r="116">
      <c r="A116" s="5">
        <v>45225.58680928241</v>
      </c>
      <c r="B116" s="6">
        <v>45188.0</v>
      </c>
      <c r="C116" s="7" t="s">
        <v>20</v>
      </c>
      <c r="D116" s="7" t="s">
        <v>22</v>
      </c>
      <c r="E116" s="7" t="s">
        <v>28</v>
      </c>
      <c r="F116" s="7">
        <v>15.0</v>
      </c>
      <c r="P116" s="7">
        <v>30.0</v>
      </c>
    </row>
    <row r="117">
      <c r="A117" s="5">
        <v>45225.5870883912</v>
      </c>
      <c r="B117" s="6">
        <v>45189.0</v>
      </c>
      <c r="C117" s="7" t="s">
        <v>20</v>
      </c>
      <c r="D117" s="7" t="s">
        <v>22</v>
      </c>
      <c r="E117" s="7" t="s">
        <v>31</v>
      </c>
      <c r="F117" s="7">
        <v>30.0</v>
      </c>
      <c r="P117" s="7">
        <v>30.0</v>
      </c>
    </row>
    <row r="118">
      <c r="A118" s="5">
        <v>45225.58732976852</v>
      </c>
      <c r="B118" s="6">
        <v>45189.0</v>
      </c>
      <c r="C118" s="7" t="s">
        <v>20</v>
      </c>
      <c r="D118" s="7" t="s">
        <v>22</v>
      </c>
      <c r="E118" s="7" t="s">
        <v>32</v>
      </c>
      <c r="F118" s="7">
        <v>30.0</v>
      </c>
      <c r="P118" s="7">
        <v>30.0</v>
      </c>
    </row>
    <row r="119">
      <c r="A119" s="5">
        <v>45225.587555844904</v>
      </c>
      <c r="B119" s="6">
        <v>45189.0</v>
      </c>
      <c r="C119" s="7" t="s">
        <v>20</v>
      </c>
      <c r="D119" s="7" t="s">
        <v>22</v>
      </c>
      <c r="E119" s="7" t="s">
        <v>30</v>
      </c>
      <c r="F119" s="7">
        <v>15.0</v>
      </c>
      <c r="P119" s="7">
        <v>15.0</v>
      </c>
    </row>
    <row r="120">
      <c r="A120" s="5">
        <v>45225.587800775465</v>
      </c>
      <c r="B120" s="6">
        <v>45189.0</v>
      </c>
      <c r="C120" s="7" t="s">
        <v>20</v>
      </c>
      <c r="D120" s="7" t="s">
        <v>22</v>
      </c>
      <c r="E120" s="7" t="s">
        <v>20</v>
      </c>
      <c r="F120" s="7">
        <v>15.0</v>
      </c>
    </row>
    <row r="121">
      <c r="A121" s="5">
        <v>45225.588018344904</v>
      </c>
      <c r="B121" s="6">
        <v>45191.0</v>
      </c>
      <c r="C121" s="7" t="s">
        <v>20</v>
      </c>
      <c r="D121" s="7" t="s">
        <v>22</v>
      </c>
      <c r="E121" s="7" t="s">
        <v>29</v>
      </c>
      <c r="F121" s="7">
        <v>15.0</v>
      </c>
    </row>
    <row r="122">
      <c r="A122" s="5">
        <v>45225.588229456014</v>
      </c>
      <c r="B122" s="6">
        <v>45194.0</v>
      </c>
      <c r="C122" s="7" t="s">
        <v>20</v>
      </c>
      <c r="D122" s="7" t="s">
        <v>22</v>
      </c>
      <c r="E122" s="7" t="s">
        <v>20</v>
      </c>
      <c r="F122" s="7">
        <v>15.0</v>
      </c>
      <c r="P122" s="7">
        <v>15.0</v>
      </c>
    </row>
    <row r="123">
      <c r="A123" s="5">
        <v>45225.58872061342</v>
      </c>
      <c r="B123" s="6">
        <v>45195.0</v>
      </c>
      <c r="C123" s="7" t="s">
        <v>20</v>
      </c>
      <c r="D123" s="7" t="s">
        <v>22</v>
      </c>
      <c r="E123" s="7" t="s">
        <v>24</v>
      </c>
      <c r="P123" s="7">
        <v>60.0</v>
      </c>
    </row>
    <row r="124">
      <c r="A124" s="5">
        <v>45225.58917283565</v>
      </c>
      <c r="B124" s="6">
        <v>45193.0</v>
      </c>
      <c r="C124" s="7" t="s">
        <v>20</v>
      </c>
      <c r="D124" s="7" t="s">
        <v>22</v>
      </c>
      <c r="E124" s="7" t="s">
        <v>23</v>
      </c>
      <c r="F124" s="7">
        <v>5.0</v>
      </c>
    </row>
    <row r="125">
      <c r="A125" s="5">
        <v>45225.58960258102</v>
      </c>
      <c r="B125" s="6">
        <v>45195.0</v>
      </c>
      <c r="C125" s="7" t="s">
        <v>20</v>
      </c>
      <c r="D125" s="7" t="s">
        <v>22</v>
      </c>
      <c r="E125" s="7" t="s">
        <v>20</v>
      </c>
      <c r="P125" s="7">
        <v>15.0</v>
      </c>
      <c r="R125" s="7">
        <v>10.0</v>
      </c>
    </row>
    <row r="126">
      <c r="A126" s="5">
        <v>45225.58989862268</v>
      </c>
      <c r="B126" s="6">
        <v>45196.0</v>
      </c>
      <c r="C126" s="7" t="s">
        <v>20</v>
      </c>
      <c r="D126" s="7" t="s">
        <v>22</v>
      </c>
      <c r="E126" s="7" t="s">
        <v>29</v>
      </c>
      <c r="P126" s="7">
        <v>15.0</v>
      </c>
    </row>
    <row r="127">
      <c r="A127" s="5">
        <v>45225.59014340278</v>
      </c>
      <c r="B127" s="6">
        <v>45197.0</v>
      </c>
      <c r="C127" s="7" t="s">
        <v>20</v>
      </c>
      <c r="D127" s="7" t="s">
        <v>22</v>
      </c>
      <c r="E127" s="7" t="s">
        <v>33</v>
      </c>
      <c r="F127" s="7">
        <v>15.0</v>
      </c>
    </row>
    <row r="128">
      <c r="A128" s="5">
        <v>45225.590481817126</v>
      </c>
      <c r="B128" s="6">
        <v>45197.0</v>
      </c>
      <c r="C128" s="7" t="s">
        <v>20</v>
      </c>
      <c r="D128" s="7" t="s">
        <v>22</v>
      </c>
      <c r="E128" s="7" t="s">
        <v>20</v>
      </c>
      <c r="F128" s="7">
        <v>10.0</v>
      </c>
    </row>
    <row r="129">
      <c r="A129" s="5">
        <v>45225.59120795139</v>
      </c>
      <c r="B129" s="6">
        <v>45197.0</v>
      </c>
      <c r="C129" s="7" t="s">
        <v>20</v>
      </c>
      <c r="D129" s="7" t="s">
        <v>22</v>
      </c>
      <c r="E129" s="7" t="s">
        <v>26</v>
      </c>
      <c r="P129" s="7">
        <v>45.0</v>
      </c>
    </row>
    <row r="130">
      <c r="A130" s="5">
        <v>45225.59145453703</v>
      </c>
      <c r="B130" s="6">
        <v>45197.0</v>
      </c>
      <c r="C130" s="7" t="s">
        <v>20</v>
      </c>
      <c r="D130" s="7" t="s">
        <v>22</v>
      </c>
      <c r="E130" s="7" t="s">
        <v>31</v>
      </c>
      <c r="P130" s="7">
        <v>30.0</v>
      </c>
    </row>
    <row r="131">
      <c r="A131" s="5">
        <v>45225.59167840278</v>
      </c>
      <c r="B131" s="6">
        <v>45202.0</v>
      </c>
      <c r="C131" s="7" t="s">
        <v>20</v>
      </c>
      <c r="D131" s="7" t="s">
        <v>22</v>
      </c>
      <c r="E131" s="7" t="s">
        <v>28</v>
      </c>
      <c r="P131" s="7">
        <v>30.0</v>
      </c>
    </row>
    <row r="132">
      <c r="A132" s="5">
        <v>45225.59214178241</v>
      </c>
      <c r="B132" s="6">
        <v>45202.0</v>
      </c>
      <c r="C132" s="7" t="s">
        <v>20</v>
      </c>
      <c r="D132" s="7" t="s">
        <v>22</v>
      </c>
      <c r="E132" s="7" t="s">
        <v>27</v>
      </c>
      <c r="P132" s="7">
        <v>30.0</v>
      </c>
    </row>
    <row r="133">
      <c r="A133" s="5">
        <v>45225.59242721065</v>
      </c>
      <c r="B133" s="6">
        <v>45204.0</v>
      </c>
      <c r="C133" s="7" t="s">
        <v>20</v>
      </c>
      <c r="D133" s="7" t="s">
        <v>22</v>
      </c>
      <c r="E133" s="7" t="s">
        <v>23</v>
      </c>
      <c r="P133" s="7">
        <v>15.0</v>
      </c>
    </row>
    <row r="134">
      <c r="A134" s="5">
        <v>45225.59331327546</v>
      </c>
      <c r="B134" s="6">
        <v>45209.0</v>
      </c>
      <c r="C134" s="7" t="s">
        <v>20</v>
      </c>
      <c r="D134" s="7" t="s">
        <v>21</v>
      </c>
      <c r="P134" s="7">
        <v>300.0</v>
      </c>
      <c r="Q134" s="7">
        <v>105.0</v>
      </c>
    </row>
    <row r="135">
      <c r="A135" s="5">
        <v>45225.59368643518</v>
      </c>
      <c r="B135" s="6">
        <v>45209.0</v>
      </c>
      <c r="C135" s="7" t="s">
        <v>20</v>
      </c>
      <c r="D135" s="7" t="s">
        <v>22</v>
      </c>
      <c r="E135" s="7" t="s">
        <v>30</v>
      </c>
      <c r="P135" s="7">
        <v>30.0</v>
      </c>
    </row>
    <row r="136">
      <c r="A136" s="5">
        <v>45225.59391546296</v>
      </c>
      <c r="B136" s="6">
        <v>45209.0</v>
      </c>
      <c r="C136" s="7" t="s">
        <v>20</v>
      </c>
      <c r="D136" s="7" t="s">
        <v>22</v>
      </c>
      <c r="E136" s="7" t="s">
        <v>20</v>
      </c>
      <c r="P136" s="7">
        <v>15.0</v>
      </c>
    </row>
    <row r="137">
      <c r="A137" s="5">
        <v>45225.594110011574</v>
      </c>
      <c r="B137" s="6">
        <v>45210.0</v>
      </c>
      <c r="C137" s="7" t="s">
        <v>20</v>
      </c>
      <c r="D137" s="7" t="s">
        <v>22</v>
      </c>
      <c r="E137" s="7" t="s">
        <v>31</v>
      </c>
      <c r="P137" s="7">
        <v>30.0</v>
      </c>
    </row>
    <row r="138">
      <c r="A138" s="5">
        <v>45225.594342129625</v>
      </c>
      <c r="B138" s="6">
        <v>45210.0</v>
      </c>
      <c r="C138" s="7" t="s">
        <v>20</v>
      </c>
      <c r="D138" s="7" t="s">
        <v>22</v>
      </c>
      <c r="E138" s="7" t="s">
        <v>33</v>
      </c>
      <c r="P138" s="7">
        <v>15.0</v>
      </c>
      <c r="Q138" s="7">
        <v>15.0</v>
      </c>
    </row>
    <row r="139">
      <c r="A139" s="5">
        <v>45225.59509215278</v>
      </c>
      <c r="B139" s="6">
        <v>45210.0</v>
      </c>
      <c r="C139" s="7" t="s">
        <v>20</v>
      </c>
      <c r="D139" s="7" t="s">
        <v>22</v>
      </c>
      <c r="E139" s="7" t="s">
        <v>28</v>
      </c>
      <c r="Q139" s="7">
        <v>15.0</v>
      </c>
    </row>
    <row r="140">
      <c r="A140" s="5">
        <v>45225.59530591435</v>
      </c>
      <c r="B140" s="6">
        <v>45210.0</v>
      </c>
      <c r="C140" s="7" t="s">
        <v>20</v>
      </c>
      <c r="D140" s="7" t="s">
        <v>22</v>
      </c>
      <c r="E140" s="7" t="s">
        <v>24</v>
      </c>
      <c r="P140" s="7">
        <v>15.0</v>
      </c>
      <c r="Q140" s="7">
        <v>15.0</v>
      </c>
    </row>
    <row r="141">
      <c r="A141" s="5">
        <v>45225.59563131945</v>
      </c>
      <c r="B141" s="6">
        <v>45210.0</v>
      </c>
      <c r="C141" s="7" t="s">
        <v>20</v>
      </c>
      <c r="D141" s="7" t="s">
        <v>22</v>
      </c>
      <c r="E141" s="7" t="s">
        <v>26</v>
      </c>
      <c r="P141" s="7">
        <v>30.0</v>
      </c>
      <c r="Q141" s="7">
        <v>15.0</v>
      </c>
    </row>
    <row r="142">
      <c r="A142" s="5">
        <v>45225.59582287037</v>
      </c>
      <c r="B142" s="6">
        <v>45211.0</v>
      </c>
      <c r="C142" s="7" t="s">
        <v>20</v>
      </c>
      <c r="D142" s="7" t="s">
        <v>22</v>
      </c>
      <c r="E142" s="7" t="s">
        <v>32</v>
      </c>
      <c r="P142" s="7">
        <v>15.0</v>
      </c>
      <c r="Q142" s="7">
        <v>15.0</v>
      </c>
    </row>
    <row r="143">
      <c r="A143" s="5">
        <v>45225.596720208334</v>
      </c>
      <c r="B143" s="6">
        <v>45212.0</v>
      </c>
      <c r="C143" s="7" t="s">
        <v>20</v>
      </c>
      <c r="D143" s="7" t="s">
        <v>22</v>
      </c>
      <c r="E143" s="7" t="s">
        <v>28</v>
      </c>
      <c r="P143" s="7">
        <v>15.0</v>
      </c>
      <c r="Q143" s="7">
        <v>15.0</v>
      </c>
    </row>
    <row r="144">
      <c r="A144" s="5">
        <v>45225.596993680556</v>
      </c>
      <c r="B144" s="6">
        <v>45216.0</v>
      </c>
      <c r="C144" s="7" t="s">
        <v>20</v>
      </c>
      <c r="D144" s="7" t="s">
        <v>22</v>
      </c>
      <c r="E144" s="7" t="s">
        <v>23</v>
      </c>
      <c r="P144" s="7">
        <v>45.0</v>
      </c>
    </row>
    <row r="145">
      <c r="A145" s="5">
        <v>45225.597227349535</v>
      </c>
      <c r="B145" s="6">
        <v>45216.0</v>
      </c>
      <c r="C145" s="7" t="s">
        <v>20</v>
      </c>
      <c r="D145" s="7" t="s">
        <v>22</v>
      </c>
      <c r="E145" s="7" t="s">
        <v>20</v>
      </c>
      <c r="Q145" s="7">
        <v>15.0</v>
      </c>
    </row>
    <row r="146">
      <c r="A146" s="5">
        <v>45225.59961366898</v>
      </c>
      <c r="B146" s="6">
        <v>45222.0</v>
      </c>
      <c r="C146" s="7" t="s">
        <v>20</v>
      </c>
      <c r="D146" s="7" t="s">
        <v>21</v>
      </c>
      <c r="F146" s="7">
        <v>0.0</v>
      </c>
      <c r="H146" s="7">
        <v>30.0</v>
      </c>
      <c r="I146" s="7">
        <v>45.0</v>
      </c>
      <c r="J146" s="7">
        <v>0.0</v>
      </c>
      <c r="L146" s="7">
        <v>50.0</v>
      </c>
      <c r="O146" s="7">
        <v>20.0</v>
      </c>
      <c r="P146" s="7">
        <v>210.0</v>
      </c>
      <c r="R146" s="7">
        <v>70.0</v>
      </c>
    </row>
    <row r="147">
      <c r="A147" s="5">
        <v>45234.41005747685</v>
      </c>
      <c r="B147" s="6">
        <v>45230.0</v>
      </c>
      <c r="C147" s="7" t="s">
        <v>20</v>
      </c>
      <c r="D147" s="7" t="s">
        <v>22</v>
      </c>
      <c r="E147" s="7" t="s">
        <v>32</v>
      </c>
      <c r="H147" s="7">
        <v>15.0</v>
      </c>
      <c r="I147" s="7">
        <v>15.0</v>
      </c>
      <c r="L147" s="7">
        <v>6.0</v>
      </c>
      <c r="P147" s="7">
        <v>30.0</v>
      </c>
      <c r="R147" s="7">
        <v>9.0</v>
      </c>
    </row>
    <row r="148">
      <c r="A148" s="5">
        <v>45234.41048847222</v>
      </c>
      <c r="B148" s="6">
        <v>45230.0</v>
      </c>
      <c r="C148" s="7" t="s">
        <v>20</v>
      </c>
      <c r="D148" s="7" t="s">
        <v>22</v>
      </c>
      <c r="E148" s="7" t="s">
        <v>31</v>
      </c>
      <c r="H148" s="7">
        <v>15.0</v>
      </c>
      <c r="I148" s="7">
        <v>15.0</v>
      </c>
      <c r="L148" s="7">
        <v>10.0</v>
      </c>
      <c r="P148" s="7">
        <v>45.0</v>
      </c>
      <c r="R148" s="7">
        <v>10.0</v>
      </c>
    </row>
    <row r="149">
      <c r="A149" s="5">
        <v>45234.41103512731</v>
      </c>
      <c r="B149" s="6">
        <v>45230.0</v>
      </c>
      <c r="C149" s="7" t="s">
        <v>20</v>
      </c>
      <c r="D149" s="7" t="s">
        <v>22</v>
      </c>
      <c r="E149" s="7" t="s">
        <v>20</v>
      </c>
      <c r="I149" s="7">
        <v>15.0</v>
      </c>
    </row>
    <row r="150">
      <c r="A150" s="5">
        <v>45234.41121694444</v>
      </c>
      <c r="B150" s="6">
        <v>45230.0</v>
      </c>
      <c r="C150" s="7" t="s">
        <v>20</v>
      </c>
      <c r="D150" s="7" t="s">
        <v>22</v>
      </c>
      <c r="E150" s="7" t="s">
        <v>27</v>
      </c>
      <c r="P150" s="7">
        <v>30.0</v>
      </c>
    </row>
    <row r="151">
      <c r="A151" s="5">
        <v>45234.41166333333</v>
      </c>
      <c r="B151" s="6">
        <v>45230.0</v>
      </c>
      <c r="C151" s="7" t="s">
        <v>20</v>
      </c>
      <c r="D151" s="7" t="s">
        <v>22</v>
      </c>
      <c r="E151" s="7" t="s">
        <v>28</v>
      </c>
      <c r="P151" s="7">
        <v>30.0</v>
      </c>
    </row>
    <row r="152">
      <c r="A152" s="5">
        <v>45234.412139618056</v>
      </c>
      <c r="B152" s="6">
        <v>45231.0</v>
      </c>
      <c r="C152" s="7" t="s">
        <v>20</v>
      </c>
      <c r="D152" s="7" t="s">
        <v>22</v>
      </c>
      <c r="E152" s="7" t="s">
        <v>20</v>
      </c>
      <c r="P152" s="7">
        <v>15.0</v>
      </c>
    </row>
    <row r="153">
      <c r="A153" s="5">
        <v>45234.41409305556</v>
      </c>
      <c r="B153" s="6">
        <v>45230.0</v>
      </c>
      <c r="C153" s="7" t="s">
        <v>20</v>
      </c>
      <c r="D153" s="7" t="s">
        <v>22</v>
      </c>
      <c r="E153" s="7" t="s">
        <v>33</v>
      </c>
      <c r="P153" s="7">
        <v>30.0</v>
      </c>
    </row>
    <row r="154">
      <c r="A154" s="5">
        <v>45238.42652957176</v>
      </c>
      <c r="B154" s="6">
        <v>45237.0</v>
      </c>
      <c r="C154" s="7" t="s">
        <v>20</v>
      </c>
      <c r="D154" s="7" t="s">
        <v>22</v>
      </c>
      <c r="E154" s="7" t="s">
        <v>31</v>
      </c>
      <c r="P154" s="7">
        <v>30.0</v>
      </c>
    </row>
    <row r="155">
      <c r="A155" s="5">
        <v>45238.426976145834</v>
      </c>
      <c r="B155" s="6">
        <v>45237.0</v>
      </c>
      <c r="C155" s="7" t="s">
        <v>20</v>
      </c>
      <c r="D155" s="7" t="s">
        <v>22</v>
      </c>
      <c r="E155" s="7" t="s">
        <v>33</v>
      </c>
      <c r="P155" s="7">
        <v>60.0</v>
      </c>
    </row>
    <row r="156">
      <c r="A156" s="5">
        <v>45238.427255787035</v>
      </c>
      <c r="B156" s="6">
        <v>45237.0</v>
      </c>
      <c r="C156" s="7" t="s">
        <v>20</v>
      </c>
      <c r="D156" s="7" t="s">
        <v>22</v>
      </c>
      <c r="E156" s="7" t="s">
        <v>23</v>
      </c>
      <c r="P156" s="7">
        <v>30.0</v>
      </c>
    </row>
    <row r="157">
      <c r="A157" s="5">
        <v>45266.44317295139</v>
      </c>
      <c r="B157" s="6">
        <v>45241.0</v>
      </c>
      <c r="C157" s="7" t="s">
        <v>20</v>
      </c>
      <c r="D157" s="7" t="s">
        <v>21</v>
      </c>
      <c r="P157" s="7">
        <v>300.0</v>
      </c>
    </row>
    <row r="158">
      <c r="A158" s="5">
        <v>45266.44387945602</v>
      </c>
      <c r="B158" s="6">
        <v>45241.0</v>
      </c>
      <c r="C158" s="7" t="s">
        <v>20</v>
      </c>
      <c r="D158" s="7" t="s">
        <v>22</v>
      </c>
      <c r="E158" s="7" t="s">
        <v>25</v>
      </c>
      <c r="P158" s="7">
        <v>15.0</v>
      </c>
    </row>
    <row r="159">
      <c r="A159" s="5">
        <v>45266.44510578703</v>
      </c>
      <c r="B159" s="6">
        <v>45244.0</v>
      </c>
      <c r="C159" s="7" t="s">
        <v>20</v>
      </c>
      <c r="D159" s="7" t="s">
        <v>22</v>
      </c>
      <c r="E159" s="7" t="s">
        <v>23</v>
      </c>
      <c r="L159" s="7">
        <v>10.0</v>
      </c>
      <c r="O159" s="7">
        <v>10.0</v>
      </c>
      <c r="R159" s="7">
        <v>10.0</v>
      </c>
    </row>
    <row r="160">
      <c r="A160" s="5">
        <v>45266.44572491898</v>
      </c>
      <c r="B160" s="6">
        <v>45258.0</v>
      </c>
      <c r="C160" s="7" t="s">
        <v>20</v>
      </c>
      <c r="D160" s="7" t="s">
        <v>22</v>
      </c>
      <c r="E160" s="7" t="s">
        <v>26</v>
      </c>
      <c r="P160" s="7">
        <v>30.0</v>
      </c>
    </row>
    <row r="161">
      <c r="A161" s="5">
        <v>45266.446656342596</v>
      </c>
      <c r="B161" s="6">
        <v>45251.0</v>
      </c>
      <c r="C161" s="7" t="s">
        <v>20</v>
      </c>
      <c r="D161" s="7" t="s">
        <v>22</v>
      </c>
      <c r="E161" s="7" t="s">
        <v>32</v>
      </c>
      <c r="P161" s="7">
        <v>30.0</v>
      </c>
    </row>
    <row r="162">
      <c r="A162" s="5">
        <v>45266.44810902778</v>
      </c>
      <c r="B162" s="6">
        <v>45258.0</v>
      </c>
      <c r="C162" s="7" t="s">
        <v>20</v>
      </c>
      <c r="D162" s="7" t="s">
        <v>22</v>
      </c>
      <c r="E162" s="7" t="s">
        <v>24</v>
      </c>
      <c r="P162" s="7">
        <v>45.0</v>
      </c>
    </row>
    <row r="163">
      <c r="A163" s="5">
        <v>45266.44901296296</v>
      </c>
      <c r="B163" s="6">
        <v>45259.0</v>
      </c>
      <c r="C163" s="7" t="s">
        <v>20</v>
      </c>
      <c r="D163" s="7" t="s">
        <v>21</v>
      </c>
      <c r="F163" s="7">
        <v>45.0</v>
      </c>
      <c r="J163" s="7">
        <v>45.0</v>
      </c>
      <c r="K163" s="7">
        <v>15.0</v>
      </c>
      <c r="P163" s="7">
        <v>210.0</v>
      </c>
    </row>
    <row r="164">
      <c r="A164" s="5">
        <v>45266.44993451389</v>
      </c>
      <c r="B164" s="6">
        <v>45259.0</v>
      </c>
      <c r="C164" s="7" t="s">
        <v>20</v>
      </c>
      <c r="D164" s="7" t="s">
        <v>22</v>
      </c>
      <c r="E164" s="7" t="s">
        <v>32</v>
      </c>
      <c r="K164" s="7">
        <v>15.0</v>
      </c>
    </row>
    <row r="165">
      <c r="A165" s="5">
        <v>45266.46301518519</v>
      </c>
      <c r="B165" s="6">
        <v>45259.0</v>
      </c>
      <c r="C165" s="7" t="s">
        <v>20</v>
      </c>
      <c r="D165" s="7" t="s">
        <v>22</v>
      </c>
      <c r="E165" s="7" t="s">
        <v>23</v>
      </c>
      <c r="F165" s="7">
        <v>15.0</v>
      </c>
      <c r="P165" s="7">
        <v>30.0</v>
      </c>
    </row>
    <row r="166">
      <c r="A166" s="5">
        <v>45266.4635203588</v>
      </c>
      <c r="B166" s="6">
        <v>45259.0</v>
      </c>
      <c r="C166" s="7" t="s">
        <v>20</v>
      </c>
      <c r="D166" s="7" t="s">
        <v>22</v>
      </c>
      <c r="E166" s="7" t="s">
        <v>33</v>
      </c>
      <c r="F166" s="7">
        <v>10.0</v>
      </c>
    </row>
    <row r="167">
      <c r="A167" s="5">
        <v>45266.46442256944</v>
      </c>
      <c r="B167" s="6">
        <v>45260.0</v>
      </c>
      <c r="C167" s="7" t="s">
        <v>20</v>
      </c>
      <c r="D167" s="7" t="s">
        <v>22</v>
      </c>
      <c r="E167" s="7" t="s">
        <v>30</v>
      </c>
      <c r="F167" s="7">
        <v>10.0</v>
      </c>
      <c r="P167" s="7">
        <v>30.0</v>
      </c>
    </row>
    <row r="168">
      <c r="A168" s="5">
        <v>45266.46528013889</v>
      </c>
      <c r="B168" s="6">
        <v>45260.0</v>
      </c>
      <c r="C168" s="7" t="s">
        <v>20</v>
      </c>
      <c r="D168" s="7" t="s">
        <v>22</v>
      </c>
      <c r="E168" s="7" t="s">
        <v>24</v>
      </c>
      <c r="F168" s="7">
        <v>10.0</v>
      </c>
      <c r="P168" s="7">
        <v>15.0</v>
      </c>
    </row>
    <row r="169">
      <c r="A169" s="5">
        <v>45266.466047002315</v>
      </c>
      <c r="B169" s="6">
        <v>45261.0</v>
      </c>
      <c r="C169" s="7" t="s">
        <v>20</v>
      </c>
      <c r="D169" s="7" t="s">
        <v>22</v>
      </c>
      <c r="E169" s="7" t="s">
        <v>28</v>
      </c>
      <c r="J169" s="7">
        <v>10.0</v>
      </c>
      <c r="P169" s="7">
        <v>15.0</v>
      </c>
    </row>
    <row r="170">
      <c r="A170" s="5">
        <v>45266.46673042824</v>
      </c>
      <c r="B170" s="6">
        <v>45262.0</v>
      </c>
      <c r="C170" s="7" t="s">
        <v>20</v>
      </c>
      <c r="D170" s="7" t="s">
        <v>22</v>
      </c>
      <c r="E170" s="7" t="s">
        <v>20</v>
      </c>
      <c r="J170" s="7">
        <v>15.0</v>
      </c>
    </row>
    <row r="171">
      <c r="A171" s="5">
        <v>45266.467994328705</v>
      </c>
      <c r="B171" s="6">
        <v>45265.0</v>
      </c>
      <c r="C171" s="7" t="s">
        <v>20</v>
      </c>
      <c r="D171" s="7" t="s">
        <v>22</v>
      </c>
      <c r="E171" s="7" t="s">
        <v>33</v>
      </c>
      <c r="P171" s="7">
        <v>60.0</v>
      </c>
    </row>
    <row r="172">
      <c r="A172" s="5">
        <v>45266.46828489583</v>
      </c>
      <c r="B172" s="6">
        <v>45265.0</v>
      </c>
      <c r="C172" s="7" t="s">
        <v>20</v>
      </c>
      <c r="D172" s="7" t="s">
        <v>22</v>
      </c>
      <c r="E172" s="7" t="s">
        <v>23</v>
      </c>
      <c r="P172" s="7">
        <v>30.0</v>
      </c>
    </row>
    <row r="173">
      <c r="A173" s="5">
        <v>45266.471306377316</v>
      </c>
      <c r="B173" s="6">
        <v>45266.0</v>
      </c>
      <c r="C173" s="7" t="s">
        <v>20</v>
      </c>
      <c r="D173" s="7" t="s">
        <v>22</v>
      </c>
      <c r="E173" s="7" t="s">
        <v>32</v>
      </c>
      <c r="J173" s="7">
        <v>10.0</v>
      </c>
      <c r="P173" s="7">
        <v>30.0</v>
      </c>
    </row>
    <row r="174">
      <c r="A174" s="5">
        <v>45281.553569814816</v>
      </c>
      <c r="B174" s="6">
        <v>45267.0</v>
      </c>
      <c r="C174" s="7" t="s">
        <v>20</v>
      </c>
      <c r="D174" s="7" t="s">
        <v>22</v>
      </c>
      <c r="E174" s="7" t="s">
        <v>20</v>
      </c>
      <c r="P174" s="7">
        <v>15.0</v>
      </c>
    </row>
    <row r="175">
      <c r="A175" s="5">
        <v>45281.55380980324</v>
      </c>
      <c r="B175" s="6">
        <v>45281.0</v>
      </c>
      <c r="C175" s="7" t="s">
        <v>20</v>
      </c>
      <c r="D175" s="7" t="s">
        <v>21</v>
      </c>
      <c r="P175" s="7">
        <v>150.0</v>
      </c>
    </row>
    <row r="176">
      <c r="A176" s="5">
        <v>45281.554075567125</v>
      </c>
      <c r="B176" s="6">
        <v>45281.0</v>
      </c>
      <c r="C176" s="7" t="s">
        <v>20</v>
      </c>
      <c r="D176" s="7" t="s">
        <v>22</v>
      </c>
      <c r="E176" s="7" t="s">
        <v>27</v>
      </c>
      <c r="P176" s="7">
        <v>30.0</v>
      </c>
    </row>
    <row r="177">
      <c r="A177" s="5">
        <v>45281.554522986116</v>
      </c>
      <c r="B177" s="6">
        <v>45273.0</v>
      </c>
      <c r="C177" s="7" t="s">
        <v>20</v>
      </c>
      <c r="D177" s="7" t="s">
        <v>22</v>
      </c>
      <c r="E177" s="7" t="s">
        <v>31</v>
      </c>
      <c r="P177" s="7">
        <v>30.0</v>
      </c>
    </row>
    <row r="178">
      <c r="A178" s="5">
        <v>45281.55521685185</v>
      </c>
      <c r="B178" s="6">
        <v>45274.0</v>
      </c>
      <c r="C178" s="7" t="s">
        <v>20</v>
      </c>
      <c r="D178" s="7" t="s">
        <v>22</v>
      </c>
      <c r="E178" s="7" t="s">
        <v>20</v>
      </c>
      <c r="P178" s="7">
        <v>165.0</v>
      </c>
    </row>
    <row r="179">
      <c r="A179" s="5">
        <v>45281.5557787963</v>
      </c>
      <c r="B179" s="6">
        <v>45275.0</v>
      </c>
      <c r="C179" s="7" t="s">
        <v>20</v>
      </c>
      <c r="D179" s="7" t="s">
        <v>22</v>
      </c>
      <c r="E179" s="7" t="s">
        <v>28</v>
      </c>
      <c r="P179" s="7">
        <v>15.0</v>
      </c>
    </row>
    <row r="180">
      <c r="A180" s="5">
        <v>45281.5560359838</v>
      </c>
      <c r="B180" s="6">
        <v>45275.0</v>
      </c>
      <c r="C180" s="7" t="s">
        <v>20</v>
      </c>
      <c r="D180" s="7" t="s">
        <v>22</v>
      </c>
      <c r="E180" s="7" t="s">
        <v>24</v>
      </c>
      <c r="P180" s="7">
        <v>15.0</v>
      </c>
    </row>
    <row r="181">
      <c r="A181" s="5">
        <v>45281.55625100694</v>
      </c>
      <c r="B181" s="6">
        <v>45281.0</v>
      </c>
      <c r="C181" s="7" t="s">
        <v>20</v>
      </c>
      <c r="D181" s="7" t="s">
        <v>22</v>
      </c>
      <c r="E181" s="7" t="s">
        <v>31</v>
      </c>
      <c r="P181" s="7">
        <v>30.0</v>
      </c>
    </row>
    <row r="182">
      <c r="A182" s="5">
        <v>45281.55644503472</v>
      </c>
      <c r="B182" s="6">
        <v>45281.0</v>
      </c>
      <c r="C182" s="7" t="s">
        <v>20</v>
      </c>
      <c r="D182" s="7" t="s">
        <v>22</v>
      </c>
      <c r="E182" s="7" t="s">
        <v>32</v>
      </c>
      <c r="P182" s="7">
        <v>30.0</v>
      </c>
    </row>
    <row r="183">
      <c r="A183" s="5">
        <v>45281.55771828703</v>
      </c>
      <c r="B183" s="6">
        <v>45267.0</v>
      </c>
      <c r="C183" s="7" t="s">
        <v>20</v>
      </c>
      <c r="D183" s="7" t="s">
        <v>22</v>
      </c>
      <c r="E183" s="7" t="s">
        <v>31</v>
      </c>
      <c r="J183" s="7">
        <v>10.0</v>
      </c>
    </row>
    <row r="184">
      <c r="A184" s="5">
        <v>45293.40756061343</v>
      </c>
      <c r="B184" s="6">
        <v>45289.0</v>
      </c>
      <c r="C184" s="7" t="s">
        <v>20</v>
      </c>
      <c r="D184" s="7" t="s">
        <v>21</v>
      </c>
      <c r="I184" s="7">
        <v>60.0</v>
      </c>
      <c r="J184" s="7">
        <v>60.0</v>
      </c>
      <c r="P184" s="7">
        <v>300.0</v>
      </c>
      <c r="Q184" s="7">
        <v>105.0</v>
      </c>
    </row>
    <row r="185">
      <c r="A185" s="5">
        <v>45293.40838099537</v>
      </c>
      <c r="B185" s="6">
        <v>45289.0</v>
      </c>
      <c r="C185" s="7" t="s">
        <v>20</v>
      </c>
      <c r="D185" s="7" t="s">
        <v>22</v>
      </c>
      <c r="E185" s="7" t="s">
        <v>20</v>
      </c>
      <c r="J185" s="7">
        <v>30.0</v>
      </c>
    </row>
    <row r="186">
      <c r="A186" s="5">
        <v>45293.40903818287</v>
      </c>
      <c r="B186" s="6">
        <v>45289.0</v>
      </c>
      <c r="C186" s="7" t="s">
        <v>20</v>
      </c>
      <c r="D186" s="7" t="s">
        <v>22</v>
      </c>
      <c r="E186" s="7" t="s">
        <v>23</v>
      </c>
      <c r="I186" s="7">
        <v>15.0</v>
      </c>
      <c r="J186" s="7">
        <v>15.0</v>
      </c>
      <c r="P186" s="7">
        <v>30.0</v>
      </c>
    </row>
    <row r="187">
      <c r="A187" s="5">
        <v>45293.41133290509</v>
      </c>
      <c r="B187" s="6">
        <v>45293.0</v>
      </c>
      <c r="C187" s="7" t="s">
        <v>20</v>
      </c>
      <c r="D187" s="7" t="s">
        <v>22</v>
      </c>
      <c r="E187" s="7" t="s">
        <v>26</v>
      </c>
      <c r="I187" s="7">
        <v>15.0</v>
      </c>
      <c r="P187" s="7">
        <v>15.0</v>
      </c>
    </row>
    <row r="188">
      <c r="A188" s="5">
        <v>45293.41245722222</v>
      </c>
      <c r="B188" s="6">
        <v>45293.0</v>
      </c>
      <c r="C188" s="7" t="s">
        <v>20</v>
      </c>
      <c r="D188" s="7" t="s">
        <v>22</v>
      </c>
      <c r="E188" s="7" t="s">
        <v>28</v>
      </c>
      <c r="I188" s="7">
        <v>15.0</v>
      </c>
      <c r="J188" s="7">
        <v>5.0</v>
      </c>
      <c r="P188" s="7">
        <v>15.0</v>
      </c>
    </row>
    <row r="189">
      <c r="A189" s="5">
        <v>45293.41311090278</v>
      </c>
      <c r="B189" s="6">
        <v>45293.0</v>
      </c>
      <c r="C189" s="7" t="s">
        <v>20</v>
      </c>
      <c r="D189" s="7" t="s">
        <v>22</v>
      </c>
      <c r="E189" s="7" t="s">
        <v>31</v>
      </c>
      <c r="J189" s="7">
        <v>10.0</v>
      </c>
      <c r="P189" s="7">
        <v>15.0</v>
      </c>
      <c r="Q189" s="7">
        <v>15.0</v>
      </c>
    </row>
    <row r="190">
      <c r="A190" s="5">
        <v>45313.77011909722</v>
      </c>
      <c r="B190" s="6">
        <v>45294.0</v>
      </c>
      <c r="C190" s="7" t="s">
        <v>20</v>
      </c>
      <c r="D190" s="7" t="s">
        <v>22</v>
      </c>
      <c r="E190" s="7" t="s">
        <v>33</v>
      </c>
      <c r="I190" s="7">
        <v>15.0</v>
      </c>
    </row>
    <row r="191">
      <c r="A191" s="5">
        <v>45313.77061614583</v>
      </c>
      <c r="B191" s="6">
        <v>45294.0</v>
      </c>
      <c r="C191" s="7" t="s">
        <v>20</v>
      </c>
      <c r="D191" s="7" t="s">
        <v>22</v>
      </c>
      <c r="E191" s="7" t="s">
        <v>30</v>
      </c>
      <c r="P191" s="7">
        <v>30.0</v>
      </c>
    </row>
    <row r="192">
      <c r="A192" s="5">
        <v>45313.771086099536</v>
      </c>
      <c r="B192" s="6">
        <v>45294.0</v>
      </c>
      <c r="C192" s="7" t="s">
        <v>20</v>
      </c>
      <c r="D192" s="7" t="s">
        <v>22</v>
      </c>
      <c r="E192" s="7" t="s">
        <v>25</v>
      </c>
      <c r="P192" s="7">
        <v>15.0</v>
      </c>
    </row>
    <row r="193">
      <c r="A193" s="5">
        <v>45313.77173821759</v>
      </c>
      <c r="B193" s="6">
        <v>45297.0</v>
      </c>
      <c r="C193" s="7" t="s">
        <v>20</v>
      </c>
      <c r="D193" s="7" t="s">
        <v>22</v>
      </c>
      <c r="E193" s="7" t="s">
        <v>28</v>
      </c>
      <c r="Q193" s="7">
        <v>15.0</v>
      </c>
    </row>
    <row r="194">
      <c r="A194" s="5">
        <v>45313.772140891204</v>
      </c>
      <c r="B194" s="6">
        <v>45299.0</v>
      </c>
      <c r="C194" s="7" t="s">
        <v>20</v>
      </c>
      <c r="D194" s="7" t="s">
        <v>22</v>
      </c>
      <c r="E194" s="7" t="s">
        <v>20</v>
      </c>
      <c r="P194" s="7">
        <v>15.0</v>
      </c>
    </row>
    <row r="195">
      <c r="A195" s="5">
        <v>45313.772701875</v>
      </c>
      <c r="B195" s="6">
        <v>45300.0</v>
      </c>
      <c r="C195" s="7" t="s">
        <v>20</v>
      </c>
      <c r="D195" s="7" t="s">
        <v>22</v>
      </c>
      <c r="E195" s="7" t="s">
        <v>27</v>
      </c>
      <c r="P195" s="7">
        <v>30.0</v>
      </c>
      <c r="Q195" s="7">
        <v>30.0</v>
      </c>
    </row>
    <row r="196">
      <c r="A196" s="5">
        <v>45313.77323846065</v>
      </c>
      <c r="B196" s="6">
        <v>45303.0</v>
      </c>
      <c r="C196" s="7" t="s">
        <v>20</v>
      </c>
      <c r="D196" s="7" t="s">
        <v>22</v>
      </c>
      <c r="E196" s="7" t="s">
        <v>20</v>
      </c>
      <c r="P196" s="7">
        <v>60.0</v>
      </c>
    </row>
    <row r="197">
      <c r="A197" s="5">
        <v>45313.77388969908</v>
      </c>
      <c r="B197" s="6">
        <v>45303.0</v>
      </c>
      <c r="C197" s="7" t="s">
        <v>20</v>
      </c>
      <c r="D197" s="7" t="s">
        <v>22</v>
      </c>
      <c r="E197" s="7" t="s">
        <v>32</v>
      </c>
      <c r="P197" s="7">
        <v>30.0</v>
      </c>
    </row>
    <row r="198">
      <c r="A198" s="5">
        <v>45313.77445861111</v>
      </c>
      <c r="B198" s="6">
        <v>45306.0</v>
      </c>
      <c r="C198" s="7" t="s">
        <v>20</v>
      </c>
      <c r="D198" s="7" t="s">
        <v>21</v>
      </c>
      <c r="F198" s="7">
        <v>90.0</v>
      </c>
      <c r="I198" s="7">
        <v>90.0</v>
      </c>
      <c r="P198" s="7">
        <v>300.0</v>
      </c>
    </row>
    <row r="199">
      <c r="A199" s="5">
        <v>45313.77500809028</v>
      </c>
      <c r="B199" s="6">
        <v>45306.0</v>
      </c>
      <c r="C199" s="7" t="s">
        <v>20</v>
      </c>
      <c r="D199" s="7" t="s">
        <v>22</v>
      </c>
      <c r="E199" s="7" t="s">
        <v>24</v>
      </c>
      <c r="F199" s="7">
        <v>15.0</v>
      </c>
      <c r="P199" s="7">
        <v>15.0</v>
      </c>
    </row>
    <row r="200">
      <c r="A200" s="5">
        <v>45313.77560287037</v>
      </c>
      <c r="B200" s="6">
        <v>45306.0</v>
      </c>
      <c r="C200" s="7" t="s">
        <v>20</v>
      </c>
      <c r="D200" s="7" t="s">
        <v>22</v>
      </c>
      <c r="E200" s="7" t="s">
        <v>26</v>
      </c>
      <c r="F200" s="7">
        <v>15.0</v>
      </c>
      <c r="I200" s="7">
        <v>15.0</v>
      </c>
    </row>
    <row r="201">
      <c r="A201" s="5">
        <v>45313.7760058912</v>
      </c>
      <c r="B201" s="6">
        <v>45306.0</v>
      </c>
      <c r="C201" s="7" t="s">
        <v>20</v>
      </c>
      <c r="D201" s="7" t="s">
        <v>22</v>
      </c>
      <c r="E201" s="7" t="s">
        <v>32</v>
      </c>
      <c r="F201" s="7">
        <v>15.0</v>
      </c>
      <c r="I201" s="7">
        <v>15.0</v>
      </c>
    </row>
    <row r="202">
      <c r="A202" s="5">
        <v>45313.77660517361</v>
      </c>
      <c r="B202" s="6">
        <v>45306.0</v>
      </c>
      <c r="C202" s="7" t="s">
        <v>20</v>
      </c>
      <c r="D202" s="7" t="s">
        <v>22</v>
      </c>
      <c r="E202" s="7" t="s">
        <v>31</v>
      </c>
      <c r="F202" s="7">
        <v>15.0</v>
      </c>
      <c r="P202" s="7">
        <v>15.0</v>
      </c>
    </row>
    <row r="203">
      <c r="A203" s="5">
        <v>45313.77708144676</v>
      </c>
      <c r="B203" s="6">
        <v>45307.0</v>
      </c>
      <c r="C203" s="7" t="s">
        <v>20</v>
      </c>
      <c r="D203" s="7" t="s">
        <v>22</v>
      </c>
      <c r="E203" s="7" t="s">
        <v>28</v>
      </c>
      <c r="F203" s="7">
        <v>15.0</v>
      </c>
    </row>
    <row r="204">
      <c r="A204" s="5">
        <v>45313.77781486111</v>
      </c>
      <c r="B204" s="6">
        <v>45309.0</v>
      </c>
      <c r="C204" s="7" t="s">
        <v>20</v>
      </c>
      <c r="D204" s="7" t="s">
        <v>22</v>
      </c>
      <c r="E204" s="7" t="s">
        <v>25</v>
      </c>
      <c r="I204" s="7">
        <v>15.0</v>
      </c>
      <c r="P204" s="7">
        <v>15.0</v>
      </c>
    </row>
    <row r="205">
      <c r="A205" s="5">
        <v>45313.77959475694</v>
      </c>
      <c r="B205" s="6">
        <v>45309.0</v>
      </c>
      <c r="C205" s="7" t="s">
        <v>20</v>
      </c>
      <c r="D205" s="7" t="s">
        <v>22</v>
      </c>
      <c r="E205" s="7" t="s">
        <v>20</v>
      </c>
      <c r="F205" s="7">
        <v>15.0</v>
      </c>
      <c r="I205" s="7">
        <v>15.0</v>
      </c>
      <c r="P205" s="7">
        <v>15.0</v>
      </c>
      <c r="R205" s="7">
        <v>10.0</v>
      </c>
    </row>
    <row r="206">
      <c r="A206" s="5">
        <v>45324.473542962965</v>
      </c>
      <c r="B206" s="6">
        <v>45314.0</v>
      </c>
      <c r="C206" s="7" t="s">
        <v>20</v>
      </c>
      <c r="D206" s="7" t="s">
        <v>22</v>
      </c>
      <c r="E206" s="7" t="s">
        <v>28</v>
      </c>
      <c r="P206" s="7">
        <v>15.0</v>
      </c>
    </row>
    <row r="207">
      <c r="A207" s="5">
        <v>45324.47416997685</v>
      </c>
      <c r="B207" s="6">
        <v>45316.0</v>
      </c>
      <c r="C207" s="7" t="s">
        <v>20</v>
      </c>
      <c r="D207" s="7" t="s">
        <v>22</v>
      </c>
      <c r="E207" s="7" t="s">
        <v>23</v>
      </c>
      <c r="I207" s="7">
        <v>15.0</v>
      </c>
      <c r="P207" s="7">
        <v>45.0</v>
      </c>
    </row>
    <row r="208">
      <c r="A208" s="5">
        <v>45324.474874363426</v>
      </c>
      <c r="B208" s="6">
        <v>45320.0</v>
      </c>
      <c r="C208" s="7" t="s">
        <v>20</v>
      </c>
      <c r="D208" s="7" t="s">
        <v>22</v>
      </c>
      <c r="E208" s="7" t="s">
        <v>20</v>
      </c>
      <c r="I208" s="7">
        <v>15.0</v>
      </c>
      <c r="L208" s="7">
        <v>10.0</v>
      </c>
    </row>
    <row r="209">
      <c r="A209" s="5">
        <v>45324.47564380787</v>
      </c>
      <c r="B209" s="6">
        <v>45321.0</v>
      </c>
      <c r="C209" s="7" t="s">
        <v>20</v>
      </c>
      <c r="D209" s="7" t="s">
        <v>22</v>
      </c>
      <c r="E209" s="7" t="s">
        <v>26</v>
      </c>
      <c r="P209" s="7">
        <v>75.0</v>
      </c>
    </row>
    <row r="210">
      <c r="A210" s="5">
        <v>45324.47629101852</v>
      </c>
      <c r="B210" s="6">
        <v>45323.0</v>
      </c>
      <c r="C210" s="7" t="s">
        <v>20</v>
      </c>
      <c r="D210" s="7" t="s">
        <v>22</v>
      </c>
      <c r="E210" s="7" t="s">
        <v>32</v>
      </c>
      <c r="L210" s="7">
        <v>10.0</v>
      </c>
      <c r="P210" s="7">
        <v>15.0</v>
      </c>
      <c r="Q210" s="7">
        <v>15.0</v>
      </c>
    </row>
    <row r="211">
      <c r="A211" s="5">
        <v>45324.476664988426</v>
      </c>
      <c r="B211" s="6">
        <v>45324.0</v>
      </c>
      <c r="C211" s="7" t="s">
        <v>20</v>
      </c>
      <c r="D211" s="7" t="s">
        <v>22</v>
      </c>
      <c r="E211" s="7" t="s">
        <v>31</v>
      </c>
      <c r="Q211" s="7">
        <v>15.0</v>
      </c>
    </row>
    <row r="212">
      <c r="A212" s="5">
        <v>45345.54755969907</v>
      </c>
      <c r="B212" s="6">
        <v>45324.0</v>
      </c>
      <c r="C212" s="7" t="s">
        <v>20</v>
      </c>
      <c r="D212" s="7" t="s">
        <v>22</v>
      </c>
      <c r="E212" s="7" t="s">
        <v>26</v>
      </c>
      <c r="P212" s="7">
        <v>30.0</v>
      </c>
    </row>
    <row r="213">
      <c r="A213" s="5">
        <v>45345.54853987269</v>
      </c>
      <c r="B213" s="6">
        <v>45329.0</v>
      </c>
      <c r="C213" s="7" t="s">
        <v>20</v>
      </c>
      <c r="D213" s="7" t="s">
        <v>22</v>
      </c>
      <c r="E213" s="7" t="s">
        <v>23</v>
      </c>
      <c r="L213" s="7">
        <v>10.0</v>
      </c>
      <c r="O213" s="7">
        <v>10.0</v>
      </c>
      <c r="R213" s="7">
        <v>20.0</v>
      </c>
    </row>
    <row r="214">
      <c r="A214" s="5">
        <v>45345.549359236116</v>
      </c>
      <c r="B214" s="6">
        <v>45329.0</v>
      </c>
      <c r="C214" s="7" t="s">
        <v>20</v>
      </c>
      <c r="D214" s="7" t="s">
        <v>22</v>
      </c>
      <c r="E214" s="7" t="s">
        <v>31</v>
      </c>
      <c r="P214" s="7">
        <v>15.0</v>
      </c>
      <c r="Q214" s="7">
        <v>15.0</v>
      </c>
    </row>
    <row r="215">
      <c r="A215" s="5">
        <v>45345.550546087965</v>
      </c>
      <c r="B215" s="6">
        <v>45335.0</v>
      </c>
      <c r="C215" s="7" t="s">
        <v>20</v>
      </c>
      <c r="D215" s="7" t="s">
        <v>21</v>
      </c>
      <c r="F215" s="7">
        <v>30.0</v>
      </c>
      <c r="I215" s="7">
        <v>120.0</v>
      </c>
      <c r="J215" s="7">
        <v>60.0</v>
      </c>
      <c r="P215" s="7">
        <v>210.0</v>
      </c>
      <c r="Q215" s="7">
        <v>105.0</v>
      </c>
    </row>
    <row r="216">
      <c r="A216" s="5">
        <v>45345.551356435186</v>
      </c>
      <c r="B216" s="6">
        <v>45335.0</v>
      </c>
      <c r="C216" s="7" t="s">
        <v>20</v>
      </c>
      <c r="D216" s="7" t="s">
        <v>22</v>
      </c>
      <c r="E216" s="7" t="s">
        <v>23</v>
      </c>
      <c r="F216" s="7">
        <v>15.0</v>
      </c>
      <c r="I216" s="7">
        <v>15.0</v>
      </c>
    </row>
    <row r="217">
      <c r="A217" s="5">
        <v>45345.552085347226</v>
      </c>
      <c r="B217" s="6">
        <v>45336.0</v>
      </c>
      <c r="C217" s="7" t="s">
        <v>20</v>
      </c>
      <c r="D217" s="7" t="s">
        <v>22</v>
      </c>
      <c r="E217" s="7" t="s">
        <v>28</v>
      </c>
      <c r="F217" s="7">
        <v>5.0</v>
      </c>
      <c r="I217" s="7">
        <v>15.0</v>
      </c>
    </row>
    <row r="218">
      <c r="A218" s="5">
        <v>45345.552572534725</v>
      </c>
      <c r="B218" s="6">
        <v>45336.0</v>
      </c>
      <c r="C218" s="7" t="s">
        <v>20</v>
      </c>
      <c r="D218" s="7" t="s">
        <v>22</v>
      </c>
      <c r="E218" s="7" t="s">
        <v>31</v>
      </c>
      <c r="F218" s="7">
        <v>5.0</v>
      </c>
      <c r="I218" s="7">
        <v>15.0</v>
      </c>
    </row>
    <row r="219">
      <c r="A219" s="5">
        <v>45345.55310616898</v>
      </c>
      <c r="B219" s="6">
        <v>45336.0</v>
      </c>
      <c r="C219" s="7" t="s">
        <v>20</v>
      </c>
      <c r="D219" s="7" t="s">
        <v>22</v>
      </c>
      <c r="E219" s="7" t="s">
        <v>32</v>
      </c>
      <c r="I219" s="7">
        <v>15.0</v>
      </c>
      <c r="P219" s="7">
        <v>30.0</v>
      </c>
    </row>
    <row r="220">
      <c r="A220" s="5">
        <v>45345.553620983796</v>
      </c>
      <c r="B220" s="6">
        <v>45338.0</v>
      </c>
      <c r="C220" s="7" t="s">
        <v>20</v>
      </c>
      <c r="D220" s="7" t="s">
        <v>22</v>
      </c>
      <c r="E220" s="7" t="s">
        <v>26</v>
      </c>
      <c r="F220" s="7">
        <v>5.0</v>
      </c>
      <c r="I220" s="7">
        <v>15.0</v>
      </c>
    </row>
    <row r="221">
      <c r="A221" s="5">
        <v>45345.55512290509</v>
      </c>
      <c r="B221" s="6">
        <v>45338.0</v>
      </c>
      <c r="C221" s="7" t="s">
        <v>20</v>
      </c>
      <c r="D221" s="7" t="s">
        <v>22</v>
      </c>
      <c r="E221" s="7" t="s">
        <v>24</v>
      </c>
      <c r="P221" s="7">
        <v>45.0</v>
      </c>
    </row>
    <row r="222">
      <c r="A222" s="5">
        <v>45345.55602415509</v>
      </c>
      <c r="B222" s="6">
        <v>45335.0</v>
      </c>
      <c r="C222" s="7" t="s">
        <v>20</v>
      </c>
      <c r="D222" s="7" t="s">
        <v>22</v>
      </c>
      <c r="E222" s="7" t="s">
        <v>20</v>
      </c>
      <c r="J222" s="7">
        <v>60.0</v>
      </c>
      <c r="P222" s="7">
        <v>30.0</v>
      </c>
    </row>
    <row r="223">
      <c r="A223" s="5">
        <v>45345.556528761575</v>
      </c>
      <c r="B223" s="6">
        <v>45342.0</v>
      </c>
      <c r="C223" s="7" t="s">
        <v>20</v>
      </c>
      <c r="D223" s="7" t="s">
        <v>22</v>
      </c>
      <c r="E223" s="7" t="s">
        <v>31</v>
      </c>
      <c r="L223" s="7">
        <v>10.0</v>
      </c>
      <c r="R223" s="7">
        <v>10.0</v>
      </c>
    </row>
    <row r="224">
      <c r="A224" s="5">
        <v>45345.5570261574</v>
      </c>
      <c r="B224" s="6">
        <v>45342.0</v>
      </c>
      <c r="C224" s="7" t="s">
        <v>20</v>
      </c>
      <c r="D224" s="7" t="s">
        <v>22</v>
      </c>
      <c r="E224" s="7" t="s">
        <v>30</v>
      </c>
      <c r="P224" s="7">
        <v>15.0</v>
      </c>
    </row>
    <row r="225">
      <c r="A225" s="5">
        <v>45345.55762877315</v>
      </c>
      <c r="B225" s="6">
        <v>45342.0</v>
      </c>
      <c r="C225" s="7" t="s">
        <v>20</v>
      </c>
      <c r="D225" s="7" t="s">
        <v>22</v>
      </c>
      <c r="E225" s="7" t="s">
        <v>27</v>
      </c>
      <c r="I225" s="7">
        <v>15.0</v>
      </c>
      <c r="P225" s="7">
        <v>30.0</v>
      </c>
    </row>
    <row r="226">
      <c r="A226" s="5">
        <v>45345.557917592596</v>
      </c>
      <c r="B226" s="6">
        <v>45344.0</v>
      </c>
      <c r="C226" s="7" t="s">
        <v>20</v>
      </c>
      <c r="D226" s="7" t="s">
        <v>22</v>
      </c>
      <c r="E226" s="7" t="s">
        <v>32</v>
      </c>
      <c r="I226" s="7">
        <v>15.0</v>
      </c>
    </row>
    <row r="227">
      <c r="A227" s="5">
        <v>45367.39982818287</v>
      </c>
      <c r="B227" s="6">
        <v>45348.0</v>
      </c>
      <c r="C227" s="7" t="s">
        <v>20</v>
      </c>
      <c r="D227" s="7" t="s">
        <v>22</v>
      </c>
      <c r="E227" s="7" t="s">
        <v>30</v>
      </c>
      <c r="R227" s="7">
        <v>10.0</v>
      </c>
    </row>
    <row r="228">
      <c r="A228" s="5">
        <v>45367.401565775464</v>
      </c>
      <c r="B228" s="6">
        <v>45348.0</v>
      </c>
      <c r="C228" s="7" t="s">
        <v>20</v>
      </c>
      <c r="D228" s="7" t="s">
        <v>22</v>
      </c>
      <c r="E228" s="7" t="s">
        <v>23</v>
      </c>
      <c r="I228" s="7">
        <v>15.0</v>
      </c>
      <c r="P228" s="7">
        <v>15.0</v>
      </c>
    </row>
    <row r="229">
      <c r="A229" s="5">
        <v>45367.402154027775</v>
      </c>
      <c r="B229" s="6">
        <v>45352.0</v>
      </c>
      <c r="C229" s="7" t="s">
        <v>20</v>
      </c>
      <c r="D229" s="7" t="s">
        <v>22</v>
      </c>
      <c r="E229" s="7" t="s">
        <v>28</v>
      </c>
      <c r="P229" s="7">
        <v>15.0</v>
      </c>
    </row>
    <row r="230">
      <c r="A230" s="5">
        <v>45367.40268561343</v>
      </c>
      <c r="B230" s="6">
        <v>45352.0</v>
      </c>
      <c r="C230" s="7" t="s">
        <v>20</v>
      </c>
      <c r="D230" s="7" t="s">
        <v>22</v>
      </c>
      <c r="E230" s="7" t="s">
        <v>20</v>
      </c>
      <c r="P230" s="7">
        <v>45.0</v>
      </c>
    </row>
    <row r="231">
      <c r="A231" s="5">
        <v>45367.403494768514</v>
      </c>
      <c r="B231" s="6">
        <v>45357.0</v>
      </c>
      <c r="C231" s="7" t="s">
        <v>20</v>
      </c>
      <c r="D231" s="7" t="s">
        <v>22</v>
      </c>
      <c r="E231" s="7" t="s">
        <v>32</v>
      </c>
      <c r="L231" s="7">
        <v>10.0</v>
      </c>
    </row>
    <row r="232">
      <c r="A232" s="5">
        <v>45367.40542115741</v>
      </c>
      <c r="B232" s="6">
        <v>45358.0</v>
      </c>
      <c r="C232" s="7" t="s">
        <v>20</v>
      </c>
      <c r="D232" s="7" t="s">
        <v>22</v>
      </c>
      <c r="E232" s="7" t="s">
        <v>33</v>
      </c>
      <c r="P232" s="7"/>
      <c r="Q232" s="7">
        <v>15.0</v>
      </c>
    </row>
    <row r="233">
      <c r="A233" s="5">
        <v>45367.40648452546</v>
      </c>
      <c r="B233" s="6">
        <v>45362.0</v>
      </c>
      <c r="C233" s="7" t="s">
        <v>20</v>
      </c>
      <c r="D233" s="7" t="s">
        <v>22</v>
      </c>
      <c r="E233" s="7" t="s">
        <v>26</v>
      </c>
      <c r="P233" s="7">
        <v>15.0</v>
      </c>
    </row>
    <row r="234">
      <c r="A234" s="5">
        <v>45367.41425244213</v>
      </c>
      <c r="B234" s="6">
        <v>45364.0</v>
      </c>
      <c r="C234" s="7" t="s">
        <v>20</v>
      </c>
      <c r="D234" s="7" t="s">
        <v>21</v>
      </c>
      <c r="I234" s="7">
        <v>210.0</v>
      </c>
      <c r="J234" s="7">
        <v>210.0</v>
      </c>
    </row>
    <row r="235">
      <c r="A235" s="5">
        <v>45367.41496834491</v>
      </c>
      <c r="B235" s="6">
        <v>45365.0</v>
      </c>
      <c r="C235" s="7" t="s">
        <v>20</v>
      </c>
      <c r="D235" s="7" t="s">
        <v>22</v>
      </c>
      <c r="E235" s="7" t="s">
        <v>28</v>
      </c>
      <c r="J235" s="7">
        <v>15.0</v>
      </c>
    </row>
    <row r="236">
      <c r="A236" s="5">
        <v>45367.42024787037</v>
      </c>
      <c r="B236" s="6">
        <v>45365.0</v>
      </c>
      <c r="C236" s="7" t="s">
        <v>20</v>
      </c>
      <c r="D236" s="7" t="s">
        <v>22</v>
      </c>
      <c r="E236" s="7" t="s">
        <v>31</v>
      </c>
      <c r="I236" s="7">
        <v>30.0</v>
      </c>
      <c r="J236" s="7">
        <v>30.0</v>
      </c>
    </row>
    <row r="237">
      <c r="A237" s="5">
        <v>45367.42129777778</v>
      </c>
      <c r="B237" s="6">
        <v>45365.0</v>
      </c>
      <c r="C237" s="7" t="s">
        <v>20</v>
      </c>
      <c r="D237" s="7" t="s">
        <v>22</v>
      </c>
      <c r="E237" s="7" t="s">
        <v>32</v>
      </c>
      <c r="I237" s="7">
        <v>30.0</v>
      </c>
      <c r="J237" s="7">
        <v>60.0</v>
      </c>
    </row>
    <row r="238">
      <c r="A238" s="5">
        <v>45367.42213140047</v>
      </c>
      <c r="B238" s="6">
        <v>45365.0</v>
      </c>
      <c r="C238" s="7" t="s">
        <v>20</v>
      </c>
      <c r="D238" s="7" t="s">
        <v>22</v>
      </c>
      <c r="E238" s="7" t="s">
        <v>27</v>
      </c>
      <c r="J238" s="7">
        <v>30.0</v>
      </c>
      <c r="Q238" s="7">
        <v>15.0</v>
      </c>
    </row>
    <row r="239">
      <c r="A239" s="5">
        <v>45367.42279814815</v>
      </c>
      <c r="B239" s="6">
        <v>45365.0</v>
      </c>
      <c r="C239" s="7" t="s">
        <v>20</v>
      </c>
      <c r="D239" s="7" t="s">
        <v>22</v>
      </c>
      <c r="E239" s="7" t="s">
        <v>23</v>
      </c>
      <c r="J239" s="7">
        <v>15.0</v>
      </c>
      <c r="P239" s="7">
        <v>15.0</v>
      </c>
    </row>
    <row r="240">
      <c r="A240" s="5">
        <v>45367.53256930556</v>
      </c>
      <c r="B240" s="6">
        <v>45365.0</v>
      </c>
      <c r="C240" s="7" t="s">
        <v>20</v>
      </c>
      <c r="D240" s="7" t="s">
        <v>22</v>
      </c>
      <c r="E240" s="7" t="s">
        <v>20</v>
      </c>
      <c r="P240" s="7">
        <v>45.0</v>
      </c>
    </row>
    <row r="241">
      <c r="A241" s="5">
        <v>45367.53599923611</v>
      </c>
      <c r="B241" s="6">
        <v>45365.0</v>
      </c>
      <c r="C241" s="7" t="s">
        <v>20</v>
      </c>
      <c r="D241" s="7" t="s">
        <v>22</v>
      </c>
      <c r="E241" s="7" t="s">
        <v>26</v>
      </c>
      <c r="I241" s="7">
        <v>15.0</v>
      </c>
      <c r="J241" s="7">
        <v>30.0</v>
      </c>
    </row>
    <row r="242">
      <c r="A242" s="5">
        <v>45373.494366099534</v>
      </c>
      <c r="B242" s="6">
        <v>45365.0</v>
      </c>
      <c r="C242" s="7" t="s">
        <v>20</v>
      </c>
      <c r="D242" s="7" t="s">
        <v>22</v>
      </c>
      <c r="E242" s="7" t="s">
        <v>20</v>
      </c>
      <c r="Q242" s="7">
        <v>15.0</v>
      </c>
    </row>
    <row r="243">
      <c r="A243" s="5">
        <v>45373.49489071759</v>
      </c>
      <c r="B243" s="6">
        <v>45365.0</v>
      </c>
      <c r="C243" s="7" t="s">
        <v>20</v>
      </c>
      <c r="D243" s="7" t="s">
        <v>22</v>
      </c>
      <c r="E243" s="7" t="s">
        <v>33</v>
      </c>
      <c r="J243" s="7">
        <v>15.0</v>
      </c>
    </row>
    <row r="244">
      <c r="A244" s="5">
        <v>45373.495403587964</v>
      </c>
      <c r="B244" s="6">
        <v>45365.0</v>
      </c>
      <c r="C244" s="7" t="s">
        <v>20</v>
      </c>
      <c r="D244" s="7" t="s">
        <v>22</v>
      </c>
      <c r="E244" s="7" t="s">
        <v>30</v>
      </c>
      <c r="I244" s="7">
        <v>15.0</v>
      </c>
      <c r="J244" s="7">
        <v>15.0</v>
      </c>
    </row>
    <row r="245">
      <c r="A245" s="5">
        <v>45373.495810532404</v>
      </c>
      <c r="B245" s="6">
        <v>45371.0</v>
      </c>
      <c r="C245" s="7" t="s">
        <v>20</v>
      </c>
      <c r="D245" s="7" t="s">
        <v>22</v>
      </c>
      <c r="E245" s="7" t="s">
        <v>32</v>
      </c>
      <c r="Q245" s="7">
        <v>15.0</v>
      </c>
    </row>
    <row r="246">
      <c r="A246" s="5">
        <v>45378.5379059838</v>
      </c>
      <c r="B246" s="6">
        <v>45378.0</v>
      </c>
      <c r="C246" s="7" t="s">
        <v>20</v>
      </c>
      <c r="D246" s="7" t="s">
        <v>21</v>
      </c>
      <c r="F246" s="7">
        <v>80.0</v>
      </c>
      <c r="I246" s="7">
        <v>45.0</v>
      </c>
      <c r="L246" s="7">
        <v>10.0</v>
      </c>
      <c r="N246" s="7">
        <v>10.0</v>
      </c>
      <c r="O246" s="7">
        <v>30.0</v>
      </c>
      <c r="P246" s="7">
        <v>45.0</v>
      </c>
      <c r="R246" s="7">
        <v>30.0</v>
      </c>
    </row>
    <row r="247">
      <c r="A247" s="5">
        <v>45378.5728828125</v>
      </c>
      <c r="B247" s="6">
        <v>45378.0</v>
      </c>
      <c r="C247" s="7" t="s">
        <v>20</v>
      </c>
      <c r="D247" s="7" t="s">
        <v>22</v>
      </c>
      <c r="E247" s="7" t="s">
        <v>30</v>
      </c>
      <c r="F247" s="7">
        <v>10.0</v>
      </c>
      <c r="I247" s="7">
        <v>20.0</v>
      </c>
      <c r="N247" s="7">
        <v>10.0</v>
      </c>
      <c r="Q247" s="7">
        <v>15.0</v>
      </c>
      <c r="R247" s="7">
        <v>10.0</v>
      </c>
    </row>
    <row r="248">
      <c r="A248" s="5">
        <v>45378.57496869213</v>
      </c>
      <c r="B248" s="6">
        <v>45378.0</v>
      </c>
      <c r="C248" s="7" t="s">
        <v>20</v>
      </c>
      <c r="D248" s="7" t="s">
        <v>22</v>
      </c>
      <c r="E248" s="7" t="s">
        <v>33</v>
      </c>
      <c r="F248" s="7">
        <v>10.0</v>
      </c>
      <c r="I248" s="7">
        <v>20.0</v>
      </c>
      <c r="L248" s="7">
        <v>10.0</v>
      </c>
      <c r="P248" s="7">
        <v>15.0</v>
      </c>
      <c r="R248" s="7">
        <v>10.0</v>
      </c>
    </row>
    <row r="249">
      <c r="A249" s="5">
        <v>45378.575907754624</v>
      </c>
      <c r="B249" s="6">
        <v>45378.0</v>
      </c>
      <c r="C249" s="7" t="s">
        <v>20</v>
      </c>
      <c r="D249" s="7" t="s">
        <v>22</v>
      </c>
      <c r="E249" s="7" t="s">
        <v>26</v>
      </c>
      <c r="F249" s="7">
        <v>10.0</v>
      </c>
      <c r="I249" s="7">
        <v>20.0</v>
      </c>
      <c r="R249" s="7">
        <v>10.0</v>
      </c>
    </row>
    <row r="250">
      <c r="A250" s="5">
        <v>45378.619525601855</v>
      </c>
      <c r="B250" s="6">
        <v>45379.0</v>
      </c>
      <c r="C250" s="7" t="s">
        <v>20</v>
      </c>
      <c r="D250" s="7" t="s">
        <v>22</v>
      </c>
      <c r="E250" s="7" t="s">
        <v>31</v>
      </c>
      <c r="F250" s="7">
        <v>10.0</v>
      </c>
      <c r="I250" s="7">
        <v>20.0</v>
      </c>
      <c r="O250" s="7">
        <v>10.0</v>
      </c>
      <c r="Q250" s="7">
        <v>15.0</v>
      </c>
    </row>
    <row r="251">
      <c r="A251" s="5">
        <v>45379.52315912037</v>
      </c>
      <c r="B251" s="6">
        <v>45379.0</v>
      </c>
      <c r="C251" s="7" t="s">
        <v>20</v>
      </c>
      <c r="D251" s="7" t="s">
        <v>22</v>
      </c>
      <c r="E251" s="7" t="s">
        <v>23</v>
      </c>
      <c r="F251" s="7">
        <v>10.0</v>
      </c>
      <c r="I251" s="7">
        <v>20.0</v>
      </c>
      <c r="P251" s="7">
        <v>15.0</v>
      </c>
    </row>
    <row r="252">
      <c r="A252" s="5">
        <v>45379.5243175463</v>
      </c>
      <c r="B252" s="6">
        <v>45379.0</v>
      </c>
      <c r="C252" s="7" t="s">
        <v>20</v>
      </c>
      <c r="D252" s="7" t="s">
        <v>22</v>
      </c>
      <c r="E252" s="7" t="s">
        <v>25</v>
      </c>
      <c r="F252" s="7">
        <v>10.0</v>
      </c>
      <c r="I252" s="7">
        <v>20.0</v>
      </c>
      <c r="R252" s="7">
        <v>10.0</v>
      </c>
    </row>
    <row r="253">
      <c r="A253" s="5">
        <v>45379.525151724534</v>
      </c>
      <c r="B253" s="6">
        <v>45379.0</v>
      </c>
      <c r="C253" s="7" t="s">
        <v>20</v>
      </c>
      <c r="D253" s="7" t="s">
        <v>22</v>
      </c>
      <c r="E253" s="7" t="s">
        <v>32</v>
      </c>
      <c r="F253" s="7">
        <v>10.0</v>
      </c>
      <c r="I253" s="7">
        <v>20.0</v>
      </c>
      <c r="O253" s="7">
        <v>10.0</v>
      </c>
      <c r="P253" s="7">
        <v>15.0</v>
      </c>
    </row>
    <row r="254">
      <c r="A254" s="5">
        <v>45381.55458725695</v>
      </c>
      <c r="B254" s="6">
        <v>45379.0</v>
      </c>
      <c r="C254" s="7" t="s">
        <v>20</v>
      </c>
      <c r="D254" s="7" t="s">
        <v>22</v>
      </c>
      <c r="E254" s="7" t="s">
        <v>27</v>
      </c>
      <c r="F254" s="7">
        <v>10.0</v>
      </c>
      <c r="I254" s="7">
        <v>20.0</v>
      </c>
      <c r="O254" s="7">
        <v>10.0</v>
      </c>
    </row>
    <row r="255">
      <c r="A255" s="5">
        <v>45381.55489921296</v>
      </c>
      <c r="B255" s="6">
        <v>45379.0</v>
      </c>
      <c r="C255" s="7" t="s">
        <v>20</v>
      </c>
      <c r="D255" s="7" t="s">
        <v>22</v>
      </c>
      <c r="E255" s="7" t="s">
        <v>20</v>
      </c>
      <c r="I255" s="7">
        <v>5.0</v>
      </c>
    </row>
    <row r="256">
      <c r="A256" s="5">
        <v>45381.55698734954</v>
      </c>
      <c r="B256" s="6">
        <v>45379.0</v>
      </c>
      <c r="C256" s="7" t="s">
        <v>20</v>
      </c>
      <c r="D256" s="7" t="s">
        <v>22</v>
      </c>
      <c r="E256" s="7" t="s">
        <v>27</v>
      </c>
      <c r="Q256" s="7">
        <v>15.0</v>
      </c>
    </row>
    <row r="257">
      <c r="A257" s="5">
        <v>45441.48377359954</v>
      </c>
      <c r="B257" s="6">
        <v>45394.0</v>
      </c>
      <c r="C257" s="7" t="s">
        <v>20</v>
      </c>
      <c r="D257" s="7" t="s">
        <v>21</v>
      </c>
      <c r="F257" s="7">
        <v>200.0</v>
      </c>
      <c r="I257" s="7">
        <v>45.0</v>
      </c>
      <c r="P257" s="7">
        <v>300.0</v>
      </c>
    </row>
    <row r="258">
      <c r="A258" s="5">
        <v>45441.484434768514</v>
      </c>
      <c r="B258" s="6">
        <v>45394.0</v>
      </c>
      <c r="C258" s="7" t="s">
        <v>20</v>
      </c>
      <c r="D258" s="7" t="s">
        <v>22</v>
      </c>
      <c r="E258" s="7" t="s">
        <v>26</v>
      </c>
      <c r="F258" s="7">
        <v>30.0</v>
      </c>
      <c r="P258" s="7">
        <v>15.0</v>
      </c>
    </row>
    <row r="259">
      <c r="A259" s="5">
        <v>45441.48578293981</v>
      </c>
      <c r="B259" s="6">
        <v>45394.0</v>
      </c>
      <c r="C259" s="7" t="s">
        <v>20</v>
      </c>
      <c r="D259" s="7" t="s">
        <v>22</v>
      </c>
      <c r="E259" s="7" t="s">
        <v>20</v>
      </c>
      <c r="F259" s="7">
        <v>30.0</v>
      </c>
      <c r="P259" s="7">
        <v>30.0</v>
      </c>
    </row>
    <row r="260">
      <c r="A260" s="5">
        <v>45441.48677886574</v>
      </c>
      <c r="B260" s="6">
        <v>45394.0</v>
      </c>
      <c r="C260" s="7" t="s">
        <v>20</v>
      </c>
      <c r="D260" s="7" t="s">
        <v>22</v>
      </c>
      <c r="E260" s="7" t="s">
        <v>29</v>
      </c>
      <c r="F260" s="7">
        <v>30.0</v>
      </c>
      <c r="I260" s="7">
        <v>15.0</v>
      </c>
      <c r="P260" s="7">
        <v>30.0</v>
      </c>
    </row>
    <row r="261">
      <c r="A261" s="5">
        <v>45441.48787503473</v>
      </c>
      <c r="B261" s="6">
        <v>45397.0</v>
      </c>
      <c r="C261" s="7" t="s">
        <v>20</v>
      </c>
      <c r="D261" s="7" t="s">
        <v>22</v>
      </c>
      <c r="E261" s="7" t="s">
        <v>32</v>
      </c>
      <c r="F261" s="7">
        <v>15.0</v>
      </c>
      <c r="P261" s="7">
        <v>15.0</v>
      </c>
    </row>
    <row r="262">
      <c r="A262" s="5">
        <v>45441.48857204861</v>
      </c>
      <c r="B262" s="6">
        <v>45397.0</v>
      </c>
      <c r="C262" s="7" t="s">
        <v>20</v>
      </c>
      <c r="D262" s="7" t="s">
        <v>22</v>
      </c>
      <c r="E262" s="7" t="s">
        <v>31</v>
      </c>
      <c r="F262" s="7">
        <v>15.0</v>
      </c>
      <c r="P262" s="7">
        <v>15.0</v>
      </c>
    </row>
    <row r="263">
      <c r="A263" s="5">
        <v>45442.50523332176</v>
      </c>
      <c r="B263" s="6">
        <v>45398.0</v>
      </c>
      <c r="C263" s="7" t="s">
        <v>20</v>
      </c>
      <c r="D263" s="7" t="s">
        <v>22</v>
      </c>
      <c r="E263" s="7" t="s">
        <v>27</v>
      </c>
      <c r="F263" s="7">
        <v>15.0</v>
      </c>
      <c r="P263" s="7">
        <v>15.0</v>
      </c>
    </row>
    <row r="264">
      <c r="A264" s="5">
        <v>45442.50732116898</v>
      </c>
      <c r="B264" s="6">
        <v>45400.0</v>
      </c>
      <c r="C264" s="7" t="s">
        <v>20</v>
      </c>
      <c r="D264" s="7" t="s">
        <v>22</v>
      </c>
      <c r="E264" s="7" t="s">
        <v>23</v>
      </c>
      <c r="F264" s="7">
        <v>15.0</v>
      </c>
    </row>
    <row r="265">
      <c r="A265" s="5">
        <v>45442.50852069445</v>
      </c>
      <c r="B265" s="6">
        <v>45407.0</v>
      </c>
      <c r="C265" s="7" t="s">
        <v>20</v>
      </c>
      <c r="D265" s="7" t="s">
        <v>21</v>
      </c>
      <c r="F265" s="7">
        <v>90.0</v>
      </c>
      <c r="I265" s="7">
        <v>30.0</v>
      </c>
      <c r="P265" s="7">
        <v>105.0</v>
      </c>
    </row>
    <row r="266">
      <c r="A266" s="5">
        <v>45442.50955474537</v>
      </c>
      <c r="B266" s="6">
        <v>45412.0</v>
      </c>
      <c r="C266" s="7" t="s">
        <v>20</v>
      </c>
      <c r="D266" s="7" t="s">
        <v>22</v>
      </c>
      <c r="E266" s="7" t="s">
        <v>32</v>
      </c>
      <c r="F266" s="7">
        <v>15.0</v>
      </c>
    </row>
    <row r="267">
      <c r="A267" s="5">
        <v>45442.510369675925</v>
      </c>
      <c r="B267" s="6">
        <v>45412.0</v>
      </c>
      <c r="C267" s="7" t="s">
        <v>20</v>
      </c>
      <c r="D267" s="7" t="s">
        <v>22</v>
      </c>
      <c r="E267" s="7" t="s">
        <v>23</v>
      </c>
      <c r="F267" s="7">
        <v>15.0</v>
      </c>
      <c r="I267" s="7">
        <v>15.0</v>
      </c>
    </row>
    <row r="268">
      <c r="A268" s="5">
        <v>45442.5110221412</v>
      </c>
      <c r="B268" s="6">
        <v>45412.0</v>
      </c>
      <c r="C268" s="7" t="s">
        <v>20</v>
      </c>
      <c r="D268" s="7" t="s">
        <v>22</v>
      </c>
      <c r="E268" s="7" t="s">
        <v>27</v>
      </c>
      <c r="F268" s="7">
        <v>30.0</v>
      </c>
      <c r="P268" s="7">
        <v>30.0</v>
      </c>
    </row>
    <row r="269">
      <c r="A269" s="5">
        <v>45442.515233576385</v>
      </c>
      <c r="B269" s="6">
        <v>45419.0</v>
      </c>
      <c r="C269" s="7" t="s">
        <v>20</v>
      </c>
      <c r="D269" s="7" t="s">
        <v>22</v>
      </c>
      <c r="E269" s="7" t="s">
        <v>33</v>
      </c>
      <c r="F269" s="7">
        <v>15.0</v>
      </c>
      <c r="P269" s="7">
        <v>15.0</v>
      </c>
    </row>
    <row r="270">
      <c r="A270" s="5">
        <v>45442.51576194444</v>
      </c>
      <c r="B270" s="6">
        <v>45419.0</v>
      </c>
      <c r="C270" s="7" t="s">
        <v>20</v>
      </c>
      <c r="D270" s="7" t="s">
        <v>22</v>
      </c>
      <c r="E270" s="7" t="s">
        <v>26</v>
      </c>
      <c r="F270" s="7">
        <v>15.0</v>
      </c>
      <c r="P270" s="7">
        <v>15.0</v>
      </c>
    </row>
    <row r="271">
      <c r="A271" s="5">
        <v>45442.516331481485</v>
      </c>
      <c r="B271" s="6">
        <v>45419.0</v>
      </c>
      <c r="C271" s="7" t="s">
        <v>20</v>
      </c>
      <c r="D271" s="7" t="s">
        <v>22</v>
      </c>
      <c r="E271" s="7" t="s">
        <v>23</v>
      </c>
      <c r="F271" s="7">
        <v>15.0</v>
      </c>
      <c r="P271" s="7">
        <v>15.0</v>
      </c>
    </row>
    <row r="272">
      <c r="A272" s="5">
        <v>45442.51672526621</v>
      </c>
      <c r="B272" s="6">
        <v>45421.0</v>
      </c>
      <c r="C272" s="7" t="s">
        <v>20</v>
      </c>
      <c r="D272" s="7" t="s">
        <v>22</v>
      </c>
      <c r="E272" s="7" t="s">
        <v>20</v>
      </c>
      <c r="F272" s="7">
        <v>35.0</v>
      </c>
      <c r="I272" s="7">
        <v>15.0</v>
      </c>
    </row>
    <row r="273">
      <c r="A273" s="5">
        <v>45442.51881872685</v>
      </c>
      <c r="B273" s="6">
        <v>45426.0</v>
      </c>
      <c r="C273" s="7" t="s">
        <v>20</v>
      </c>
      <c r="D273" s="7" t="s">
        <v>21</v>
      </c>
      <c r="F273" s="7">
        <v>60.0</v>
      </c>
      <c r="I273" s="7">
        <v>45.0</v>
      </c>
      <c r="J273" s="7">
        <v>60.0</v>
      </c>
      <c r="L273" s="7">
        <v>50.0</v>
      </c>
    </row>
    <row r="274">
      <c r="A274" s="5">
        <v>45448.463625752316</v>
      </c>
      <c r="B274" s="6">
        <v>45428.0</v>
      </c>
      <c r="C274" s="7" t="s">
        <v>20</v>
      </c>
      <c r="D274" s="7" t="s">
        <v>22</v>
      </c>
      <c r="E274" s="7" t="s">
        <v>29</v>
      </c>
      <c r="F274" s="7">
        <v>30.0</v>
      </c>
      <c r="L274" s="7">
        <v>10.0</v>
      </c>
      <c r="P274" s="7">
        <v>30.0</v>
      </c>
    </row>
    <row r="275">
      <c r="A275" s="5">
        <v>45448.4646730324</v>
      </c>
      <c r="B275" s="6">
        <v>45430.0</v>
      </c>
      <c r="C275" s="7" t="s">
        <v>20</v>
      </c>
      <c r="D275" s="7" t="s">
        <v>22</v>
      </c>
      <c r="E275" s="7" t="s">
        <v>32</v>
      </c>
      <c r="L275" s="7">
        <v>10.0</v>
      </c>
      <c r="P275" s="7">
        <v>15.0</v>
      </c>
    </row>
    <row r="276">
      <c r="A276" s="5">
        <v>45448.4651906713</v>
      </c>
      <c r="B276" s="6">
        <v>45430.0</v>
      </c>
      <c r="C276" s="7" t="s">
        <v>20</v>
      </c>
      <c r="D276" s="7" t="s">
        <v>22</v>
      </c>
      <c r="E276" s="7" t="s">
        <v>31</v>
      </c>
      <c r="F276" s="7">
        <v>15.0</v>
      </c>
    </row>
    <row r="277">
      <c r="A277" s="5">
        <v>45448.465705509254</v>
      </c>
      <c r="B277" s="6">
        <v>45432.0</v>
      </c>
      <c r="C277" s="7" t="s">
        <v>20</v>
      </c>
      <c r="D277" s="7" t="s">
        <v>22</v>
      </c>
      <c r="E277" s="7" t="s">
        <v>26</v>
      </c>
      <c r="F277" s="7">
        <v>15.0</v>
      </c>
      <c r="I277" s="7">
        <v>30.0</v>
      </c>
      <c r="P277" s="7">
        <v>45.0</v>
      </c>
    </row>
    <row r="278">
      <c r="A278" s="5">
        <v>45448.46616978009</v>
      </c>
      <c r="B278" s="6">
        <v>45434.0</v>
      </c>
      <c r="C278" s="7" t="s">
        <v>20</v>
      </c>
      <c r="D278" s="7" t="s">
        <v>22</v>
      </c>
      <c r="E278" s="7" t="s">
        <v>25</v>
      </c>
      <c r="P278" s="7">
        <v>15.0</v>
      </c>
    </row>
    <row r="279">
      <c r="A279" s="5">
        <v>45448.46674674768</v>
      </c>
      <c r="B279" s="6">
        <v>45434.0</v>
      </c>
      <c r="C279" s="7" t="s">
        <v>20</v>
      </c>
      <c r="D279" s="7" t="s">
        <v>22</v>
      </c>
      <c r="E279" s="7" t="s">
        <v>20</v>
      </c>
      <c r="J279" s="7">
        <v>60.0</v>
      </c>
      <c r="P279" s="7">
        <v>15.0</v>
      </c>
    </row>
    <row r="280">
      <c r="A280" s="5">
        <v>45448.46726238426</v>
      </c>
      <c r="B280" s="6">
        <v>45439.0</v>
      </c>
      <c r="C280" s="7" t="s">
        <v>20</v>
      </c>
      <c r="D280" s="7" t="s">
        <v>22</v>
      </c>
      <c r="E280" s="7" t="s">
        <v>23</v>
      </c>
      <c r="I280" s="7">
        <v>15.0</v>
      </c>
    </row>
    <row r="281">
      <c r="A281" s="5">
        <v>45448.46834082176</v>
      </c>
      <c r="B281" s="6">
        <v>45441.0</v>
      </c>
      <c r="C281" s="7" t="s">
        <v>20</v>
      </c>
      <c r="D281" s="7" t="s">
        <v>22</v>
      </c>
      <c r="E281" s="7" t="s">
        <v>27</v>
      </c>
      <c r="I281" s="7">
        <v>15.0</v>
      </c>
      <c r="P281" s="7">
        <v>30.0</v>
      </c>
    </row>
    <row r="282">
      <c r="A282" s="5">
        <v>45448.48472233796</v>
      </c>
      <c r="B282" s="6">
        <v>45442.0</v>
      </c>
      <c r="C282" s="7" t="s">
        <v>20</v>
      </c>
      <c r="D282" s="7" t="s">
        <v>21</v>
      </c>
      <c r="G282" s="7">
        <v>30.0</v>
      </c>
      <c r="H282" s="7">
        <v>30.0</v>
      </c>
      <c r="I282" s="7">
        <v>45.0</v>
      </c>
      <c r="K282" s="7">
        <v>45.0</v>
      </c>
      <c r="P282" s="7">
        <v>105.0</v>
      </c>
    </row>
    <row r="283">
      <c r="A283" s="5">
        <v>45448.485094062504</v>
      </c>
      <c r="B283" s="6">
        <v>45419.0</v>
      </c>
      <c r="C283" s="7" t="s">
        <v>20</v>
      </c>
      <c r="D283" s="7" t="s">
        <v>22</v>
      </c>
      <c r="E283" s="7" t="s">
        <v>32</v>
      </c>
      <c r="P283" s="7">
        <v>15.0</v>
      </c>
    </row>
    <row r="284">
      <c r="A284" s="5">
        <v>45448.48631664352</v>
      </c>
      <c r="B284" s="6">
        <v>45442.0</v>
      </c>
      <c r="C284" s="7" t="s">
        <v>20</v>
      </c>
      <c r="D284" s="7" t="s">
        <v>22</v>
      </c>
      <c r="E284" s="7" t="s">
        <v>26</v>
      </c>
      <c r="G284" s="7">
        <v>15.0</v>
      </c>
      <c r="H284" s="7">
        <v>15.0</v>
      </c>
      <c r="I284" s="7">
        <v>15.0</v>
      </c>
    </row>
    <row r="285">
      <c r="A285" s="5">
        <v>45448.487199571755</v>
      </c>
      <c r="B285" s="6">
        <v>45442.0</v>
      </c>
      <c r="C285" s="7" t="s">
        <v>20</v>
      </c>
      <c r="D285" s="7" t="s">
        <v>22</v>
      </c>
      <c r="E285" s="7" t="s">
        <v>31</v>
      </c>
      <c r="G285" s="7">
        <v>15.0</v>
      </c>
      <c r="H285" s="7">
        <v>15.0</v>
      </c>
    </row>
    <row r="286">
      <c r="A286" s="5">
        <v>45448.48873123842</v>
      </c>
      <c r="B286" s="6">
        <v>45448.0</v>
      </c>
      <c r="C286" s="7" t="s">
        <v>20</v>
      </c>
      <c r="D286" s="7" t="s">
        <v>22</v>
      </c>
      <c r="E286" s="7" t="s">
        <v>33</v>
      </c>
      <c r="I286" s="7">
        <v>15.0</v>
      </c>
      <c r="P286" s="7">
        <v>15.0</v>
      </c>
    </row>
    <row r="287">
      <c r="A287" s="5">
        <v>45448.489238449074</v>
      </c>
      <c r="B287" s="6">
        <v>45448.0</v>
      </c>
      <c r="C287" s="7" t="s">
        <v>20</v>
      </c>
      <c r="D287" s="7" t="s">
        <v>22</v>
      </c>
      <c r="E287" s="7" t="s">
        <v>29</v>
      </c>
      <c r="I287" s="7">
        <v>15.0</v>
      </c>
      <c r="P287" s="7">
        <v>30.0</v>
      </c>
    </row>
    <row r="288">
      <c r="A288" s="5">
        <v>45463.49202638889</v>
      </c>
      <c r="B288" s="6">
        <v>45451.0</v>
      </c>
      <c r="C288" s="7" t="s">
        <v>20</v>
      </c>
      <c r="D288" s="7" t="s">
        <v>22</v>
      </c>
      <c r="E288" s="7" t="s">
        <v>23</v>
      </c>
      <c r="I288" s="7">
        <v>15.0</v>
      </c>
      <c r="L288" s="7">
        <v>10.0</v>
      </c>
    </row>
    <row r="289">
      <c r="A289" s="5">
        <v>45463.49322462963</v>
      </c>
      <c r="B289" s="6">
        <v>45457.0</v>
      </c>
      <c r="C289" s="7" t="s">
        <v>20</v>
      </c>
      <c r="D289" s="7" t="s">
        <v>21</v>
      </c>
      <c r="F289" s="7">
        <v>60.0</v>
      </c>
      <c r="G289" s="7">
        <v>60.0</v>
      </c>
      <c r="H289" s="7">
        <v>60.0</v>
      </c>
      <c r="I289" s="7">
        <v>60.0</v>
      </c>
      <c r="J289" s="7">
        <v>60.0</v>
      </c>
      <c r="K289" s="7">
        <v>45.0</v>
      </c>
    </row>
    <row r="290">
      <c r="A290" s="5">
        <v>45463.494262824075</v>
      </c>
      <c r="B290" s="6">
        <v>45461.0</v>
      </c>
      <c r="C290" s="7" t="s">
        <v>20</v>
      </c>
      <c r="D290" s="7" t="s">
        <v>22</v>
      </c>
      <c r="E290" s="7" t="s">
        <v>26</v>
      </c>
      <c r="F290" s="7">
        <v>30.0</v>
      </c>
      <c r="H290" s="7">
        <v>15.0</v>
      </c>
      <c r="J290" s="7">
        <v>15.0</v>
      </c>
      <c r="K290" s="7">
        <v>15.0</v>
      </c>
    </row>
    <row r="291">
      <c r="A291" s="5">
        <v>45463.495232511574</v>
      </c>
      <c r="B291" s="6">
        <v>45461.0</v>
      </c>
      <c r="C291" s="7" t="s">
        <v>20</v>
      </c>
      <c r="D291" s="7" t="s">
        <v>22</v>
      </c>
      <c r="E291" s="7" t="s">
        <v>31</v>
      </c>
      <c r="F291" s="7">
        <v>15.0</v>
      </c>
      <c r="G291" s="7">
        <v>15.0</v>
      </c>
      <c r="H291" s="7">
        <v>15.0</v>
      </c>
      <c r="J291" s="7">
        <v>15.0</v>
      </c>
      <c r="K291" s="7">
        <v>15.0</v>
      </c>
    </row>
    <row r="292">
      <c r="A292" s="5">
        <v>45463.49611486111</v>
      </c>
      <c r="B292" s="6">
        <v>45461.0</v>
      </c>
      <c r="C292" s="7" t="s">
        <v>20</v>
      </c>
      <c r="D292" s="7" t="s">
        <v>22</v>
      </c>
      <c r="E292" s="7" t="s">
        <v>29</v>
      </c>
      <c r="G292" s="7">
        <v>30.0</v>
      </c>
      <c r="J292" s="7">
        <v>30.0</v>
      </c>
      <c r="K292" s="7">
        <v>15.0</v>
      </c>
    </row>
    <row r="293">
      <c r="A293" s="5">
        <v>45463.496612800926</v>
      </c>
      <c r="B293" s="6">
        <v>45462.0</v>
      </c>
      <c r="C293" s="7" t="s">
        <v>20</v>
      </c>
      <c r="D293" s="7" t="s">
        <v>22</v>
      </c>
      <c r="E293" s="7" t="s">
        <v>25</v>
      </c>
      <c r="F293" s="7">
        <v>15.0</v>
      </c>
    </row>
    <row r="294">
      <c r="A294" s="5">
        <v>45463.49701561342</v>
      </c>
      <c r="B294" s="6">
        <v>45463.0</v>
      </c>
      <c r="C294" s="7" t="s">
        <v>20</v>
      </c>
      <c r="D294" s="7" t="s">
        <v>22</v>
      </c>
      <c r="E294" s="7" t="s">
        <v>32</v>
      </c>
      <c r="G294" s="7">
        <v>15.0</v>
      </c>
      <c r="H294" s="7">
        <v>15.0</v>
      </c>
      <c r="P294" s="7">
        <v>15.0</v>
      </c>
    </row>
    <row r="295">
      <c r="A295" s="5">
        <v>45463.500423969905</v>
      </c>
      <c r="B295" s="6">
        <v>45448.0</v>
      </c>
      <c r="C295" s="7" t="s">
        <v>20</v>
      </c>
      <c r="D295" s="7" t="s">
        <v>22</v>
      </c>
      <c r="E295" s="7" t="s">
        <v>20</v>
      </c>
      <c r="K295" s="7">
        <v>45.0</v>
      </c>
    </row>
    <row r="296">
      <c r="A296" s="5">
        <v>45475.416632106484</v>
      </c>
      <c r="B296" s="6">
        <v>45464.0</v>
      </c>
      <c r="C296" s="7" t="s">
        <v>20</v>
      </c>
      <c r="D296" s="7" t="s">
        <v>22</v>
      </c>
      <c r="E296" s="7" t="s">
        <v>23</v>
      </c>
      <c r="H296" s="7">
        <v>15.0</v>
      </c>
      <c r="I296" s="7">
        <v>15.0</v>
      </c>
    </row>
    <row r="297">
      <c r="A297" s="5">
        <v>45475.41942917824</v>
      </c>
      <c r="B297" s="6">
        <v>45474.0</v>
      </c>
      <c r="C297" s="7" t="s">
        <v>20</v>
      </c>
      <c r="D297" s="7" t="s">
        <v>21</v>
      </c>
      <c r="G297" s="7">
        <v>60.0</v>
      </c>
      <c r="I297" s="7">
        <v>60.0</v>
      </c>
    </row>
    <row r="298">
      <c r="A298" s="5">
        <v>45475.489565868054</v>
      </c>
      <c r="B298" s="6">
        <v>45475.0</v>
      </c>
      <c r="C298" s="7" t="s">
        <v>20</v>
      </c>
      <c r="D298" s="7" t="s">
        <v>22</v>
      </c>
      <c r="E298" s="7" t="s">
        <v>29</v>
      </c>
      <c r="G298" s="7">
        <v>30.0</v>
      </c>
      <c r="I298" s="7">
        <v>30.0</v>
      </c>
      <c r="P298" s="7">
        <v>15.0</v>
      </c>
    </row>
    <row r="299">
      <c r="A299" s="5">
        <v>45500.4380852662</v>
      </c>
      <c r="B299" s="6">
        <v>45477.0</v>
      </c>
      <c r="C299" s="7" t="s">
        <v>20</v>
      </c>
      <c r="D299" s="7" t="s">
        <v>22</v>
      </c>
      <c r="E299" s="7" t="s">
        <v>27</v>
      </c>
      <c r="G299" s="7">
        <v>30.0</v>
      </c>
      <c r="P299" s="7">
        <v>15.0</v>
      </c>
    </row>
    <row r="300">
      <c r="A300" s="5">
        <v>45500.44060028935</v>
      </c>
      <c r="B300" s="6">
        <v>45481.0</v>
      </c>
      <c r="C300" s="7" t="s">
        <v>20</v>
      </c>
      <c r="D300" s="7" t="s">
        <v>22</v>
      </c>
      <c r="E300" s="7" t="s">
        <v>23</v>
      </c>
      <c r="P300" s="7">
        <v>15.0</v>
      </c>
    </row>
    <row r="301">
      <c r="A301" s="5">
        <v>45500.441066203704</v>
      </c>
      <c r="B301" s="6">
        <v>45482.0</v>
      </c>
      <c r="C301" s="7" t="s">
        <v>20</v>
      </c>
      <c r="D301" s="7" t="s">
        <v>22</v>
      </c>
      <c r="E301" s="7" t="s">
        <v>20</v>
      </c>
      <c r="I301" s="7">
        <v>15.0</v>
      </c>
      <c r="P301" s="7">
        <v>15.0</v>
      </c>
    </row>
    <row r="302">
      <c r="A302" s="5">
        <v>45500.441526724535</v>
      </c>
      <c r="B302" s="6">
        <v>45483.0</v>
      </c>
      <c r="C302" s="7" t="s">
        <v>20</v>
      </c>
      <c r="D302" s="7" t="s">
        <v>22</v>
      </c>
      <c r="E302" s="7" t="s">
        <v>31</v>
      </c>
      <c r="P302" s="7">
        <v>15.0</v>
      </c>
    </row>
    <row r="303">
      <c r="A303" s="5">
        <v>45500.441903865736</v>
      </c>
      <c r="B303" s="6">
        <v>45484.0</v>
      </c>
      <c r="C303" s="7" t="s">
        <v>20</v>
      </c>
      <c r="D303" s="7" t="s">
        <v>22</v>
      </c>
      <c r="E303" s="7" t="s">
        <v>32</v>
      </c>
      <c r="P303" s="7">
        <v>15.0</v>
      </c>
    </row>
    <row r="304">
      <c r="A304" s="5">
        <v>45500.44321585648</v>
      </c>
      <c r="B304" s="6">
        <v>45486.0</v>
      </c>
      <c r="C304" s="7" t="s">
        <v>20</v>
      </c>
      <c r="D304" s="7" t="s">
        <v>22</v>
      </c>
      <c r="E304" s="7" t="s">
        <v>23</v>
      </c>
      <c r="I304" s="7">
        <v>30.0</v>
      </c>
    </row>
    <row r="305">
      <c r="A305" s="5">
        <v>45500.443538472224</v>
      </c>
      <c r="B305" s="6">
        <v>45492.0</v>
      </c>
      <c r="C305" s="7" t="s">
        <v>20</v>
      </c>
      <c r="D305" s="7" t="s">
        <v>22</v>
      </c>
      <c r="E305" s="7" t="s">
        <v>33</v>
      </c>
      <c r="I305" s="7">
        <v>15.0</v>
      </c>
    </row>
    <row r="306">
      <c r="A306" s="5">
        <v>45500.443818472224</v>
      </c>
      <c r="B306" s="6">
        <v>45495.0</v>
      </c>
      <c r="C306" s="7" t="s">
        <v>20</v>
      </c>
      <c r="D306" s="7" t="s">
        <v>22</v>
      </c>
      <c r="E306" s="7" t="s">
        <v>20</v>
      </c>
      <c r="I306" s="7">
        <v>15.0</v>
      </c>
    </row>
    <row r="307">
      <c r="A307" s="5">
        <v>45512.403922453705</v>
      </c>
      <c r="B307" s="6">
        <v>45502.0</v>
      </c>
      <c r="C307" s="7" t="s">
        <v>20</v>
      </c>
      <c r="D307" s="7" t="s">
        <v>21</v>
      </c>
      <c r="I307" s="7">
        <v>60.0</v>
      </c>
      <c r="P307" s="7">
        <v>105.0</v>
      </c>
      <c r="Q307" s="7">
        <v>60.0</v>
      </c>
    </row>
    <row r="308">
      <c r="A308" s="5">
        <v>45512.404790671295</v>
      </c>
      <c r="B308" s="6">
        <v>45502.0</v>
      </c>
      <c r="C308" s="7" t="s">
        <v>20</v>
      </c>
      <c r="D308" s="7" t="s">
        <v>22</v>
      </c>
      <c r="E308" s="7" t="s">
        <v>23</v>
      </c>
      <c r="I308" s="7">
        <v>15.0</v>
      </c>
      <c r="P308" s="7">
        <v>30.0</v>
      </c>
    </row>
    <row r="309">
      <c r="A309" s="5">
        <v>45512.40539884259</v>
      </c>
      <c r="B309" s="6">
        <v>45503.0</v>
      </c>
      <c r="C309" s="7" t="s">
        <v>20</v>
      </c>
      <c r="D309" s="7" t="s">
        <v>22</v>
      </c>
      <c r="E309" s="7" t="s">
        <v>27</v>
      </c>
      <c r="I309" s="7">
        <v>15.0</v>
      </c>
      <c r="P309" s="7">
        <v>15.0</v>
      </c>
      <c r="Q309" s="7">
        <v>15.0</v>
      </c>
    </row>
    <row r="310">
      <c r="A310" s="5">
        <v>45512.40603107639</v>
      </c>
      <c r="B310" s="6">
        <v>45503.0</v>
      </c>
      <c r="C310" s="7" t="s">
        <v>20</v>
      </c>
      <c r="D310" s="7" t="s">
        <v>22</v>
      </c>
      <c r="E310" s="7" t="s">
        <v>33</v>
      </c>
      <c r="P310" s="7">
        <v>15.0</v>
      </c>
      <c r="Q310" s="7">
        <v>15.0</v>
      </c>
    </row>
    <row r="311">
      <c r="A311" s="5">
        <v>45512.40650486111</v>
      </c>
      <c r="B311" s="6">
        <v>45503.0</v>
      </c>
      <c r="C311" s="7" t="s">
        <v>20</v>
      </c>
      <c r="D311" s="7" t="s">
        <v>22</v>
      </c>
      <c r="E311" s="7" t="s">
        <v>26</v>
      </c>
      <c r="I311" s="7">
        <v>30.0</v>
      </c>
    </row>
    <row r="312">
      <c r="A312" s="5">
        <v>45512.40686737269</v>
      </c>
      <c r="B312" s="6">
        <v>45506.0</v>
      </c>
      <c r="C312" s="7" t="s">
        <v>20</v>
      </c>
      <c r="D312" s="7" t="s">
        <v>22</v>
      </c>
      <c r="E312" s="7" t="s">
        <v>29</v>
      </c>
      <c r="P312" s="7">
        <v>30.0</v>
      </c>
    </row>
    <row r="313">
      <c r="A313" s="5">
        <v>45512.40723113426</v>
      </c>
      <c r="B313" s="6">
        <v>45506.0</v>
      </c>
      <c r="C313" s="7" t="s">
        <v>20</v>
      </c>
      <c r="D313" s="7" t="s">
        <v>22</v>
      </c>
      <c r="E313" s="7" t="s">
        <v>20</v>
      </c>
      <c r="P313" s="7">
        <v>15.0</v>
      </c>
    </row>
    <row r="314">
      <c r="A314" s="5">
        <v>45512.407448067126</v>
      </c>
      <c r="B314" s="6">
        <v>45511.0</v>
      </c>
      <c r="C314" s="7" t="s">
        <v>20</v>
      </c>
      <c r="D314" s="7" t="s">
        <v>22</v>
      </c>
      <c r="E314" s="7" t="s">
        <v>26</v>
      </c>
      <c r="Q314" s="7">
        <v>15.0</v>
      </c>
    </row>
    <row r="315">
      <c r="A315" s="5">
        <v>45512.40782179398</v>
      </c>
      <c r="B315" s="6">
        <v>45511.0</v>
      </c>
      <c r="C315" s="7" t="s">
        <v>20</v>
      </c>
      <c r="D315" s="7" t="s">
        <v>22</v>
      </c>
      <c r="E315" s="7" t="s">
        <v>32</v>
      </c>
      <c r="Q315" s="7">
        <v>15.0</v>
      </c>
    </row>
    <row r="316">
      <c r="A316" s="5">
        <v>45524.49939549768</v>
      </c>
      <c r="B316" s="6">
        <v>45524.0</v>
      </c>
      <c r="C316" s="7" t="s">
        <v>20</v>
      </c>
      <c r="D316" s="7" t="s">
        <v>22</v>
      </c>
      <c r="E316" s="7" t="s">
        <v>23</v>
      </c>
      <c r="I316" s="7">
        <v>30.0</v>
      </c>
    </row>
    <row r="317">
      <c r="A317" s="5">
        <v>45526.54020959491</v>
      </c>
      <c r="B317" s="6">
        <v>45526.0</v>
      </c>
      <c r="C317" s="7" t="s">
        <v>20</v>
      </c>
      <c r="D317" s="7" t="s">
        <v>22</v>
      </c>
      <c r="E317" s="7" t="s">
        <v>24</v>
      </c>
      <c r="I317" s="7">
        <v>15.0</v>
      </c>
    </row>
    <row r="318">
      <c r="A318" s="5">
        <v>45531.52016302083</v>
      </c>
      <c r="B318" s="6">
        <v>45531.0</v>
      </c>
      <c r="C318" s="7" t="s">
        <v>20</v>
      </c>
      <c r="D318" s="7" t="s">
        <v>21</v>
      </c>
      <c r="I318" s="7">
        <v>120.0</v>
      </c>
      <c r="L318" s="7">
        <v>10.0</v>
      </c>
      <c r="P318" s="7">
        <v>90.0</v>
      </c>
      <c r="Q318" s="7">
        <v>45.0</v>
      </c>
    </row>
    <row r="319">
      <c r="A319" s="5">
        <v>45532.4927546875</v>
      </c>
      <c r="B319" s="6">
        <v>45532.0</v>
      </c>
      <c r="C319" s="7" t="s">
        <v>20</v>
      </c>
      <c r="D319" s="7" t="s">
        <v>22</v>
      </c>
      <c r="E319" s="7" t="s">
        <v>26</v>
      </c>
      <c r="I319" s="7">
        <v>45.0</v>
      </c>
      <c r="Q319" s="7">
        <v>30.0</v>
      </c>
    </row>
    <row r="320">
      <c r="A320" s="5">
        <v>45532.49309741898</v>
      </c>
      <c r="B320" s="6">
        <v>45532.0</v>
      </c>
      <c r="C320" s="7" t="s">
        <v>20</v>
      </c>
      <c r="D320" s="7" t="s">
        <v>22</v>
      </c>
      <c r="E320" s="7" t="s">
        <v>20</v>
      </c>
      <c r="L320" s="7">
        <v>10.0</v>
      </c>
    </row>
    <row r="321">
      <c r="A321" s="5">
        <v>45532.493554016204</v>
      </c>
      <c r="B321" s="6">
        <v>45532.0</v>
      </c>
      <c r="C321" s="7" t="s">
        <v>20</v>
      </c>
      <c r="D321" s="7" t="s">
        <v>22</v>
      </c>
      <c r="E321" s="7" t="s">
        <v>24</v>
      </c>
      <c r="I321" s="7">
        <v>30.0</v>
      </c>
      <c r="P321" s="7">
        <v>30.0</v>
      </c>
    </row>
    <row r="322">
      <c r="A322" s="5">
        <v>45532.49401351852</v>
      </c>
      <c r="B322" s="6">
        <v>45532.0</v>
      </c>
      <c r="C322" s="7" t="s">
        <v>20</v>
      </c>
      <c r="D322" s="7" t="s">
        <v>22</v>
      </c>
      <c r="E322" s="7" t="s">
        <v>30</v>
      </c>
      <c r="I322" s="7">
        <v>15.0</v>
      </c>
      <c r="P322" s="7">
        <v>15.0</v>
      </c>
    </row>
    <row r="323">
      <c r="A323" s="5">
        <v>45532.49437119213</v>
      </c>
      <c r="B323" s="6">
        <v>45532.0</v>
      </c>
      <c r="C323" s="7" t="s">
        <v>20</v>
      </c>
      <c r="D323" s="7" t="s">
        <v>22</v>
      </c>
      <c r="E323" s="7" t="s">
        <v>23</v>
      </c>
      <c r="I323" s="7">
        <v>15.0</v>
      </c>
      <c r="P323" s="7">
        <v>15.0</v>
      </c>
    </row>
    <row r="324">
      <c r="A324" s="5">
        <v>45532.522964895834</v>
      </c>
      <c r="B324" s="6">
        <v>45532.0</v>
      </c>
      <c r="C324" s="7" t="s">
        <v>20</v>
      </c>
      <c r="D324" s="7" t="s">
        <v>22</v>
      </c>
      <c r="E324" s="7" t="s">
        <v>20</v>
      </c>
      <c r="I324" s="7">
        <v>15.0</v>
      </c>
      <c r="P324" s="7">
        <v>15.0</v>
      </c>
    </row>
    <row r="325">
      <c r="A325" s="5">
        <v>45533.447277534724</v>
      </c>
      <c r="B325" s="6">
        <v>45533.0</v>
      </c>
      <c r="C325" s="7" t="s">
        <v>20</v>
      </c>
      <c r="D325" s="7" t="s">
        <v>22</v>
      </c>
      <c r="E325" s="7" t="s">
        <v>32</v>
      </c>
      <c r="L325" s="7">
        <v>10.0</v>
      </c>
      <c r="Q325" s="7">
        <v>15.0</v>
      </c>
    </row>
    <row r="326">
      <c r="A326" s="5">
        <v>45549.50354515047</v>
      </c>
      <c r="B326" s="6">
        <v>45549.0</v>
      </c>
      <c r="C326" s="7" t="s">
        <v>20</v>
      </c>
      <c r="D326" s="7" t="s">
        <v>22</v>
      </c>
      <c r="E326" s="7" t="s">
        <v>29</v>
      </c>
      <c r="P326" s="7">
        <v>15.0</v>
      </c>
    </row>
    <row r="327">
      <c r="A327" s="5">
        <v>45549.50625564815</v>
      </c>
      <c r="B327" s="6">
        <v>45549.0</v>
      </c>
      <c r="C327" s="7" t="s">
        <v>20</v>
      </c>
      <c r="D327" s="7" t="s">
        <v>22</v>
      </c>
      <c r="E327" s="7" t="s">
        <v>32</v>
      </c>
      <c r="H327" s="7">
        <v>15.0</v>
      </c>
      <c r="I327" s="7">
        <v>15.0</v>
      </c>
      <c r="L327" s="7">
        <v>10.0</v>
      </c>
      <c r="P327" s="7">
        <v>30.0</v>
      </c>
    </row>
    <row r="328">
      <c r="A328" s="5">
        <v>45549.50696273148</v>
      </c>
      <c r="B328" s="6">
        <v>45549.0</v>
      </c>
      <c r="C328" s="7" t="s">
        <v>20</v>
      </c>
      <c r="D328" s="7" t="s">
        <v>22</v>
      </c>
      <c r="E328" s="7" t="s">
        <v>31</v>
      </c>
      <c r="H328" s="7">
        <v>15.0</v>
      </c>
      <c r="L328" s="7">
        <v>10.0</v>
      </c>
      <c r="P328" s="7">
        <v>15.0</v>
      </c>
      <c r="Q328" s="7">
        <v>15.0</v>
      </c>
    </row>
    <row r="329">
      <c r="A329" s="5">
        <v>45549.5076912963</v>
      </c>
      <c r="B329" s="6">
        <v>45549.0</v>
      </c>
      <c r="C329" s="7" t="s">
        <v>20</v>
      </c>
      <c r="D329" s="7" t="s">
        <v>22</v>
      </c>
      <c r="E329" s="7" t="s">
        <v>26</v>
      </c>
      <c r="H329" s="7">
        <v>15.0</v>
      </c>
      <c r="I329" s="7">
        <v>45.0</v>
      </c>
      <c r="L329" s="7">
        <v>10.0</v>
      </c>
      <c r="P329" s="7">
        <v>15.0</v>
      </c>
    </row>
    <row r="330">
      <c r="A330" s="5">
        <v>45549.50821385416</v>
      </c>
      <c r="B330" s="6">
        <v>45549.0</v>
      </c>
      <c r="C330" s="7" t="s">
        <v>20</v>
      </c>
      <c r="D330" s="7" t="s">
        <v>22</v>
      </c>
      <c r="E330" s="7" t="s">
        <v>23</v>
      </c>
      <c r="I330" s="7">
        <v>30.0</v>
      </c>
      <c r="L330" s="7">
        <v>10.0</v>
      </c>
      <c r="P330" s="7">
        <v>30.0</v>
      </c>
    </row>
    <row r="331">
      <c r="A331" s="5">
        <v>45549.50877084491</v>
      </c>
      <c r="B331" s="6">
        <v>45549.0</v>
      </c>
      <c r="C331" s="7" t="s">
        <v>20</v>
      </c>
      <c r="D331" s="7" t="s">
        <v>22</v>
      </c>
      <c r="E331" s="7" t="s">
        <v>29</v>
      </c>
      <c r="I331" s="7">
        <v>30.0</v>
      </c>
      <c r="P331" s="7">
        <v>45.0</v>
      </c>
    </row>
    <row r="332">
      <c r="A332" s="5">
        <v>45549.50911142361</v>
      </c>
      <c r="B332" s="6">
        <v>45549.0</v>
      </c>
      <c r="C332" s="7" t="s">
        <v>20</v>
      </c>
      <c r="D332" s="7" t="s">
        <v>22</v>
      </c>
      <c r="E332" s="7" t="s">
        <v>20</v>
      </c>
      <c r="F332" s="7">
        <v>15.0</v>
      </c>
      <c r="P332" s="7">
        <v>15.0</v>
      </c>
    </row>
    <row r="333">
      <c r="A333" s="5">
        <v>45594.39948710648</v>
      </c>
      <c r="B333" s="6">
        <v>45394.0</v>
      </c>
      <c r="C333" s="7" t="s">
        <v>34</v>
      </c>
      <c r="D333" s="7" t="s">
        <v>21</v>
      </c>
      <c r="F333" s="7">
        <v>30.0</v>
      </c>
      <c r="P333" s="7">
        <v>30.0</v>
      </c>
    </row>
    <row r="334">
      <c r="A334" s="5">
        <v>45594.40169844907</v>
      </c>
      <c r="B334" s="6">
        <v>45407.0</v>
      </c>
      <c r="C334" s="7" t="s">
        <v>34</v>
      </c>
      <c r="D334" s="7" t="s">
        <v>21</v>
      </c>
      <c r="F334" s="7">
        <v>30.0</v>
      </c>
      <c r="I334" s="7">
        <v>15.0</v>
      </c>
      <c r="P334" s="7">
        <v>30.0</v>
      </c>
      <c r="Q334" s="7">
        <v>15.0</v>
      </c>
    </row>
    <row r="335">
      <c r="A335" s="5">
        <v>45594.409254756945</v>
      </c>
      <c r="B335" s="6">
        <v>45406.0</v>
      </c>
      <c r="C335" s="7" t="s">
        <v>34</v>
      </c>
      <c r="D335" s="7" t="s">
        <v>22</v>
      </c>
      <c r="E335" s="7" t="s">
        <v>35</v>
      </c>
      <c r="F335" s="7">
        <v>15.0</v>
      </c>
      <c r="I335" s="7">
        <v>15.0</v>
      </c>
      <c r="P335" s="7">
        <v>15.0</v>
      </c>
      <c r="Q335" s="7">
        <v>15.0</v>
      </c>
    </row>
    <row r="336">
      <c r="A336" s="5">
        <v>45594.410384560186</v>
      </c>
      <c r="B336" s="6">
        <v>45406.0</v>
      </c>
      <c r="C336" s="7" t="s">
        <v>34</v>
      </c>
      <c r="D336" s="7" t="s">
        <v>22</v>
      </c>
      <c r="E336" s="7" t="s">
        <v>36</v>
      </c>
      <c r="F336" s="7">
        <v>15.0</v>
      </c>
      <c r="P336" s="7">
        <v>15.0</v>
      </c>
    </row>
    <row r="337">
      <c r="A337" s="5">
        <v>45594.4140896412</v>
      </c>
      <c r="B337" s="6">
        <v>45426.0</v>
      </c>
      <c r="C337" s="7" t="s">
        <v>34</v>
      </c>
      <c r="D337" s="7" t="s">
        <v>21</v>
      </c>
      <c r="F337" s="7">
        <v>15.0</v>
      </c>
      <c r="J337" s="7">
        <v>45.0</v>
      </c>
      <c r="P337" s="7">
        <v>30.0</v>
      </c>
      <c r="Q337" s="7">
        <v>45.0</v>
      </c>
    </row>
    <row r="338">
      <c r="A338" s="5">
        <v>45594.41528543981</v>
      </c>
      <c r="B338" s="6">
        <v>45429.0</v>
      </c>
      <c r="C338" s="7" t="s">
        <v>34</v>
      </c>
      <c r="D338" s="7" t="s">
        <v>22</v>
      </c>
      <c r="E338" s="7" t="s">
        <v>35</v>
      </c>
      <c r="J338" s="7">
        <v>30.0</v>
      </c>
    </row>
    <row r="339">
      <c r="A339" s="5">
        <v>45594.416113831016</v>
      </c>
      <c r="B339" s="6">
        <v>45428.0</v>
      </c>
      <c r="C339" s="7" t="s">
        <v>34</v>
      </c>
      <c r="D339" s="7" t="s">
        <v>22</v>
      </c>
      <c r="E339" s="7" t="s">
        <v>36</v>
      </c>
      <c r="Q339" s="7">
        <v>45.0</v>
      </c>
    </row>
    <row r="340">
      <c r="A340" s="5">
        <v>45594.42030932871</v>
      </c>
      <c r="B340" s="6">
        <v>45416.0</v>
      </c>
      <c r="C340" s="7" t="s">
        <v>34</v>
      </c>
      <c r="D340" s="7" t="s">
        <v>22</v>
      </c>
      <c r="E340" s="7" t="s">
        <v>37</v>
      </c>
      <c r="F340" s="7">
        <v>15.0</v>
      </c>
      <c r="P340" s="7">
        <v>15.0</v>
      </c>
    </row>
    <row r="341">
      <c r="A341" s="5">
        <v>45594.42081087963</v>
      </c>
      <c r="B341" s="6">
        <v>45426.0</v>
      </c>
      <c r="C341" s="7" t="s">
        <v>34</v>
      </c>
      <c r="D341" s="7" t="s">
        <v>22</v>
      </c>
      <c r="E341" s="7" t="s">
        <v>37</v>
      </c>
      <c r="F341" s="7">
        <v>15.0</v>
      </c>
      <c r="P341" s="7">
        <v>15.0</v>
      </c>
    </row>
    <row r="342">
      <c r="A342" s="5">
        <v>45594.42232675926</v>
      </c>
      <c r="B342" s="6">
        <v>45442.0</v>
      </c>
      <c r="C342" s="7" t="s">
        <v>34</v>
      </c>
      <c r="D342" s="7" t="s">
        <v>21</v>
      </c>
      <c r="J342" s="7">
        <v>45.0</v>
      </c>
      <c r="P342" s="7">
        <v>30.0</v>
      </c>
    </row>
    <row r="343">
      <c r="A343" s="5">
        <v>45594.42336321759</v>
      </c>
      <c r="B343" s="6">
        <v>45457.0</v>
      </c>
      <c r="C343" s="7" t="s">
        <v>34</v>
      </c>
      <c r="D343" s="7" t="s">
        <v>21</v>
      </c>
      <c r="I343" s="7">
        <v>15.0</v>
      </c>
      <c r="J343" s="7">
        <v>45.0</v>
      </c>
      <c r="P343" s="7">
        <v>30.0</v>
      </c>
    </row>
    <row r="344">
      <c r="A344" s="5">
        <v>45594.42676625</v>
      </c>
      <c r="B344" s="6">
        <v>45458.0</v>
      </c>
      <c r="C344" s="7" t="s">
        <v>34</v>
      </c>
      <c r="D344" s="7" t="s">
        <v>22</v>
      </c>
      <c r="E344" s="7" t="s">
        <v>36</v>
      </c>
      <c r="J344" s="7">
        <v>60.0</v>
      </c>
    </row>
    <row r="345">
      <c r="A345" s="5">
        <v>45594.42926664352</v>
      </c>
      <c r="B345" s="6">
        <v>45458.0</v>
      </c>
      <c r="C345" s="7" t="s">
        <v>34</v>
      </c>
      <c r="D345" s="7" t="s">
        <v>22</v>
      </c>
      <c r="E345" s="7" t="s">
        <v>35</v>
      </c>
      <c r="I345" s="7">
        <v>15.0</v>
      </c>
      <c r="J345" s="7">
        <v>30.0</v>
      </c>
      <c r="P345" s="7">
        <v>15.0</v>
      </c>
    </row>
    <row r="346">
      <c r="A346" s="5">
        <v>45594.43017990741</v>
      </c>
      <c r="B346" s="6">
        <v>45474.0</v>
      </c>
      <c r="C346" s="7" t="s">
        <v>34</v>
      </c>
      <c r="D346" s="7" t="s">
        <v>21</v>
      </c>
      <c r="G346" s="7">
        <v>30.0</v>
      </c>
      <c r="P346" s="7">
        <v>45.0</v>
      </c>
    </row>
    <row r="347">
      <c r="A347" s="5">
        <v>45594.43085956019</v>
      </c>
      <c r="B347" s="6">
        <v>45483.0</v>
      </c>
      <c r="C347" s="7" t="s">
        <v>34</v>
      </c>
      <c r="D347" s="7" t="s">
        <v>21</v>
      </c>
      <c r="G347" s="7">
        <v>30.0</v>
      </c>
      <c r="I347" s="7">
        <v>30.0</v>
      </c>
      <c r="P347" s="7">
        <v>30.0</v>
      </c>
    </row>
    <row r="348">
      <c r="A348" s="5">
        <v>45594.43188853009</v>
      </c>
      <c r="B348" s="6">
        <v>45477.0</v>
      </c>
      <c r="C348" s="7" t="s">
        <v>34</v>
      </c>
      <c r="D348" s="7" t="s">
        <v>22</v>
      </c>
      <c r="E348" s="7" t="s">
        <v>35</v>
      </c>
      <c r="G348" s="7">
        <v>15.0</v>
      </c>
      <c r="P348" s="7">
        <v>15.0</v>
      </c>
    </row>
    <row r="349">
      <c r="A349" s="5">
        <v>45594.43567505787</v>
      </c>
      <c r="B349" s="6">
        <v>45471.0</v>
      </c>
      <c r="C349" s="7" t="s">
        <v>34</v>
      </c>
      <c r="D349" s="7" t="s">
        <v>22</v>
      </c>
      <c r="E349" s="7" t="s">
        <v>36</v>
      </c>
      <c r="P349" s="7">
        <v>15.0</v>
      </c>
    </row>
    <row r="350">
      <c r="A350" s="5">
        <v>45594.43934895833</v>
      </c>
      <c r="B350" s="6">
        <v>45488.0</v>
      </c>
      <c r="C350" s="7" t="s">
        <v>34</v>
      </c>
      <c r="D350" s="7" t="s">
        <v>22</v>
      </c>
      <c r="E350" s="7" t="s">
        <v>37</v>
      </c>
      <c r="I350" s="7">
        <v>15.0</v>
      </c>
      <c r="P350" s="7">
        <v>15.0</v>
      </c>
    </row>
    <row r="351">
      <c r="A351" s="5">
        <v>45594.44096604167</v>
      </c>
      <c r="B351" s="6">
        <v>45502.0</v>
      </c>
      <c r="C351" s="7" t="s">
        <v>34</v>
      </c>
      <c r="D351" s="7" t="s">
        <v>21</v>
      </c>
      <c r="I351" s="7">
        <v>45.0</v>
      </c>
      <c r="L351" s="7">
        <v>10.0</v>
      </c>
      <c r="P351" s="7">
        <v>45.0</v>
      </c>
      <c r="Q351" s="7">
        <v>30.0</v>
      </c>
    </row>
    <row r="352">
      <c r="A352" s="5">
        <v>45594.44168304398</v>
      </c>
      <c r="B352" s="6">
        <v>45517.0</v>
      </c>
      <c r="C352" s="7" t="s">
        <v>34</v>
      </c>
      <c r="D352" s="7" t="s">
        <v>21</v>
      </c>
      <c r="F352" s="7">
        <v>60.0</v>
      </c>
      <c r="I352" s="7">
        <v>60.0</v>
      </c>
      <c r="P352" s="7">
        <v>60.0</v>
      </c>
    </row>
    <row r="353">
      <c r="A353" s="5">
        <v>45594.44286149305</v>
      </c>
      <c r="B353" s="6">
        <v>45509.0</v>
      </c>
      <c r="C353" s="7" t="s">
        <v>34</v>
      </c>
      <c r="D353" s="7" t="s">
        <v>22</v>
      </c>
      <c r="E353" s="7" t="s">
        <v>38</v>
      </c>
      <c r="G353" s="7">
        <v>15.0</v>
      </c>
      <c r="I353" s="7">
        <v>15.0</v>
      </c>
      <c r="P353" s="7">
        <v>30.0</v>
      </c>
    </row>
    <row r="354">
      <c r="A354" s="5">
        <v>45594.44346686343</v>
      </c>
      <c r="B354" s="6">
        <v>45518.0</v>
      </c>
      <c r="C354" s="7" t="s">
        <v>34</v>
      </c>
      <c r="D354" s="7" t="s">
        <v>22</v>
      </c>
      <c r="E354" s="7" t="s">
        <v>38</v>
      </c>
      <c r="F354" s="7">
        <v>15.0</v>
      </c>
      <c r="P354" s="7">
        <v>15.0</v>
      </c>
    </row>
    <row r="355">
      <c r="A355" s="5">
        <v>45594.44531084491</v>
      </c>
      <c r="B355" s="6">
        <v>45502.0</v>
      </c>
      <c r="C355" s="7" t="s">
        <v>34</v>
      </c>
      <c r="D355" s="7" t="s">
        <v>22</v>
      </c>
      <c r="E355" s="7" t="s">
        <v>37</v>
      </c>
      <c r="I355" s="7">
        <v>15.0</v>
      </c>
      <c r="P355" s="7">
        <v>15.0</v>
      </c>
    </row>
    <row r="356">
      <c r="A356" s="5">
        <v>45594.44584645833</v>
      </c>
      <c r="B356" s="6">
        <v>45524.0</v>
      </c>
      <c r="C356" s="7" t="s">
        <v>34</v>
      </c>
      <c r="D356" s="7" t="s">
        <v>22</v>
      </c>
      <c r="E356" s="7" t="s">
        <v>37</v>
      </c>
      <c r="P356" s="7">
        <v>30.0</v>
      </c>
    </row>
    <row r="357">
      <c r="A357" s="5">
        <v>45594.446906006946</v>
      </c>
      <c r="B357" s="6">
        <v>45502.0</v>
      </c>
      <c r="C357" s="7" t="s">
        <v>34</v>
      </c>
      <c r="D357" s="7" t="s">
        <v>22</v>
      </c>
      <c r="E357" s="7" t="s">
        <v>36</v>
      </c>
      <c r="G357" s="7">
        <v>15.0</v>
      </c>
      <c r="L357" s="7">
        <v>10.0</v>
      </c>
      <c r="Q357" s="7">
        <v>30.0</v>
      </c>
    </row>
    <row r="358">
      <c r="A358" s="5">
        <v>45594.44780288194</v>
      </c>
      <c r="B358" s="6">
        <v>45524.0</v>
      </c>
      <c r="C358" s="7" t="s">
        <v>34</v>
      </c>
      <c r="D358" s="7" t="s">
        <v>22</v>
      </c>
      <c r="E358" s="7" t="s">
        <v>36</v>
      </c>
      <c r="F358" s="7">
        <v>15.0</v>
      </c>
      <c r="I358" s="7">
        <v>15.0</v>
      </c>
    </row>
    <row r="359">
      <c r="A359" s="5">
        <v>45594.44982335648</v>
      </c>
      <c r="B359" s="6">
        <v>45500.0</v>
      </c>
      <c r="C359" s="7" t="s">
        <v>34</v>
      </c>
      <c r="D359" s="7" t="s">
        <v>22</v>
      </c>
      <c r="E359" s="7" t="s">
        <v>35</v>
      </c>
      <c r="P359" s="7">
        <v>15.0</v>
      </c>
    </row>
    <row r="360">
      <c r="A360" s="5">
        <v>45594.45041309028</v>
      </c>
      <c r="B360" s="6">
        <v>45518.0</v>
      </c>
      <c r="C360" s="7" t="s">
        <v>34</v>
      </c>
      <c r="D360" s="7" t="s">
        <v>22</v>
      </c>
      <c r="E360" s="7" t="s">
        <v>35</v>
      </c>
      <c r="F360" s="7">
        <v>15.0</v>
      </c>
    </row>
    <row r="361">
      <c r="A361" s="5">
        <v>45594.45093896991</v>
      </c>
      <c r="B361" s="6">
        <v>45523.0</v>
      </c>
      <c r="C361" s="7" t="s">
        <v>34</v>
      </c>
      <c r="D361" s="7" t="s">
        <v>22</v>
      </c>
      <c r="E361" s="7" t="s">
        <v>35</v>
      </c>
      <c r="F361" s="7">
        <v>15.0</v>
      </c>
    </row>
    <row r="362">
      <c r="A362" s="5">
        <v>45594.4520091088</v>
      </c>
      <c r="B362" s="6">
        <v>45531.0</v>
      </c>
      <c r="C362" s="7" t="s">
        <v>34</v>
      </c>
      <c r="D362" s="7" t="s">
        <v>21</v>
      </c>
      <c r="F362" s="7">
        <v>30.0</v>
      </c>
      <c r="I362" s="7">
        <v>30.0</v>
      </c>
      <c r="P362" s="7">
        <v>30.0</v>
      </c>
      <c r="Q362" s="7">
        <v>15.0</v>
      </c>
    </row>
    <row r="363">
      <c r="A363" s="5">
        <v>45594.45315538194</v>
      </c>
      <c r="B363" s="6">
        <v>45548.0</v>
      </c>
      <c r="C363" s="7" t="s">
        <v>34</v>
      </c>
      <c r="D363" s="7" t="s">
        <v>21</v>
      </c>
      <c r="F363" s="7">
        <v>15.0</v>
      </c>
      <c r="H363" s="7">
        <v>45.0</v>
      </c>
      <c r="I363" s="7">
        <v>30.0</v>
      </c>
      <c r="L363" s="7">
        <v>30.0</v>
      </c>
      <c r="P363" s="7">
        <v>60.0</v>
      </c>
      <c r="Q363" s="7">
        <v>30.0</v>
      </c>
    </row>
    <row r="364">
      <c r="A364" s="5">
        <v>45594.4547484375</v>
      </c>
      <c r="B364" s="6">
        <v>45562.0</v>
      </c>
      <c r="C364" s="7" t="s">
        <v>34</v>
      </c>
      <c r="D364" s="7" t="s">
        <v>21</v>
      </c>
      <c r="I364" s="7">
        <v>60.0</v>
      </c>
      <c r="L364" s="7">
        <v>10.0</v>
      </c>
      <c r="O364" s="7">
        <v>10.0</v>
      </c>
      <c r="P364" s="7">
        <v>60.0</v>
      </c>
      <c r="Q364" s="7">
        <v>30.0</v>
      </c>
    </row>
    <row r="365">
      <c r="A365" s="5">
        <v>45594.45674504629</v>
      </c>
      <c r="B365" s="6">
        <v>45579.0</v>
      </c>
      <c r="C365" s="7" t="s">
        <v>34</v>
      </c>
      <c r="D365" s="7" t="s">
        <v>21</v>
      </c>
      <c r="F365" s="7">
        <v>45.0</v>
      </c>
      <c r="H365" s="7">
        <v>30.0</v>
      </c>
      <c r="I365" s="7">
        <v>60.0</v>
      </c>
      <c r="K365" s="7">
        <v>15.0</v>
      </c>
      <c r="P365" s="7">
        <v>60.0</v>
      </c>
      <c r="Q365" s="7">
        <v>60.0</v>
      </c>
      <c r="R365" s="7">
        <v>20.0</v>
      </c>
    </row>
    <row r="366">
      <c r="A366" s="5">
        <v>45594.45808303241</v>
      </c>
      <c r="B366" s="6">
        <v>45532.0</v>
      </c>
      <c r="C366" s="7" t="s">
        <v>34</v>
      </c>
      <c r="D366" s="7" t="s">
        <v>22</v>
      </c>
      <c r="E366" s="7" t="s">
        <v>35</v>
      </c>
      <c r="F366" s="7">
        <v>15.0</v>
      </c>
    </row>
    <row r="367">
      <c r="A367" s="5">
        <v>45594.45886883102</v>
      </c>
      <c r="B367" s="6">
        <v>45548.0</v>
      </c>
      <c r="C367" s="7" t="s">
        <v>34</v>
      </c>
      <c r="D367" s="7" t="s">
        <v>22</v>
      </c>
      <c r="E367" s="7" t="s">
        <v>35</v>
      </c>
      <c r="H367" s="7">
        <v>15.0</v>
      </c>
      <c r="P367" s="7">
        <v>15.0</v>
      </c>
    </row>
    <row r="368">
      <c r="A368" s="5">
        <v>45594.46019731482</v>
      </c>
      <c r="B368" s="6">
        <v>45550.0</v>
      </c>
      <c r="C368" s="7" t="s">
        <v>34</v>
      </c>
      <c r="D368" s="7" t="s">
        <v>22</v>
      </c>
      <c r="E368" s="7" t="s">
        <v>36</v>
      </c>
      <c r="H368" s="7">
        <v>15.0</v>
      </c>
      <c r="L368" s="7">
        <v>10.0</v>
      </c>
      <c r="P368" s="7">
        <v>15.0</v>
      </c>
      <c r="Q368" s="7">
        <v>30.0</v>
      </c>
    </row>
    <row r="369">
      <c r="A369" s="5">
        <v>45594.46071260417</v>
      </c>
      <c r="B369" s="6">
        <v>45580.0</v>
      </c>
      <c r="C369" s="7" t="s">
        <v>34</v>
      </c>
      <c r="D369" s="7" t="s">
        <v>22</v>
      </c>
      <c r="E369" s="7" t="s">
        <v>36</v>
      </c>
      <c r="Q369" s="7">
        <v>45.0</v>
      </c>
    </row>
    <row r="370">
      <c r="A370" s="5">
        <v>45594.461663333335</v>
      </c>
      <c r="B370" s="6">
        <v>45532.0</v>
      </c>
      <c r="C370" s="7" t="s">
        <v>34</v>
      </c>
      <c r="D370" s="7" t="s">
        <v>22</v>
      </c>
      <c r="E370" s="7" t="s">
        <v>37</v>
      </c>
      <c r="I370" s="7">
        <v>15.0</v>
      </c>
      <c r="P370" s="7">
        <v>15.0</v>
      </c>
    </row>
    <row r="371">
      <c r="A371" s="5">
        <v>45594.46236488426</v>
      </c>
      <c r="B371" s="6">
        <v>45548.0</v>
      </c>
      <c r="C371" s="7" t="s">
        <v>34</v>
      </c>
      <c r="D371" s="7" t="s">
        <v>22</v>
      </c>
      <c r="E371" s="7" t="s">
        <v>37</v>
      </c>
      <c r="F371" s="7">
        <v>15.0</v>
      </c>
      <c r="L371" s="7">
        <v>10.0</v>
      </c>
      <c r="Q371" s="7">
        <v>15.0</v>
      </c>
    </row>
    <row r="372">
      <c r="A372" s="5">
        <v>45594.462960902776</v>
      </c>
      <c r="B372" s="6">
        <v>45581.0</v>
      </c>
      <c r="C372" s="7" t="s">
        <v>34</v>
      </c>
      <c r="D372" s="7" t="s">
        <v>22</v>
      </c>
      <c r="E372" s="7" t="s">
        <v>37</v>
      </c>
      <c r="F372" s="7">
        <v>15.0</v>
      </c>
      <c r="P372" s="7">
        <v>15.0</v>
      </c>
    </row>
    <row r="373">
      <c r="A373" s="5">
        <v>45594.46390989583</v>
      </c>
      <c r="B373" s="6">
        <v>45591.0</v>
      </c>
      <c r="C373" s="7" t="s">
        <v>34</v>
      </c>
      <c r="D373" s="7" t="s">
        <v>22</v>
      </c>
      <c r="E373" s="7" t="s">
        <v>37</v>
      </c>
      <c r="I373" s="7">
        <v>15.0</v>
      </c>
      <c r="P373" s="7">
        <v>30.0</v>
      </c>
    </row>
    <row r="374">
      <c r="A374" s="5">
        <v>45594.46457340277</v>
      </c>
      <c r="B374" s="6">
        <v>45569.0</v>
      </c>
      <c r="C374" s="7" t="s">
        <v>34</v>
      </c>
      <c r="D374" s="7" t="s">
        <v>22</v>
      </c>
      <c r="E374" s="7" t="s">
        <v>38</v>
      </c>
      <c r="I374" s="7">
        <v>15.0</v>
      </c>
      <c r="P374" s="7">
        <v>15.0</v>
      </c>
      <c r="Q374" s="7">
        <v>15.0</v>
      </c>
    </row>
    <row r="375">
      <c r="A375" s="5">
        <v>45595.418653773144</v>
      </c>
      <c r="B375" s="6">
        <v>45594.0</v>
      </c>
      <c r="C375" s="7" t="s">
        <v>34</v>
      </c>
      <c r="D375" s="7" t="s">
        <v>21</v>
      </c>
      <c r="I375" s="7">
        <v>15.0</v>
      </c>
      <c r="P375" s="7">
        <v>60.0</v>
      </c>
      <c r="Q375" s="7">
        <v>30.0</v>
      </c>
    </row>
    <row r="376">
      <c r="A376" s="5">
        <v>45595.42044271991</v>
      </c>
      <c r="B376" s="6">
        <v>45594.0</v>
      </c>
      <c r="C376" s="7" t="s">
        <v>34</v>
      </c>
      <c r="D376" s="7" t="s">
        <v>22</v>
      </c>
      <c r="E376" s="7" t="s">
        <v>36</v>
      </c>
      <c r="Q376" s="7">
        <v>15.0</v>
      </c>
    </row>
    <row r="377">
      <c r="A377" s="5">
        <v>45595.54978756944</v>
      </c>
      <c r="B377" s="6">
        <v>45395.0</v>
      </c>
      <c r="C377" s="7" t="s">
        <v>34</v>
      </c>
      <c r="D377" s="7" t="s">
        <v>22</v>
      </c>
      <c r="E377" s="7" t="s">
        <v>34</v>
      </c>
      <c r="F377" s="7">
        <v>15.0</v>
      </c>
      <c r="P377" s="7">
        <v>15.0</v>
      </c>
    </row>
    <row r="378">
      <c r="A378" s="5">
        <v>45595.550445127315</v>
      </c>
      <c r="B378" s="6">
        <v>45429.0</v>
      </c>
      <c r="C378" s="7" t="s">
        <v>34</v>
      </c>
      <c r="D378" s="7" t="s">
        <v>22</v>
      </c>
      <c r="E378" s="7" t="s">
        <v>34</v>
      </c>
      <c r="J378" s="7">
        <v>15.0</v>
      </c>
    </row>
    <row r="379">
      <c r="A379" s="5">
        <v>45595.55098616898</v>
      </c>
      <c r="B379" s="6">
        <v>45458.0</v>
      </c>
      <c r="C379" s="7" t="s">
        <v>34</v>
      </c>
      <c r="D379" s="7" t="s">
        <v>22</v>
      </c>
      <c r="E379" s="7" t="s">
        <v>34</v>
      </c>
      <c r="P379" s="7">
        <v>15.0</v>
      </c>
    </row>
    <row r="380">
      <c r="A380" s="5">
        <v>45595.55150449074</v>
      </c>
      <c r="B380" s="6">
        <v>45474.0</v>
      </c>
      <c r="C380" s="7" t="s">
        <v>34</v>
      </c>
      <c r="D380" s="7" t="s">
        <v>22</v>
      </c>
      <c r="E380" s="7" t="s">
        <v>34</v>
      </c>
      <c r="G380" s="7">
        <v>15.0</v>
      </c>
      <c r="P380" s="7">
        <v>15.0</v>
      </c>
    </row>
    <row r="381">
      <c r="A381" s="5">
        <v>45595.55211512731</v>
      </c>
      <c r="B381" s="6">
        <v>45484.0</v>
      </c>
      <c r="C381" s="7" t="s">
        <v>34</v>
      </c>
      <c r="D381" s="7" t="s">
        <v>22</v>
      </c>
      <c r="E381" s="7" t="s">
        <v>34</v>
      </c>
      <c r="I381" s="7">
        <v>15.0</v>
      </c>
      <c r="P381" s="7">
        <v>15.0</v>
      </c>
    </row>
    <row r="382">
      <c r="A382" s="5">
        <v>45595.553695173614</v>
      </c>
      <c r="B382" s="6">
        <v>45538.0</v>
      </c>
      <c r="C382" s="7" t="s">
        <v>34</v>
      </c>
      <c r="D382" s="7" t="s">
        <v>22</v>
      </c>
      <c r="E382" s="7" t="s">
        <v>34</v>
      </c>
      <c r="F382" s="7">
        <v>15.0</v>
      </c>
      <c r="I382" s="7">
        <v>15.0</v>
      </c>
    </row>
    <row r="383">
      <c r="A383" s="5">
        <v>45595.554418217595</v>
      </c>
      <c r="B383" s="6">
        <v>45563.0</v>
      </c>
      <c r="C383" s="7" t="s">
        <v>34</v>
      </c>
      <c r="D383" s="7" t="s">
        <v>22</v>
      </c>
      <c r="E383" s="7" t="s">
        <v>34</v>
      </c>
      <c r="I383" s="7">
        <v>15.0</v>
      </c>
      <c r="P383" s="7">
        <v>15.0</v>
      </c>
      <c r="Q383" s="7">
        <v>15.0</v>
      </c>
    </row>
    <row r="384">
      <c r="A384" s="5">
        <v>45595.5549602199</v>
      </c>
      <c r="B384" s="6">
        <v>45568.0</v>
      </c>
      <c r="C384" s="7" t="s">
        <v>34</v>
      </c>
      <c r="D384" s="7" t="s">
        <v>22</v>
      </c>
      <c r="E384" s="7" t="s">
        <v>34</v>
      </c>
      <c r="P384" s="7">
        <v>15.0</v>
      </c>
    </row>
    <row r="385">
      <c r="A385" s="5">
        <v>45595.55587189815</v>
      </c>
      <c r="B385" s="6">
        <v>45593.0</v>
      </c>
      <c r="C385" s="7" t="s">
        <v>34</v>
      </c>
      <c r="D385" s="7" t="s">
        <v>22</v>
      </c>
      <c r="E385" s="7" t="s">
        <v>34</v>
      </c>
      <c r="H385" s="7">
        <v>30.0</v>
      </c>
      <c r="K385" s="7">
        <v>15.0</v>
      </c>
      <c r="P385" s="7">
        <v>30.0</v>
      </c>
    </row>
    <row r="386">
      <c r="A386" s="5">
        <v>45601.452807800924</v>
      </c>
      <c r="B386" s="6">
        <v>45594.0</v>
      </c>
      <c r="C386" s="7" t="s">
        <v>34</v>
      </c>
      <c r="D386" s="7" t="s">
        <v>22</v>
      </c>
      <c r="E386" s="7" t="s">
        <v>35</v>
      </c>
      <c r="F386" s="7">
        <v>15.0</v>
      </c>
      <c r="P386" s="7">
        <v>15.0</v>
      </c>
    </row>
    <row r="387">
      <c r="A387" s="5">
        <v>45601.45506479166</v>
      </c>
      <c r="B387" s="6">
        <v>45601.0</v>
      </c>
      <c r="C387" s="7" t="s">
        <v>34</v>
      </c>
      <c r="D387" s="7" t="s">
        <v>22</v>
      </c>
      <c r="E387" s="7" t="s">
        <v>34</v>
      </c>
      <c r="F387" s="7">
        <v>15.0</v>
      </c>
      <c r="H387" s="7">
        <v>15.0</v>
      </c>
    </row>
    <row r="388">
      <c r="A388" s="5">
        <v>45609.54997787037</v>
      </c>
      <c r="B388" s="6">
        <v>45609.0</v>
      </c>
      <c r="C388" s="7" t="s">
        <v>34</v>
      </c>
      <c r="D388" s="7" t="s">
        <v>21</v>
      </c>
      <c r="H388" s="7">
        <v>15.0</v>
      </c>
      <c r="I388" s="7">
        <v>60.0</v>
      </c>
      <c r="P388" s="7">
        <v>105.0</v>
      </c>
      <c r="Q388" s="7">
        <v>45.0</v>
      </c>
      <c r="R388" s="7">
        <v>10.0</v>
      </c>
    </row>
    <row r="389">
      <c r="A389" s="5">
        <v>45609.58363303241</v>
      </c>
      <c r="B389" s="6">
        <v>45609.0</v>
      </c>
      <c r="C389" s="7" t="s">
        <v>34</v>
      </c>
      <c r="D389" s="7" t="s">
        <v>22</v>
      </c>
      <c r="E389" s="7" t="s">
        <v>37</v>
      </c>
      <c r="I389" s="7">
        <v>30.0</v>
      </c>
      <c r="L389" s="7">
        <v>10.0</v>
      </c>
      <c r="P389" s="7">
        <v>60.0</v>
      </c>
      <c r="R389" s="7">
        <v>10.0</v>
      </c>
    </row>
    <row r="390">
      <c r="A390" s="5">
        <v>45610.38621582176</v>
      </c>
      <c r="B390" s="6">
        <v>45609.0</v>
      </c>
      <c r="C390" s="7" t="s">
        <v>34</v>
      </c>
      <c r="D390" s="7" t="s">
        <v>22</v>
      </c>
      <c r="E390" s="7" t="s">
        <v>36</v>
      </c>
      <c r="I390" s="7">
        <v>30.0</v>
      </c>
      <c r="Q390" s="7">
        <v>45.0</v>
      </c>
    </row>
    <row r="391">
      <c r="A391" s="5">
        <v>45610.38667305556</v>
      </c>
      <c r="B391" s="6">
        <v>45610.0</v>
      </c>
      <c r="C391" s="7" t="s">
        <v>34</v>
      </c>
      <c r="D391" s="7" t="s">
        <v>22</v>
      </c>
      <c r="E391" s="7" t="s">
        <v>36</v>
      </c>
      <c r="I391" s="7">
        <v>45.0</v>
      </c>
    </row>
    <row r="392">
      <c r="A392" s="5">
        <v>45614.49291076389</v>
      </c>
      <c r="B392" s="6">
        <v>45614.0</v>
      </c>
      <c r="C392" s="7" t="s">
        <v>34</v>
      </c>
      <c r="D392" s="7" t="s">
        <v>22</v>
      </c>
      <c r="E392" s="7" t="s">
        <v>39</v>
      </c>
      <c r="I392" s="7">
        <v>15.0</v>
      </c>
      <c r="P392" s="7">
        <v>30.0</v>
      </c>
    </row>
    <row r="393">
      <c r="A393" s="5">
        <v>45615.396476504626</v>
      </c>
      <c r="B393" s="6">
        <v>45615.0</v>
      </c>
      <c r="C393" s="7" t="s">
        <v>34</v>
      </c>
      <c r="D393" s="7" t="s">
        <v>22</v>
      </c>
      <c r="E393" s="7" t="s">
        <v>37</v>
      </c>
      <c r="I393" s="7">
        <v>15.0</v>
      </c>
      <c r="P393" s="7">
        <v>15.0</v>
      </c>
      <c r="Q393" s="7">
        <v>15.0</v>
      </c>
    </row>
    <row r="394">
      <c r="A394" s="5">
        <v>45615.50173881944</v>
      </c>
      <c r="B394" s="6">
        <v>45615.0</v>
      </c>
      <c r="C394" s="7" t="s">
        <v>34</v>
      </c>
      <c r="D394" s="7" t="s">
        <v>22</v>
      </c>
      <c r="E394" s="7" t="s">
        <v>40</v>
      </c>
      <c r="P394" s="7">
        <v>30.0</v>
      </c>
    </row>
    <row r="395">
      <c r="A395" s="5">
        <v>45619.39522756945</v>
      </c>
      <c r="B395" s="6">
        <v>45619.0</v>
      </c>
      <c r="C395" s="7" t="s">
        <v>34</v>
      </c>
      <c r="D395" s="7" t="s">
        <v>22</v>
      </c>
      <c r="E395" s="7" t="s">
        <v>36</v>
      </c>
      <c r="I395" s="7">
        <v>60.0</v>
      </c>
    </row>
    <row r="396">
      <c r="A396" s="5">
        <v>45619.492471805555</v>
      </c>
      <c r="B396" s="6">
        <v>45619.0</v>
      </c>
      <c r="C396" s="7" t="s">
        <v>34</v>
      </c>
      <c r="D396" s="7" t="s">
        <v>22</v>
      </c>
      <c r="E396" s="7" t="s">
        <v>35</v>
      </c>
      <c r="H396" s="7">
        <v>15.0</v>
      </c>
      <c r="I396" s="7">
        <v>15.0</v>
      </c>
    </row>
    <row r="397">
      <c r="A397" s="5">
        <v>45622.54009740741</v>
      </c>
      <c r="B397" s="6">
        <v>45622.0</v>
      </c>
      <c r="C397" s="7" t="s">
        <v>34</v>
      </c>
      <c r="D397" s="7" t="s">
        <v>21</v>
      </c>
      <c r="P397" s="7">
        <v>90.0</v>
      </c>
      <c r="Q397" s="7">
        <v>60.0</v>
      </c>
    </row>
    <row r="398">
      <c r="A398" s="5">
        <v>45622.57427776621</v>
      </c>
      <c r="B398" s="6">
        <v>45622.0</v>
      </c>
      <c r="C398" s="7" t="s">
        <v>34</v>
      </c>
      <c r="D398" s="7" t="s">
        <v>22</v>
      </c>
      <c r="E398" s="7" t="s">
        <v>39</v>
      </c>
      <c r="P398" s="7">
        <v>15.0</v>
      </c>
      <c r="Q398" s="7">
        <v>15.0</v>
      </c>
    </row>
    <row r="399">
      <c r="A399" s="5">
        <v>45623.44358238426</v>
      </c>
      <c r="B399" s="6">
        <v>45623.0</v>
      </c>
      <c r="C399" s="7" t="s">
        <v>34</v>
      </c>
      <c r="D399" s="7" t="s">
        <v>22</v>
      </c>
      <c r="E399" s="7" t="s">
        <v>37</v>
      </c>
      <c r="P399" s="7">
        <v>60.0</v>
      </c>
    </row>
    <row r="400">
      <c r="A400" s="5">
        <v>45623.45050678241</v>
      </c>
      <c r="B400" s="6">
        <v>45623.0</v>
      </c>
      <c r="C400" s="7" t="s">
        <v>34</v>
      </c>
      <c r="D400" s="7" t="s">
        <v>22</v>
      </c>
      <c r="E400" s="7" t="s">
        <v>38</v>
      </c>
      <c r="Q400" s="7">
        <v>15.0</v>
      </c>
    </row>
    <row r="401">
      <c r="A401" s="5">
        <v>45623.45417729167</v>
      </c>
      <c r="B401" s="6">
        <v>45623.0</v>
      </c>
      <c r="C401" s="7" t="s">
        <v>34</v>
      </c>
      <c r="D401" s="7" t="s">
        <v>22</v>
      </c>
      <c r="E401" s="7" t="s">
        <v>34</v>
      </c>
      <c r="P401" s="7">
        <v>15.0</v>
      </c>
      <c r="Q401" s="7">
        <v>15.0</v>
      </c>
    </row>
    <row r="402">
      <c r="A402" s="5">
        <v>45635.485999675926</v>
      </c>
      <c r="B402" s="6">
        <v>45635.0</v>
      </c>
      <c r="C402" s="7" t="s">
        <v>34</v>
      </c>
      <c r="D402" s="7" t="s">
        <v>22</v>
      </c>
      <c r="E402" s="7" t="s">
        <v>37</v>
      </c>
      <c r="P402" s="7">
        <v>30.0</v>
      </c>
    </row>
    <row r="403">
      <c r="A403" s="5">
        <v>45638.59466199074</v>
      </c>
      <c r="B403" s="6">
        <v>45638.0</v>
      </c>
      <c r="C403" s="7" t="s">
        <v>34</v>
      </c>
      <c r="D403" s="7" t="s">
        <v>21</v>
      </c>
      <c r="F403" s="7">
        <v>30.0</v>
      </c>
      <c r="I403" s="7">
        <v>60.0</v>
      </c>
      <c r="P403" s="7">
        <v>210.0</v>
      </c>
      <c r="Q403" s="7">
        <v>105.0</v>
      </c>
    </row>
    <row r="404">
      <c r="A404" s="5">
        <v>45657.58238872685</v>
      </c>
      <c r="B404" s="6">
        <v>45657.0</v>
      </c>
      <c r="C404" s="7" t="s">
        <v>34</v>
      </c>
      <c r="D404" s="7" t="s">
        <v>21</v>
      </c>
      <c r="P404" s="7">
        <v>150.0</v>
      </c>
      <c r="Q404" s="7">
        <v>105.0</v>
      </c>
    </row>
    <row r="405">
      <c r="A405" s="5">
        <v>45667.560929328705</v>
      </c>
      <c r="B405" s="6">
        <v>45667.0</v>
      </c>
      <c r="C405" s="7" t="s">
        <v>34</v>
      </c>
      <c r="D405" s="7" t="s">
        <v>21</v>
      </c>
      <c r="I405" s="7">
        <v>30.0</v>
      </c>
      <c r="J405" s="7">
        <v>245.0</v>
      </c>
    </row>
    <row r="406">
      <c r="A406" s="5">
        <v>45671.51304417824</v>
      </c>
      <c r="B406" s="6">
        <v>45624.0</v>
      </c>
      <c r="C406" s="7" t="s">
        <v>34</v>
      </c>
      <c r="D406" s="7" t="s">
        <v>22</v>
      </c>
      <c r="E406" s="7" t="s">
        <v>34</v>
      </c>
      <c r="P406" s="7">
        <v>15.0</v>
      </c>
    </row>
    <row r="407">
      <c r="A407" s="5">
        <v>45671.51896190972</v>
      </c>
      <c r="B407" s="6">
        <v>45637.0</v>
      </c>
      <c r="C407" s="7" t="s">
        <v>34</v>
      </c>
      <c r="D407" s="7" t="s">
        <v>22</v>
      </c>
      <c r="E407" s="7" t="s">
        <v>40</v>
      </c>
      <c r="P407" s="7">
        <v>30.0</v>
      </c>
    </row>
    <row r="408">
      <c r="A408" s="5">
        <v>45671.520037118054</v>
      </c>
      <c r="B408" s="6">
        <v>45641.0</v>
      </c>
      <c r="C408" s="7" t="s">
        <v>34</v>
      </c>
      <c r="D408" s="7" t="s">
        <v>22</v>
      </c>
      <c r="E408" s="7" t="s">
        <v>35</v>
      </c>
      <c r="P408" s="7">
        <v>15.0</v>
      </c>
    </row>
    <row r="409">
      <c r="A409" s="5">
        <v>45671.52107887731</v>
      </c>
      <c r="B409" s="6">
        <v>45643.0</v>
      </c>
      <c r="C409" s="7" t="s">
        <v>34</v>
      </c>
      <c r="D409" s="7" t="s">
        <v>22</v>
      </c>
      <c r="E409" s="7" t="s">
        <v>37</v>
      </c>
      <c r="F409" s="7">
        <v>15.0</v>
      </c>
      <c r="I409" s="7">
        <v>30.0</v>
      </c>
      <c r="P409" s="7">
        <v>45.0</v>
      </c>
    </row>
    <row r="410">
      <c r="A410" s="5">
        <v>45671.522711516205</v>
      </c>
      <c r="B410" s="6">
        <v>45644.0</v>
      </c>
      <c r="C410" s="7" t="s">
        <v>34</v>
      </c>
      <c r="D410" s="7" t="s">
        <v>22</v>
      </c>
      <c r="E410" s="7" t="s">
        <v>34</v>
      </c>
      <c r="F410" s="7">
        <v>15.0</v>
      </c>
      <c r="I410" s="7">
        <v>15.0</v>
      </c>
      <c r="L410" s="7">
        <v>10.0</v>
      </c>
    </row>
    <row r="411">
      <c r="A411" s="5">
        <v>45671.52383469907</v>
      </c>
      <c r="B411" s="6">
        <v>45657.0</v>
      </c>
      <c r="C411" s="7" t="s">
        <v>34</v>
      </c>
      <c r="D411" s="7" t="s">
        <v>22</v>
      </c>
      <c r="E411" s="7" t="s">
        <v>37</v>
      </c>
      <c r="P411" s="7">
        <v>45.0</v>
      </c>
      <c r="Q411" s="7">
        <v>15.0</v>
      </c>
    </row>
    <row r="412">
      <c r="A412" s="5">
        <v>45671.524514537035</v>
      </c>
      <c r="B412" s="6">
        <v>45657.0</v>
      </c>
      <c r="C412" s="7" t="s">
        <v>34</v>
      </c>
      <c r="D412" s="7" t="s">
        <v>22</v>
      </c>
      <c r="E412" s="7" t="s">
        <v>39</v>
      </c>
      <c r="P412" s="7">
        <v>15.0</v>
      </c>
      <c r="Q412" s="7">
        <v>30.0</v>
      </c>
    </row>
    <row r="413">
      <c r="A413" s="5">
        <v>45671.525334502316</v>
      </c>
      <c r="B413" s="6">
        <v>45658.0</v>
      </c>
      <c r="C413" s="7" t="s">
        <v>34</v>
      </c>
      <c r="D413" s="7" t="s">
        <v>22</v>
      </c>
      <c r="E413" s="7" t="s">
        <v>36</v>
      </c>
      <c r="Q413" s="7">
        <v>30.0</v>
      </c>
    </row>
    <row r="414">
      <c r="A414" s="5">
        <v>45671.528836944446</v>
      </c>
      <c r="B414" s="6">
        <v>45659.0</v>
      </c>
      <c r="C414" s="7" t="s">
        <v>34</v>
      </c>
      <c r="D414" s="7" t="s">
        <v>22</v>
      </c>
      <c r="E414" s="7" t="s">
        <v>34</v>
      </c>
      <c r="P414" s="7">
        <v>30.0</v>
      </c>
    </row>
    <row r="415">
      <c r="A415" s="5">
        <v>45671.52950509259</v>
      </c>
      <c r="B415" s="6">
        <v>45659.0</v>
      </c>
      <c r="C415" s="7" t="s">
        <v>34</v>
      </c>
      <c r="D415" s="7" t="s">
        <v>22</v>
      </c>
      <c r="E415" s="7" t="s">
        <v>38</v>
      </c>
      <c r="P415" s="7">
        <v>15.0</v>
      </c>
      <c r="Q415" s="7">
        <v>45.0</v>
      </c>
    </row>
    <row r="416">
      <c r="A416" s="5">
        <v>45671.530659317126</v>
      </c>
      <c r="B416" s="6">
        <v>45671.0</v>
      </c>
      <c r="C416" s="7" t="s">
        <v>34</v>
      </c>
      <c r="D416" s="7" t="s">
        <v>22</v>
      </c>
      <c r="E416" s="7" t="s">
        <v>39</v>
      </c>
      <c r="J416" s="7">
        <v>15.0</v>
      </c>
      <c r="P416" s="7">
        <v>15.0</v>
      </c>
    </row>
    <row r="417">
      <c r="A417" s="5">
        <v>45671.53169478009</v>
      </c>
      <c r="B417" s="6">
        <v>45671.0</v>
      </c>
      <c r="C417" s="7" t="s">
        <v>34</v>
      </c>
      <c r="D417" s="7" t="s">
        <v>22</v>
      </c>
      <c r="E417" s="7" t="s">
        <v>37</v>
      </c>
      <c r="J417" s="7">
        <v>15.0</v>
      </c>
      <c r="P417" s="7">
        <v>15.0</v>
      </c>
    </row>
    <row r="418">
      <c r="A418" s="5">
        <v>45671.5325106713</v>
      </c>
      <c r="B418" s="6">
        <v>45671.0</v>
      </c>
      <c r="C418" s="7" t="s">
        <v>34</v>
      </c>
      <c r="D418" s="7" t="s">
        <v>22</v>
      </c>
      <c r="E418" s="7" t="s">
        <v>34</v>
      </c>
      <c r="J418" s="7">
        <v>30.0</v>
      </c>
    </row>
    <row r="419">
      <c r="A419" s="5">
        <v>45671.69197112268</v>
      </c>
      <c r="B419" s="6">
        <v>45671.0</v>
      </c>
      <c r="C419" s="7" t="s">
        <v>34</v>
      </c>
      <c r="D419" s="7" t="s">
        <v>22</v>
      </c>
      <c r="E419" s="7" t="s">
        <v>34</v>
      </c>
      <c r="R419" s="7">
        <v>20.0</v>
      </c>
    </row>
    <row r="420">
      <c r="A420" s="5">
        <v>45674.394829780096</v>
      </c>
      <c r="B420" s="6">
        <v>45673.0</v>
      </c>
      <c r="C420" s="7" t="s">
        <v>34</v>
      </c>
      <c r="D420" s="7" t="s">
        <v>22</v>
      </c>
      <c r="E420" s="7" t="s">
        <v>34</v>
      </c>
      <c r="J420" s="7">
        <v>15.0</v>
      </c>
      <c r="P420" s="7">
        <v>15.0</v>
      </c>
    </row>
    <row r="421">
      <c r="A421" s="5">
        <v>45678.39461192129</v>
      </c>
      <c r="B421" s="6">
        <v>45678.0</v>
      </c>
      <c r="C421" s="7" t="s">
        <v>34</v>
      </c>
      <c r="D421" s="7" t="s">
        <v>22</v>
      </c>
      <c r="E421" s="7" t="s">
        <v>39</v>
      </c>
      <c r="J421" s="7">
        <v>15.0</v>
      </c>
    </row>
    <row r="422">
      <c r="A422" s="5">
        <v>45678.4400487963</v>
      </c>
      <c r="B422" s="6">
        <v>45678.0</v>
      </c>
      <c r="C422" s="7" t="s">
        <v>34</v>
      </c>
      <c r="D422" s="7" t="s">
        <v>22</v>
      </c>
      <c r="E422" s="7" t="s">
        <v>37</v>
      </c>
      <c r="J422" s="7">
        <v>30.0</v>
      </c>
      <c r="P422" s="7">
        <v>15.0</v>
      </c>
    </row>
    <row r="423">
      <c r="A423" s="5">
        <v>45679.43804861111</v>
      </c>
      <c r="B423" s="6">
        <v>45638.0</v>
      </c>
      <c r="C423" s="7" t="s">
        <v>34</v>
      </c>
      <c r="D423" s="7" t="s">
        <v>22</v>
      </c>
      <c r="E423" s="7" t="s">
        <v>41</v>
      </c>
      <c r="I423" s="7">
        <v>15.0</v>
      </c>
      <c r="P423" s="7">
        <v>45.0</v>
      </c>
      <c r="Q423" s="7">
        <v>45.0</v>
      </c>
    </row>
    <row r="424">
      <c r="A424" s="5">
        <v>45679.43905677083</v>
      </c>
      <c r="B424" s="6">
        <v>45671.0</v>
      </c>
      <c r="C424" s="7" t="s">
        <v>34</v>
      </c>
      <c r="D424" s="7" t="s">
        <v>22</v>
      </c>
      <c r="E424" s="7" t="s">
        <v>41</v>
      </c>
      <c r="J424" s="7">
        <v>15.0</v>
      </c>
      <c r="P424" s="7">
        <v>45.0</v>
      </c>
      <c r="Q424" s="7">
        <v>30.0</v>
      </c>
    </row>
    <row r="425">
      <c r="A425" s="5">
        <v>45679.44008112268</v>
      </c>
      <c r="B425" s="6">
        <v>45679.0</v>
      </c>
      <c r="C425" s="7" t="s">
        <v>34</v>
      </c>
      <c r="D425" s="7" t="s">
        <v>22</v>
      </c>
      <c r="E425" s="7" t="s">
        <v>41</v>
      </c>
      <c r="J425" s="7">
        <v>15.0</v>
      </c>
      <c r="O425" s="7">
        <v>5.0</v>
      </c>
      <c r="P425" s="7">
        <v>15.0</v>
      </c>
    </row>
    <row r="426">
      <c r="A426" s="5">
        <v>45680.49812767361</v>
      </c>
      <c r="B426" s="6">
        <v>45680.0</v>
      </c>
      <c r="C426" s="7" t="s">
        <v>34</v>
      </c>
      <c r="D426" s="7" t="s">
        <v>22</v>
      </c>
      <c r="E426" s="7" t="s">
        <v>40</v>
      </c>
      <c r="J426" s="7">
        <v>15.0</v>
      </c>
      <c r="P426" s="7">
        <v>15.0</v>
      </c>
    </row>
    <row r="427">
      <c r="A427" s="5">
        <v>45684.7495906713</v>
      </c>
      <c r="B427" s="6">
        <v>45684.0</v>
      </c>
      <c r="C427" s="7" t="s">
        <v>34</v>
      </c>
      <c r="D427" s="7" t="s">
        <v>21</v>
      </c>
      <c r="F427" s="7">
        <v>75.0</v>
      </c>
      <c r="H427" s="7">
        <v>30.0</v>
      </c>
      <c r="I427" s="7">
        <v>105.0</v>
      </c>
      <c r="P427" s="7">
        <v>225.0</v>
      </c>
      <c r="Q427" s="7">
        <v>60.0</v>
      </c>
    </row>
    <row r="428">
      <c r="A428" s="5">
        <v>45685.49069664352</v>
      </c>
      <c r="B428" s="6">
        <v>45679.0</v>
      </c>
      <c r="C428" s="7" t="s">
        <v>34</v>
      </c>
      <c r="D428" s="7" t="s">
        <v>22</v>
      </c>
      <c r="E428" s="7" t="s">
        <v>34</v>
      </c>
      <c r="J428" s="7">
        <v>15.0</v>
      </c>
    </row>
    <row r="429">
      <c r="A429" s="5">
        <v>45687.4569278125</v>
      </c>
      <c r="B429" s="6">
        <v>45687.0</v>
      </c>
      <c r="C429" s="7" t="s">
        <v>34</v>
      </c>
      <c r="D429" s="7" t="s">
        <v>22</v>
      </c>
      <c r="E429" s="7" t="s">
        <v>41</v>
      </c>
      <c r="I429" s="7">
        <v>15.0</v>
      </c>
    </row>
    <row r="430">
      <c r="A430" s="5">
        <v>45689.43041821759</v>
      </c>
      <c r="B430" s="6">
        <v>45678.0</v>
      </c>
      <c r="C430" s="7" t="s">
        <v>34</v>
      </c>
      <c r="D430" s="7" t="s">
        <v>22</v>
      </c>
      <c r="E430" s="7" t="s">
        <v>35</v>
      </c>
      <c r="J430" s="7">
        <v>15.0</v>
      </c>
      <c r="P430" s="7">
        <v>15.0</v>
      </c>
    </row>
    <row r="431">
      <c r="A431" s="5">
        <v>45689.43119641204</v>
      </c>
      <c r="B431" s="6">
        <v>45686.0</v>
      </c>
      <c r="C431" s="7" t="s">
        <v>34</v>
      </c>
      <c r="D431" s="7" t="s">
        <v>22</v>
      </c>
      <c r="E431" s="7" t="s">
        <v>34</v>
      </c>
      <c r="F431" s="7">
        <v>15.0</v>
      </c>
      <c r="I431" s="7">
        <v>15.0</v>
      </c>
      <c r="P431" s="7">
        <v>15.0</v>
      </c>
    </row>
    <row r="432">
      <c r="A432" s="5">
        <v>45689.43632248843</v>
      </c>
      <c r="B432" s="6">
        <v>45685.0</v>
      </c>
      <c r="C432" s="7" t="s">
        <v>34</v>
      </c>
      <c r="D432" s="7" t="s">
        <v>22</v>
      </c>
      <c r="E432" s="7" t="s">
        <v>36</v>
      </c>
      <c r="I432" s="7">
        <v>15.0</v>
      </c>
      <c r="P432" s="7">
        <v>30.0</v>
      </c>
      <c r="Q432" s="7">
        <v>30.0</v>
      </c>
    </row>
    <row r="433">
      <c r="A433" s="5">
        <v>45689.436746770836</v>
      </c>
      <c r="B433" s="6">
        <v>45686.0</v>
      </c>
      <c r="C433" s="7" t="s">
        <v>34</v>
      </c>
      <c r="D433" s="7" t="s">
        <v>22</v>
      </c>
      <c r="E433" s="7" t="s">
        <v>37</v>
      </c>
      <c r="Q433" s="7">
        <v>30.0</v>
      </c>
    </row>
    <row r="434">
      <c r="A434" s="5">
        <v>45689.43896168981</v>
      </c>
      <c r="B434" s="6">
        <v>45716.0</v>
      </c>
      <c r="C434" s="7" t="s">
        <v>34</v>
      </c>
      <c r="D434" s="7" t="s">
        <v>22</v>
      </c>
      <c r="E434" s="7" t="s">
        <v>39</v>
      </c>
      <c r="J434" s="7">
        <v>15.0</v>
      </c>
    </row>
    <row r="435">
      <c r="A435" s="5">
        <v>45689.43957217592</v>
      </c>
      <c r="B435" s="6">
        <v>45686.0</v>
      </c>
      <c r="C435" s="7" t="s">
        <v>34</v>
      </c>
      <c r="D435" s="7" t="s">
        <v>22</v>
      </c>
      <c r="E435" s="7" t="s">
        <v>39</v>
      </c>
      <c r="I435" s="7">
        <v>15.0</v>
      </c>
      <c r="J435" s="7">
        <v>15.0</v>
      </c>
      <c r="P435" s="7">
        <v>30.0</v>
      </c>
    </row>
    <row r="436">
      <c r="A436" s="5">
        <v>45690.62139390047</v>
      </c>
      <c r="B436" s="6">
        <v>45685.0</v>
      </c>
      <c r="C436" s="7" t="s">
        <v>34</v>
      </c>
      <c r="D436" s="7" t="s">
        <v>22</v>
      </c>
      <c r="E436" s="7" t="s">
        <v>36</v>
      </c>
      <c r="J436" s="7">
        <v>15.0</v>
      </c>
    </row>
    <row r="437">
      <c r="A437" s="5">
        <v>45705.54114724537</v>
      </c>
      <c r="B437" s="6">
        <v>45551.0</v>
      </c>
      <c r="C437" s="7" t="s">
        <v>20</v>
      </c>
      <c r="D437" s="7" t="s">
        <v>22</v>
      </c>
      <c r="E437" s="7" t="s">
        <v>20</v>
      </c>
      <c r="I437" s="7">
        <v>15.0</v>
      </c>
      <c r="P437" s="7">
        <v>15.0</v>
      </c>
    </row>
    <row r="438">
      <c r="A438" s="5">
        <v>45705.54186188657</v>
      </c>
      <c r="B438" s="6">
        <v>45553.0</v>
      </c>
      <c r="C438" s="7" t="s">
        <v>20</v>
      </c>
      <c r="D438" s="7" t="s">
        <v>22</v>
      </c>
      <c r="E438" s="7" t="s">
        <v>24</v>
      </c>
      <c r="I438" s="7">
        <v>15.0</v>
      </c>
    </row>
    <row r="439">
      <c r="A439" s="5">
        <v>45705.54258690972</v>
      </c>
      <c r="B439" s="6">
        <v>45553.0</v>
      </c>
      <c r="C439" s="7" t="s">
        <v>20</v>
      </c>
      <c r="D439" s="7" t="s">
        <v>22</v>
      </c>
      <c r="E439" s="7" t="s">
        <v>24</v>
      </c>
      <c r="P439" s="7">
        <v>15.0</v>
      </c>
    </row>
    <row r="440">
      <c r="A440" s="5">
        <v>45705.54447732639</v>
      </c>
      <c r="B440" s="6">
        <v>45561.0</v>
      </c>
      <c r="C440" s="7" t="s">
        <v>20</v>
      </c>
      <c r="D440" s="7" t="s">
        <v>22</v>
      </c>
      <c r="E440" s="7" t="s">
        <v>32</v>
      </c>
      <c r="Q440" s="7">
        <v>15.0</v>
      </c>
    </row>
    <row r="441">
      <c r="A441" s="5">
        <v>45705.54586121527</v>
      </c>
      <c r="B441" s="6">
        <v>45562.0</v>
      </c>
      <c r="C441" s="7" t="s">
        <v>20</v>
      </c>
      <c r="D441" s="7" t="s">
        <v>21</v>
      </c>
      <c r="I441" s="7">
        <v>60.0</v>
      </c>
      <c r="L441" s="7">
        <v>50.0</v>
      </c>
      <c r="O441" s="7">
        <v>10.0</v>
      </c>
      <c r="P441" s="7">
        <v>60.0</v>
      </c>
      <c r="Q441" s="7">
        <v>60.0</v>
      </c>
    </row>
    <row r="442">
      <c r="A442" s="5">
        <v>45705.54672844907</v>
      </c>
      <c r="B442" s="6">
        <v>45562.0</v>
      </c>
      <c r="C442" s="7" t="s">
        <v>20</v>
      </c>
      <c r="D442" s="7" t="s">
        <v>22</v>
      </c>
      <c r="E442" s="7" t="s">
        <v>23</v>
      </c>
      <c r="I442" s="7">
        <v>15.0</v>
      </c>
      <c r="P442" s="7">
        <v>15.0</v>
      </c>
    </row>
    <row r="443">
      <c r="A443" s="5">
        <v>45705.54740009259</v>
      </c>
      <c r="B443" s="6">
        <v>45565.0</v>
      </c>
      <c r="C443" s="7" t="s">
        <v>20</v>
      </c>
      <c r="D443" s="7" t="s">
        <v>22</v>
      </c>
      <c r="E443" s="7" t="s">
        <v>29</v>
      </c>
      <c r="I443" s="7">
        <v>15.0</v>
      </c>
      <c r="L443" s="7">
        <v>10.0</v>
      </c>
      <c r="P443" s="7">
        <v>30.0</v>
      </c>
      <c r="Q443" s="7">
        <v>15.0</v>
      </c>
    </row>
    <row r="444">
      <c r="A444" s="5">
        <v>45705.54803759259</v>
      </c>
      <c r="B444" s="6">
        <v>45566.0</v>
      </c>
      <c r="C444" s="7" t="s">
        <v>20</v>
      </c>
      <c r="D444" s="7" t="s">
        <v>22</v>
      </c>
      <c r="E444" s="7" t="s">
        <v>32</v>
      </c>
      <c r="I444" s="7">
        <v>15.0</v>
      </c>
      <c r="L444" s="7">
        <v>10.0</v>
      </c>
      <c r="P444" s="7">
        <v>15.0</v>
      </c>
    </row>
    <row r="445">
      <c r="A445" s="5">
        <v>45705.54876024305</v>
      </c>
      <c r="B445" s="6">
        <v>45566.0</v>
      </c>
      <c r="C445" s="7" t="s">
        <v>20</v>
      </c>
      <c r="D445" s="7" t="s">
        <v>22</v>
      </c>
      <c r="E445" s="7" t="s">
        <v>30</v>
      </c>
      <c r="I445" s="7">
        <v>15.0</v>
      </c>
      <c r="L445" s="7">
        <v>10.0</v>
      </c>
      <c r="P445" s="7">
        <v>15.0</v>
      </c>
    </row>
    <row r="446">
      <c r="A446" s="5">
        <v>45705.553475520835</v>
      </c>
      <c r="B446" s="6">
        <v>45569.0</v>
      </c>
      <c r="C446" s="7" t="s">
        <v>20</v>
      </c>
      <c r="D446" s="7" t="s">
        <v>22</v>
      </c>
      <c r="E446" s="7" t="s">
        <v>31</v>
      </c>
      <c r="L446" s="7">
        <v>10.0</v>
      </c>
      <c r="Q446" s="7">
        <v>15.0</v>
      </c>
    </row>
    <row r="447">
      <c r="A447" s="5">
        <v>45705.55389902778</v>
      </c>
      <c r="B447" s="6">
        <v>45570.0</v>
      </c>
      <c r="C447" s="7" t="s">
        <v>20</v>
      </c>
      <c r="D447" s="7" t="s">
        <v>22</v>
      </c>
      <c r="E447" s="7" t="s">
        <v>29</v>
      </c>
      <c r="P447" s="7">
        <v>15.0</v>
      </c>
    </row>
    <row r="448">
      <c r="A448" s="5">
        <v>45705.55608465278</v>
      </c>
      <c r="B448" s="6">
        <v>45579.0</v>
      </c>
      <c r="C448" s="7" t="s">
        <v>20</v>
      </c>
      <c r="D448" s="7" t="s">
        <v>21</v>
      </c>
      <c r="F448" s="7">
        <v>45.0</v>
      </c>
      <c r="H448" s="7">
        <v>45.0</v>
      </c>
      <c r="I448" s="7">
        <v>90.0</v>
      </c>
      <c r="K448" s="7">
        <v>30.0</v>
      </c>
      <c r="P448" s="7">
        <v>300.0</v>
      </c>
    </row>
    <row r="449">
      <c r="A449" s="5">
        <v>45705.556728194446</v>
      </c>
      <c r="B449" s="6">
        <v>45581.0</v>
      </c>
      <c r="C449" s="7" t="s">
        <v>20</v>
      </c>
      <c r="D449" s="7" t="s">
        <v>22</v>
      </c>
      <c r="E449" s="7" t="s">
        <v>27</v>
      </c>
      <c r="I449" s="7">
        <v>15.0</v>
      </c>
      <c r="P449" s="7">
        <v>15.0</v>
      </c>
    </row>
    <row r="450">
      <c r="A450" s="5">
        <v>45705.557651759256</v>
      </c>
      <c r="B450" s="6">
        <v>45581.0</v>
      </c>
      <c r="C450" s="7" t="s">
        <v>20</v>
      </c>
      <c r="D450" s="7" t="s">
        <v>22</v>
      </c>
      <c r="E450" s="7" t="s">
        <v>24</v>
      </c>
      <c r="F450" s="7">
        <v>15.0</v>
      </c>
      <c r="K450" s="7">
        <v>15.0</v>
      </c>
      <c r="P450" s="7">
        <v>30.0</v>
      </c>
    </row>
    <row r="451">
      <c r="A451" s="5">
        <v>45705.55807296296</v>
      </c>
      <c r="B451" s="6">
        <v>45581.0</v>
      </c>
      <c r="C451" s="7" t="s">
        <v>20</v>
      </c>
      <c r="D451" s="7" t="s">
        <v>22</v>
      </c>
      <c r="E451" s="7" t="s">
        <v>24</v>
      </c>
      <c r="I451" s="7">
        <v>15.0</v>
      </c>
      <c r="P451" s="7">
        <v>15.0</v>
      </c>
    </row>
    <row r="452">
      <c r="A452" s="5">
        <v>45705.559376516205</v>
      </c>
      <c r="B452" s="6">
        <v>45583.0</v>
      </c>
      <c r="C452" s="7" t="s">
        <v>20</v>
      </c>
      <c r="D452" s="7" t="s">
        <v>22</v>
      </c>
      <c r="E452" s="7" t="s">
        <v>32</v>
      </c>
      <c r="F452" s="7">
        <v>15.0</v>
      </c>
      <c r="H452" s="7">
        <v>15.0</v>
      </c>
      <c r="P452" s="7">
        <v>15.0</v>
      </c>
      <c r="Q452" s="7">
        <v>30.0</v>
      </c>
    </row>
    <row r="453">
      <c r="A453" s="5">
        <v>45705.5599474537</v>
      </c>
      <c r="B453" s="6">
        <v>45584.0</v>
      </c>
      <c r="C453" s="7" t="s">
        <v>20</v>
      </c>
      <c r="D453" s="7" t="s">
        <v>22</v>
      </c>
      <c r="E453" s="7" t="s">
        <v>31</v>
      </c>
      <c r="F453" s="7">
        <v>15.0</v>
      </c>
      <c r="K453" s="7">
        <v>15.0</v>
      </c>
    </row>
    <row r="454">
      <c r="A454" s="5">
        <v>45705.560393287036</v>
      </c>
      <c r="B454" s="6">
        <v>45586.0</v>
      </c>
      <c r="C454" s="7" t="s">
        <v>20</v>
      </c>
      <c r="D454" s="7" t="s">
        <v>22</v>
      </c>
      <c r="E454" s="7" t="s">
        <v>29</v>
      </c>
      <c r="H454" s="7">
        <v>15.0</v>
      </c>
      <c r="I454" s="7">
        <v>15.0</v>
      </c>
      <c r="P454" s="7">
        <v>30.0</v>
      </c>
    </row>
    <row r="455">
      <c r="A455" s="5">
        <v>45705.561341319444</v>
      </c>
      <c r="B455" s="6">
        <v>45586.0</v>
      </c>
      <c r="C455" s="7" t="s">
        <v>20</v>
      </c>
      <c r="D455" s="7" t="s">
        <v>22</v>
      </c>
      <c r="E455" s="7" t="s">
        <v>26</v>
      </c>
      <c r="I455" s="7">
        <v>15.0</v>
      </c>
      <c r="P455" s="7">
        <v>30.0</v>
      </c>
    </row>
    <row r="456">
      <c r="A456" s="5">
        <v>45705.562202754634</v>
      </c>
      <c r="B456" s="6">
        <v>45587.0</v>
      </c>
      <c r="C456" s="7" t="s">
        <v>20</v>
      </c>
      <c r="D456" s="7" t="s">
        <v>22</v>
      </c>
      <c r="E456" s="7" t="s">
        <v>20</v>
      </c>
      <c r="P456" s="7">
        <v>15.0</v>
      </c>
    </row>
    <row r="457">
      <c r="A457" s="5">
        <v>45705.56273831018</v>
      </c>
      <c r="B457" s="6">
        <v>45588.0</v>
      </c>
      <c r="C457" s="7" t="s">
        <v>20</v>
      </c>
      <c r="D457" s="7" t="s">
        <v>22</v>
      </c>
      <c r="E457" s="7" t="s">
        <v>30</v>
      </c>
      <c r="P457" s="7">
        <v>15.0</v>
      </c>
    </row>
    <row r="458">
      <c r="A458" s="5">
        <v>45705.56365660879</v>
      </c>
      <c r="B458" s="6">
        <v>45591.0</v>
      </c>
      <c r="C458" s="7" t="s">
        <v>20</v>
      </c>
      <c r="D458" s="7" t="s">
        <v>22</v>
      </c>
      <c r="E458" s="7" t="s">
        <v>24</v>
      </c>
      <c r="P458" s="7">
        <v>60.0</v>
      </c>
    </row>
    <row r="459">
      <c r="A459" s="5">
        <v>45705.564067581014</v>
      </c>
      <c r="B459" s="6">
        <v>45594.0</v>
      </c>
      <c r="C459" s="7" t="s">
        <v>20</v>
      </c>
      <c r="D459" s="7" t="s">
        <v>22</v>
      </c>
      <c r="E459" s="7" t="s">
        <v>31</v>
      </c>
      <c r="P459" s="7">
        <v>15.0</v>
      </c>
    </row>
    <row r="460">
      <c r="A460" s="5">
        <v>45705.56439496527</v>
      </c>
      <c r="B460" s="6">
        <v>45595.0</v>
      </c>
      <c r="C460" s="7" t="s">
        <v>20</v>
      </c>
      <c r="D460" s="7" t="s">
        <v>22</v>
      </c>
      <c r="E460" s="7" t="s">
        <v>32</v>
      </c>
      <c r="P460" s="7">
        <v>15.0</v>
      </c>
    </row>
    <row r="461">
      <c r="A461" s="5">
        <v>45705.56487177083</v>
      </c>
      <c r="B461" s="6">
        <v>45594.0</v>
      </c>
      <c r="C461" s="7" t="s">
        <v>20</v>
      </c>
      <c r="D461" s="7" t="s">
        <v>21</v>
      </c>
      <c r="I461" s="7">
        <v>30.0</v>
      </c>
      <c r="P461" s="7">
        <v>150.0</v>
      </c>
      <c r="Q461" s="7">
        <v>60.0</v>
      </c>
    </row>
    <row r="462">
      <c r="A462" s="5">
        <v>45705.56807446759</v>
      </c>
      <c r="B462" s="6">
        <v>45705.0</v>
      </c>
      <c r="C462" s="7" t="s">
        <v>34</v>
      </c>
      <c r="D462" s="7" t="s">
        <v>22</v>
      </c>
      <c r="E462" s="7" t="s">
        <v>35</v>
      </c>
      <c r="I462" s="7">
        <v>15.0</v>
      </c>
      <c r="P462" s="7">
        <v>15.0</v>
      </c>
    </row>
    <row r="463">
      <c r="A463" s="5">
        <v>45705.58773832176</v>
      </c>
      <c r="B463" s="6">
        <v>45705.0</v>
      </c>
      <c r="C463" s="7" t="s">
        <v>34</v>
      </c>
      <c r="D463" s="7" t="s">
        <v>21</v>
      </c>
      <c r="I463" s="7">
        <v>15.0</v>
      </c>
      <c r="K463" s="7">
        <v>15.0</v>
      </c>
      <c r="P463" s="7">
        <v>120.0</v>
      </c>
      <c r="Q463" s="7">
        <v>60.0</v>
      </c>
    </row>
    <row r="464">
      <c r="A464" s="5">
        <v>45706.5853102199</v>
      </c>
      <c r="B464" s="6">
        <v>45598.0</v>
      </c>
      <c r="C464" s="7" t="s">
        <v>20</v>
      </c>
      <c r="D464" s="7" t="s">
        <v>22</v>
      </c>
      <c r="E464" s="7" t="s">
        <v>20</v>
      </c>
      <c r="I464" s="7">
        <v>15.0</v>
      </c>
      <c r="L464" s="7">
        <v>10.0</v>
      </c>
    </row>
    <row r="465">
      <c r="A465" s="5">
        <v>45706.58577417824</v>
      </c>
      <c r="B465" s="6">
        <v>45601.0</v>
      </c>
      <c r="C465" s="7" t="s">
        <v>20</v>
      </c>
      <c r="D465" s="7" t="s">
        <v>22</v>
      </c>
      <c r="E465" s="7" t="s">
        <v>23</v>
      </c>
      <c r="I465" s="7">
        <v>15.0</v>
      </c>
      <c r="P465" s="7">
        <v>15.0</v>
      </c>
    </row>
    <row r="466">
      <c r="A466" s="5">
        <v>45706.5861853588</v>
      </c>
      <c r="B466" s="6">
        <v>45601.0</v>
      </c>
      <c r="C466" s="7" t="s">
        <v>20</v>
      </c>
      <c r="D466" s="7" t="s">
        <v>22</v>
      </c>
      <c r="E466" s="7" t="s">
        <v>24</v>
      </c>
      <c r="P466" s="7">
        <v>15.0</v>
      </c>
      <c r="Q466" s="7">
        <v>15.0</v>
      </c>
    </row>
    <row r="467">
      <c r="A467" s="5">
        <v>45706.5867221875</v>
      </c>
      <c r="B467" s="6">
        <v>45603.0</v>
      </c>
      <c r="C467" s="7" t="s">
        <v>20</v>
      </c>
      <c r="D467" s="7" t="s">
        <v>22</v>
      </c>
      <c r="E467" s="7" t="s">
        <v>27</v>
      </c>
      <c r="L467" s="7">
        <v>10.0</v>
      </c>
      <c r="P467" s="7">
        <v>30.0</v>
      </c>
      <c r="Q467" s="7">
        <v>15.0</v>
      </c>
    </row>
    <row r="468">
      <c r="A468" s="5">
        <v>45706.587210474536</v>
      </c>
      <c r="B468" s="6">
        <v>45607.0</v>
      </c>
      <c r="C468" s="7" t="s">
        <v>20</v>
      </c>
      <c r="D468" s="7" t="s">
        <v>22</v>
      </c>
      <c r="E468" s="7" t="s">
        <v>26</v>
      </c>
      <c r="P468" s="7">
        <v>60.0</v>
      </c>
      <c r="Q468" s="7">
        <v>30.0</v>
      </c>
    </row>
    <row r="469">
      <c r="A469" s="5">
        <v>45706.58751805556</v>
      </c>
      <c r="B469" s="6">
        <v>45608.0</v>
      </c>
      <c r="C469" s="7" t="s">
        <v>20</v>
      </c>
      <c r="D469" s="7" t="s">
        <v>22</v>
      </c>
      <c r="E469" s="7" t="s">
        <v>23</v>
      </c>
      <c r="P469" s="7">
        <v>15.0</v>
      </c>
    </row>
    <row r="470">
      <c r="A470" s="5">
        <v>45706.58814116898</v>
      </c>
      <c r="B470" s="6">
        <v>45609.0</v>
      </c>
      <c r="C470" s="7" t="s">
        <v>20</v>
      </c>
      <c r="D470" s="7" t="s">
        <v>21</v>
      </c>
      <c r="H470" s="7">
        <v>30.0</v>
      </c>
      <c r="I470" s="7">
        <v>120.0</v>
      </c>
      <c r="P470" s="7">
        <v>300.0</v>
      </c>
      <c r="Q470" s="7">
        <v>60.0</v>
      </c>
      <c r="R470" s="7">
        <v>30.0</v>
      </c>
    </row>
    <row r="471">
      <c r="A471" s="5">
        <v>45706.58867025463</v>
      </c>
      <c r="B471" s="6">
        <v>45609.0</v>
      </c>
      <c r="C471" s="7" t="s">
        <v>20</v>
      </c>
      <c r="D471" s="7" t="s">
        <v>22</v>
      </c>
      <c r="E471" s="7" t="s">
        <v>20</v>
      </c>
      <c r="H471" s="7">
        <v>30.0</v>
      </c>
      <c r="P471" s="7">
        <v>30.0</v>
      </c>
    </row>
    <row r="472">
      <c r="A472" s="5">
        <v>45706.58904982639</v>
      </c>
      <c r="B472" s="6">
        <v>45609.0</v>
      </c>
      <c r="C472" s="7" t="s">
        <v>20</v>
      </c>
      <c r="D472" s="7" t="s">
        <v>22</v>
      </c>
      <c r="E472" s="7" t="s">
        <v>30</v>
      </c>
      <c r="P472" s="7">
        <v>15.0</v>
      </c>
    </row>
    <row r="473">
      <c r="A473" s="5">
        <v>45706.58962185185</v>
      </c>
      <c r="B473" s="6">
        <v>45610.0</v>
      </c>
      <c r="C473" s="7" t="s">
        <v>20</v>
      </c>
      <c r="D473" s="7" t="s">
        <v>22</v>
      </c>
      <c r="E473" s="7" t="s">
        <v>31</v>
      </c>
      <c r="Q473" s="7">
        <v>30.0</v>
      </c>
      <c r="R473" s="7">
        <v>10.0</v>
      </c>
    </row>
    <row r="474">
      <c r="A474" s="5">
        <v>45706.59016530092</v>
      </c>
      <c r="B474" s="6">
        <v>45610.0</v>
      </c>
      <c r="C474" s="7" t="s">
        <v>20</v>
      </c>
      <c r="D474" s="7" t="s">
        <v>22</v>
      </c>
      <c r="E474" s="7" t="s">
        <v>32</v>
      </c>
      <c r="P474" s="7">
        <v>30.0</v>
      </c>
      <c r="Q474" s="7">
        <v>30.0</v>
      </c>
      <c r="R474" s="7">
        <v>10.0</v>
      </c>
    </row>
    <row r="475">
      <c r="A475" s="5">
        <v>45706.59051940972</v>
      </c>
      <c r="B475" s="6">
        <v>45610.0</v>
      </c>
      <c r="C475" s="7" t="s">
        <v>20</v>
      </c>
      <c r="D475" s="7" t="s">
        <v>22</v>
      </c>
      <c r="E475" s="7" t="s">
        <v>24</v>
      </c>
      <c r="P475" s="7">
        <v>45.0</v>
      </c>
    </row>
    <row r="476">
      <c r="A476" s="5">
        <v>45706.59101991898</v>
      </c>
      <c r="B476" s="6">
        <v>45615.0</v>
      </c>
      <c r="C476" s="7" t="s">
        <v>20</v>
      </c>
      <c r="D476" s="7" t="s">
        <v>22</v>
      </c>
      <c r="E476" s="7" t="s">
        <v>24</v>
      </c>
      <c r="I476" s="7">
        <v>15.0</v>
      </c>
    </row>
    <row r="477">
      <c r="A477" s="5">
        <v>45706.59149037037</v>
      </c>
      <c r="B477" s="6">
        <v>45615.0</v>
      </c>
      <c r="C477" s="7" t="s">
        <v>20</v>
      </c>
      <c r="D477" s="7" t="s">
        <v>22</v>
      </c>
      <c r="E477" s="7" t="s">
        <v>23</v>
      </c>
      <c r="I477" s="7">
        <v>15.0</v>
      </c>
    </row>
    <row r="478">
      <c r="A478" s="5">
        <v>45706.591996469906</v>
      </c>
      <c r="B478" s="6">
        <v>45619.0</v>
      </c>
      <c r="C478" s="7" t="s">
        <v>20</v>
      </c>
      <c r="D478" s="7" t="s">
        <v>22</v>
      </c>
      <c r="E478" s="7" t="s">
        <v>32</v>
      </c>
      <c r="I478" s="7">
        <v>30.0</v>
      </c>
      <c r="P478" s="7">
        <v>15.0</v>
      </c>
    </row>
    <row r="479">
      <c r="A479" s="5">
        <v>45706.59272584491</v>
      </c>
      <c r="B479" s="6">
        <v>45621.0</v>
      </c>
      <c r="C479" s="7" t="s">
        <v>20</v>
      </c>
      <c r="D479" s="7" t="s">
        <v>22</v>
      </c>
      <c r="E479" s="7" t="s">
        <v>23</v>
      </c>
      <c r="I479" s="7">
        <v>15.0</v>
      </c>
      <c r="P479" s="7">
        <v>30.0</v>
      </c>
      <c r="R479" s="7">
        <v>10.0</v>
      </c>
    </row>
    <row r="480">
      <c r="A480" s="5">
        <v>45706.59304111111</v>
      </c>
      <c r="B480" s="6">
        <v>45621.0</v>
      </c>
      <c r="C480" s="7" t="s">
        <v>20</v>
      </c>
      <c r="D480" s="7" t="s">
        <v>22</v>
      </c>
      <c r="E480" s="7" t="s">
        <v>20</v>
      </c>
      <c r="P480" s="7">
        <v>15.0</v>
      </c>
    </row>
    <row r="481">
      <c r="A481" s="5">
        <v>45707.508875520834</v>
      </c>
      <c r="B481" s="6">
        <v>45622.0</v>
      </c>
      <c r="C481" s="7" t="s">
        <v>20</v>
      </c>
      <c r="D481" s="7" t="s">
        <v>21</v>
      </c>
      <c r="P481" s="7">
        <v>300.0</v>
      </c>
      <c r="Q481" s="7">
        <v>150.0</v>
      </c>
    </row>
    <row r="482">
      <c r="A482" s="5">
        <v>45707.509360324075</v>
      </c>
      <c r="B482" s="6">
        <v>45622.0</v>
      </c>
      <c r="C482" s="7" t="s">
        <v>20</v>
      </c>
      <c r="D482" s="7" t="s">
        <v>22</v>
      </c>
      <c r="E482" s="7" t="s">
        <v>27</v>
      </c>
      <c r="P482" s="7">
        <v>30.0</v>
      </c>
      <c r="Q482" s="7">
        <v>15.0</v>
      </c>
    </row>
    <row r="483">
      <c r="A483" s="5">
        <v>45707.5099141088</v>
      </c>
      <c r="B483" s="6">
        <v>45623.0</v>
      </c>
      <c r="C483" s="7" t="s">
        <v>20</v>
      </c>
      <c r="D483" s="7" t="s">
        <v>22</v>
      </c>
      <c r="E483" s="7" t="s">
        <v>24</v>
      </c>
      <c r="P483" s="7">
        <v>30.0</v>
      </c>
      <c r="Q483" s="7">
        <v>15.0</v>
      </c>
    </row>
    <row r="484">
      <c r="A484" s="5">
        <v>45707.510594374995</v>
      </c>
      <c r="B484" s="6">
        <v>45623.0</v>
      </c>
      <c r="C484" s="7" t="s">
        <v>20</v>
      </c>
      <c r="D484" s="7" t="s">
        <v>22</v>
      </c>
      <c r="E484" s="7" t="s">
        <v>31</v>
      </c>
      <c r="I484" s="7">
        <v>15.0</v>
      </c>
      <c r="P484" s="7">
        <v>30.0</v>
      </c>
      <c r="Q484" s="7">
        <v>45.0</v>
      </c>
    </row>
    <row r="485">
      <c r="A485" s="5">
        <v>45707.51092476852</v>
      </c>
      <c r="B485" s="6">
        <v>45623.0</v>
      </c>
      <c r="C485" s="7" t="s">
        <v>20</v>
      </c>
      <c r="D485" s="7" t="s">
        <v>22</v>
      </c>
      <c r="E485" s="7" t="s">
        <v>32</v>
      </c>
      <c r="P485" s="7">
        <v>15.0</v>
      </c>
      <c r="Q485" s="7">
        <v>30.0</v>
      </c>
    </row>
    <row r="486">
      <c r="A486" s="5">
        <v>45707.51124142361</v>
      </c>
      <c r="B486" s="6">
        <v>45623.0</v>
      </c>
      <c r="C486" s="7" t="s">
        <v>20</v>
      </c>
      <c r="D486" s="7" t="s">
        <v>22</v>
      </c>
      <c r="E486" s="7" t="s">
        <v>30</v>
      </c>
      <c r="P486" s="7">
        <v>30.0</v>
      </c>
    </row>
    <row r="487">
      <c r="A487" s="5">
        <v>45707.5115171875</v>
      </c>
      <c r="B487" s="6">
        <v>45623.0</v>
      </c>
      <c r="C487" s="7" t="s">
        <v>20</v>
      </c>
      <c r="D487" s="7" t="s">
        <v>22</v>
      </c>
      <c r="E487" s="7" t="s">
        <v>29</v>
      </c>
      <c r="P487" s="7">
        <v>30.0</v>
      </c>
    </row>
    <row r="488">
      <c r="A488" s="5">
        <v>45707.5118627662</v>
      </c>
      <c r="B488" s="6">
        <v>45626.0</v>
      </c>
      <c r="C488" s="7" t="s">
        <v>20</v>
      </c>
      <c r="D488" s="7" t="s">
        <v>22</v>
      </c>
      <c r="E488" s="7" t="s">
        <v>26</v>
      </c>
      <c r="I488" s="7">
        <v>15.0</v>
      </c>
      <c r="Q488" s="7">
        <v>30.0</v>
      </c>
    </row>
    <row r="489">
      <c r="A489" s="5">
        <v>45707.51220631944</v>
      </c>
      <c r="B489" s="6">
        <v>45629.0</v>
      </c>
      <c r="C489" s="7" t="s">
        <v>20</v>
      </c>
      <c r="D489" s="7" t="s">
        <v>22</v>
      </c>
      <c r="E489" s="7" t="s">
        <v>29</v>
      </c>
      <c r="P489" s="7">
        <v>15.0</v>
      </c>
    </row>
    <row r="490">
      <c r="A490" s="5">
        <v>45707.512513368056</v>
      </c>
      <c r="B490" s="6">
        <v>45636.0</v>
      </c>
      <c r="C490" s="7" t="s">
        <v>20</v>
      </c>
      <c r="D490" s="7" t="s">
        <v>22</v>
      </c>
      <c r="E490" s="7" t="s">
        <v>23</v>
      </c>
      <c r="I490" s="7">
        <v>15.0</v>
      </c>
      <c r="P490" s="7">
        <v>30.0</v>
      </c>
    </row>
    <row r="491">
      <c r="A491" s="5">
        <v>45707.51288913195</v>
      </c>
      <c r="B491" s="6">
        <v>45637.0</v>
      </c>
      <c r="C491" s="7" t="s">
        <v>20</v>
      </c>
      <c r="D491" s="7" t="s">
        <v>22</v>
      </c>
      <c r="E491" s="7" t="s">
        <v>26</v>
      </c>
      <c r="P491" s="7">
        <v>75.0</v>
      </c>
      <c r="Q491" s="7">
        <v>15.0</v>
      </c>
    </row>
    <row r="492">
      <c r="A492" s="5">
        <v>45707.51337410879</v>
      </c>
      <c r="B492" s="6">
        <v>45638.0</v>
      </c>
      <c r="C492" s="7" t="s">
        <v>20</v>
      </c>
      <c r="D492" s="7" t="s">
        <v>21</v>
      </c>
      <c r="F492" s="7">
        <v>60.0</v>
      </c>
      <c r="I492" s="7">
        <v>120.0</v>
      </c>
      <c r="P492" s="7">
        <v>180.0</v>
      </c>
      <c r="Q492" s="7">
        <v>75.0</v>
      </c>
    </row>
    <row r="493">
      <c r="A493" s="5">
        <v>45707.51376372685</v>
      </c>
      <c r="B493" s="6">
        <v>45638.0</v>
      </c>
      <c r="C493" s="7" t="s">
        <v>20</v>
      </c>
      <c r="D493" s="7" t="s">
        <v>22</v>
      </c>
      <c r="E493" s="7" t="s">
        <v>20</v>
      </c>
      <c r="F493" s="7">
        <v>30.0</v>
      </c>
      <c r="P493" s="7">
        <v>30.0</v>
      </c>
      <c r="Q493" s="7">
        <v>15.0</v>
      </c>
    </row>
    <row r="494">
      <c r="A494" s="5">
        <v>45707.51420056713</v>
      </c>
      <c r="B494" s="6">
        <v>45639.0</v>
      </c>
      <c r="C494" s="7" t="s">
        <v>20</v>
      </c>
      <c r="D494" s="7" t="s">
        <v>22</v>
      </c>
      <c r="E494" s="7" t="s">
        <v>29</v>
      </c>
      <c r="F494" s="7">
        <v>15.0</v>
      </c>
      <c r="I494" s="7">
        <v>15.0</v>
      </c>
      <c r="P494" s="7">
        <v>30.0</v>
      </c>
    </row>
    <row r="495">
      <c r="A495" s="5">
        <v>45707.51470175926</v>
      </c>
      <c r="B495" s="6">
        <v>45639.0</v>
      </c>
      <c r="C495" s="7" t="s">
        <v>20</v>
      </c>
      <c r="D495" s="7" t="s">
        <v>22</v>
      </c>
      <c r="E495" s="7" t="s">
        <v>31</v>
      </c>
      <c r="F495" s="7">
        <v>15.0</v>
      </c>
      <c r="I495" s="7">
        <v>15.0</v>
      </c>
      <c r="P495" s="7">
        <v>45.0</v>
      </c>
      <c r="Q495" s="7">
        <v>30.0</v>
      </c>
    </row>
    <row r="496">
      <c r="A496" s="5">
        <v>45707.51505973379</v>
      </c>
      <c r="B496" s="6">
        <v>45643.0</v>
      </c>
      <c r="C496" s="7" t="s">
        <v>20</v>
      </c>
      <c r="D496" s="7" t="s">
        <v>22</v>
      </c>
      <c r="E496" s="7" t="s">
        <v>23</v>
      </c>
      <c r="I496" s="7">
        <v>15.0</v>
      </c>
    </row>
    <row r="497">
      <c r="A497" s="5">
        <v>45707.51557420139</v>
      </c>
      <c r="B497" s="6">
        <v>45644.0</v>
      </c>
      <c r="C497" s="7" t="s">
        <v>20</v>
      </c>
      <c r="D497" s="7" t="s">
        <v>22</v>
      </c>
      <c r="E497" s="7" t="s">
        <v>33</v>
      </c>
      <c r="I497" s="7">
        <v>15.0</v>
      </c>
      <c r="O497" s="7">
        <v>10.0</v>
      </c>
      <c r="P497" s="7">
        <v>15.0</v>
      </c>
    </row>
    <row r="498">
      <c r="A498" s="5">
        <v>45707.515966747684</v>
      </c>
      <c r="B498" s="6">
        <v>45644.0</v>
      </c>
      <c r="C498" s="7" t="s">
        <v>20</v>
      </c>
      <c r="D498" s="7" t="s">
        <v>22</v>
      </c>
      <c r="E498" s="7" t="s">
        <v>32</v>
      </c>
      <c r="I498" s="7">
        <v>30.0</v>
      </c>
      <c r="P498" s="7">
        <v>15.0</v>
      </c>
    </row>
    <row r="499">
      <c r="A499" s="5">
        <v>45707.51684722222</v>
      </c>
      <c r="B499" s="6">
        <v>45649.0</v>
      </c>
      <c r="C499" s="7" t="s">
        <v>20</v>
      </c>
      <c r="D499" s="7" t="s">
        <v>22</v>
      </c>
      <c r="E499" s="7" t="s">
        <v>31</v>
      </c>
      <c r="P499" s="7">
        <v>30.0</v>
      </c>
    </row>
    <row r="500">
      <c r="A500" s="5">
        <v>45707.517163240744</v>
      </c>
      <c r="B500" s="6">
        <v>45657.0</v>
      </c>
      <c r="C500" s="7" t="s">
        <v>20</v>
      </c>
      <c r="D500" s="7" t="s">
        <v>22</v>
      </c>
      <c r="E500" s="7" t="s">
        <v>27</v>
      </c>
      <c r="P500" s="7">
        <v>30.0</v>
      </c>
    </row>
    <row r="501">
      <c r="A501" s="5">
        <v>45707.517455486115</v>
      </c>
      <c r="B501" s="6">
        <v>45657.0</v>
      </c>
      <c r="C501" s="7" t="s">
        <v>20</v>
      </c>
      <c r="D501" s="7" t="s">
        <v>21</v>
      </c>
      <c r="P501" s="7">
        <v>150.0</v>
      </c>
      <c r="Q501" s="7">
        <v>75.0</v>
      </c>
    </row>
    <row r="502">
      <c r="A502" s="5">
        <v>45707.51774135417</v>
      </c>
      <c r="B502" s="6">
        <v>45657.0</v>
      </c>
      <c r="C502" s="7" t="s">
        <v>20</v>
      </c>
      <c r="D502" s="7" t="s">
        <v>22</v>
      </c>
      <c r="E502" s="7" t="s">
        <v>31</v>
      </c>
      <c r="P502" s="7">
        <v>60.0</v>
      </c>
      <c r="Q502" s="7">
        <v>30.0</v>
      </c>
    </row>
    <row r="503">
      <c r="A503" s="5">
        <v>45707.51825923611</v>
      </c>
      <c r="B503" s="6">
        <v>45657.0</v>
      </c>
      <c r="C503" s="7" t="s">
        <v>20</v>
      </c>
      <c r="D503" s="7" t="s">
        <v>22</v>
      </c>
      <c r="E503" s="7" t="s">
        <v>32</v>
      </c>
      <c r="P503" s="7">
        <v>30.0</v>
      </c>
      <c r="Q503" s="7">
        <v>30.0</v>
      </c>
    </row>
    <row r="504">
      <c r="A504" s="5">
        <v>45707.51851052084</v>
      </c>
      <c r="B504" s="6">
        <v>45657.0</v>
      </c>
      <c r="C504" s="7" t="s">
        <v>20</v>
      </c>
      <c r="D504" s="7" t="s">
        <v>22</v>
      </c>
      <c r="E504" s="7" t="s">
        <v>23</v>
      </c>
      <c r="P504" s="7">
        <v>15.0</v>
      </c>
    </row>
    <row r="505">
      <c r="A505" s="5">
        <v>45707.51880402778</v>
      </c>
      <c r="B505" s="6">
        <v>45657.0</v>
      </c>
      <c r="C505" s="7" t="s">
        <v>20</v>
      </c>
      <c r="D505" s="7" t="s">
        <v>22</v>
      </c>
      <c r="E505" s="7" t="s">
        <v>30</v>
      </c>
      <c r="P505" s="7">
        <v>15.0</v>
      </c>
    </row>
    <row r="506">
      <c r="A506" s="5">
        <v>45707.519126493055</v>
      </c>
      <c r="B506" s="6">
        <v>45658.0</v>
      </c>
      <c r="C506" s="7" t="s">
        <v>20</v>
      </c>
      <c r="D506" s="7" t="s">
        <v>22</v>
      </c>
      <c r="E506" s="7" t="s">
        <v>24</v>
      </c>
      <c r="P506" s="7">
        <v>45.0</v>
      </c>
      <c r="Q506" s="7">
        <v>15.0</v>
      </c>
    </row>
    <row r="507">
      <c r="A507" s="5">
        <v>45707.51936961805</v>
      </c>
      <c r="B507" s="6">
        <v>45660.0</v>
      </c>
      <c r="C507" s="7" t="s">
        <v>20</v>
      </c>
      <c r="D507" s="7" t="s">
        <v>22</v>
      </c>
      <c r="E507" s="7" t="s">
        <v>24</v>
      </c>
      <c r="P507" s="7">
        <v>15.0</v>
      </c>
    </row>
    <row r="508">
      <c r="A508" s="5">
        <v>45707.5196543287</v>
      </c>
      <c r="B508" s="6">
        <v>45660.0</v>
      </c>
      <c r="C508" s="7" t="s">
        <v>20</v>
      </c>
      <c r="D508" s="7" t="s">
        <v>22</v>
      </c>
      <c r="E508" s="7" t="s">
        <v>20</v>
      </c>
      <c r="I508" s="7">
        <v>15.0</v>
      </c>
      <c r="P508" s="7">
        <v>45.0</v>
      </c>
    </row>
    <row r="509">
      <c r="A509" s="5">
        <v>45707.519878287036</v>
      </c>
      <c r="B509" s="6">
        <v>45664.0</v>
      </c>
      <c r="C509" s="7" t="s">
        <v>20</v>
      </c>
      <c r="D509" s="7" t="s">
        <v>22</v>
      </c>
      <c r="E509" s="7" t="s">
        <v>29</v>
      </c>
      <c r="P509" s="7">
        <v>30.0</v>
      </c>
    </row>
    <row r="510">
      <c r="A510" s="5">
        <v>45707.52012622685</v>
      </c>
      <c r="B510" s="6">
        <v>45665.0</v>
      </c>
      <c r="C510" s="7" t="s">
        <v>20</v>
      </c>
      <c r="D510" s="7" t="s">
        <v>22</v>
      </c>
      <c r="E510" s="7" t="s">
        <v>33</v>
      </c>
      <c r="P510" s="7">
        <v>15.0</v>
      </c>
    </row>
    <row r="511">
      <c r="A511" s="5">
        <v>45707.522602997684</v>
      </c>
      <c r="B511" s="6">
        <v>45667.0</v>
      </c>
      <c r="C511" s="7" t="s">
        <v>20</v>
      </c>
      <c r="D511" s="7" t="s">
        <v>21</v>
      </c>
      <c r="I511" s="7">
        <v>60.0</v>
      </c>
      <c r="J511" s="7">
        <v>490.0</v>
      </c>
      <c r="P511" s="7">
        <v>150.0</v>
      </c>
      <c r="Q511" s="7">
        <v>75.0</v>
      </c>
    </row>
    <row r="512">
      <c r="A512" s="5">
        <v>45707.52298521991</v>
      </c>
      <c r="B512" s="6">
        <v>45668.0</v>
      </c>
      <c r="C512" s="7" t="s">
        <v>20</v>
      </c>
      <c r="D512" s="7" t="s">
        <v>22</v>
      </c>
      <c r="E512" s="7" t="s">
        <v>31</v>
      </c>
      <c r="J512" s="7">
        <v>30.0</v>
      </c>
    </row>
    <row r="513">
      <c r="A513" s="5">
        <v>45707.523334756945</v>
      </c>
      <c r="B513" s="6">
        <v>45668.0</v>
      </c>
      <c r="C513" s="7" t="s">
        <v>20</v>
      </c>
      <c r="D513" s="7" t="s">
        <v>22</v>
      </c>
      <c r="E513" s="7" t="s">
        <v>26</v>
      </c>
      <c r="J513" s="7">
        <v>30.0</v>
      </c>
    </row>
    <row r="514">
      <c r="A514" s="5">
        <v>45707.52369136574</v>
      </c>
      <c r="B514" s="6">
        <v>45671.0</v>
      </c>
      <c r="C514" s="7" t="s">
        <v>20</v>
      </c>
      <c r="D514" s="7" t="s">
        <v>22</v>
      </c>
      <c r="E514" s="7" t="s">
        <v>23</v>
      </c>
      <c r="I514" s="7">
        <v>30.0</v>
      </c>
      <c r="P514" s="7">
        <v>30.0</v>
      </c>
    </row>
    <row r="515">
      <c r="A515" s="5">
        <v>45707.524013993054</v>
      </c>
      <c r="B515" s="6">
        <v>45671.0</v>
      </c>
      <c r="C515" s="7" t="s">
        <v>20</v>
      </c>
      <c r="D515" s="7" t="s">
        <v>22</v>
      </c>
      <c r="E515" s="7" t="s">
        <v>29</v>
      </c>
      <c r="J515" s="7">
        <v>30.0</v>
      </c>
    </row>
    <row r="516">
      <c r="A516" s="5">
        <v>45707.524534675926</v>
      </c>
      <c r="B516" s="6">
        <v>45672.0</v>
      </c>
      <c r="C516" s="7" t="s">
        <v>20</v>
      </c>
      <c r="D516" s="7" t="s">
        <v>22</v>
      </c>
      <c r="E516" s="7" t="s">
        <v>24</v>
      </c>
      <c r="J516" s="7">
        <v>200.0</v>
      </c>
      <c r="P516" s="7">
        <v>30.0</v>
      </c>
    </row>
    <row r="517">
      <c r="A517" s="5">
        <v>45707.52484837963</v>
      </c>
      <c r="B517" s="6">
        <v>45672.0</v>
      </c>
      <c r="C517" s="7" t="s">
        <v>20</v>
      </c>
      <c r="D517" s="7" t="s">
        <v>22</v>
      </c>
      <c r="E517" s="7" t="s">
        <v>29</v>
      </c>
      <c r="J517" s="7">
        <v>30.0</v>
      </c>
    </row>
    <row r="518">
      <c r="A518" s="5">
        <v>45707.52514489583</v>
      </c>
      <c r="B518" s="6">
        <v>45673.0</v>
      </c>
      <c r="C518" s="7" t="s">
        <v>20</v>
      </c>
      <c r="D518" s="7" t="s">
        <v>22</v>
      </c>
      <c r="E518" s="7" t="s">
        <v>32</v>
      </c>
      <c r="J518" s="7">
        <v>60.0</v>
      </c>
    </row>
    <row r="519">
      <c r="A519" s="5">
        <v>45707.5254262963</v>
      </c>
      <c r="B519" s="6">
        <v>45673.0</v>
      </c>
      <c r="C519" s="7" t="s">
        <v>20</v>
      </c>
      <c r="D519" s="7" t="s">
        <v>22</v>
      </c>
      <c r="E519" s="7" t="s">
        <v>31</v>
      </c>
      <c r="J519" s="7">
        <v>30.0</v>
      </c>
    </row>
    <row r="520">
      <c r="A520" s="5">
        <v>45707.525751134264</v>
      </c>
      <c r="B520" s="6">
        <v>45675.0</v>
      </c>
      <c r="C520" s="7" t="s">
        <v>20</v>
      </c>
      <c r="D520" s="7" t="s">
        <v>22</v>
      </c>
      <c r="E520" s="7" t="s">
        <v>25</v>
      </c>
      <c r="J520" s="7">
        <v>30.0</v>
      </c>
      <c r="P520" s="7">
        <v>15.0</v>
      </c>
    </row>
    <row r="521">
      <c r="A521" s="5">
        <v>45707.52606506944</v>
      </c>
      <c r="B521" s="6">
        <v>45678.0</v>
      </c>
      <c r="C521" s="7" t="s">
        <v>20</v>
      </c>
      <c r="D521" s="7" t="s">
        <v>22</v>
      </c>
      <c r="E521" s="7" t="s">
        <v>24</v>
      </c>
      <c r="J521" s="7">
        <v>20.0</v>
      </c>
    </row>
    <row r="522">
      <c r="A522" s="5">
        <v>45707.526335891205</v>
      </c>
      <c r="B522" s="6">
        <v>45679.0</v>
      </c>
      <c r="C522" s="7" t="s">
        <v>20</v>
      </c>
      <c r="D522" s="7" t="s">
        <v>22</v>
      </c>
      <c r="E522" s="7" t="s">
        <v>27</v>
      </c>
      <c r="J522" s="7">
        <v>15.0</v>
      </c>
    </row>
    <row r="523">
      <c r="A523" s="5">
        <v>45707.5266074074</v>
      </c>
      <c r="B523" s="6">
        <v>45684.0</v>
      </c>
      <c r="C523" s="7" t="s">
        <v>20</v>
      </c>
      <c r="D523" s="7" t="s">
        <v>22</v>
      </c>
      <c r="E523" s="7" t="s">
        <v>20</v>
      </c>
      <c r="P523" s="7">
        <v>15.0</v>
      </c>
    </row>
    <row r="524">
      <c r="A524" s="5">
        <v>45707.527654074074</v>
      </c>
      <c r="B524" s="6">
        <v>45684.0</v>
      </c>
      <c r="C524" s="7" t="s">
        <v>20</v>
      </c>
      <c r="D524" s="7" t="s">
        <v>21</v>
      </c>
      <c r="F524" s="7">
        <v>150.0</v>
      </c>
      <c r="H524" s="7">
        <v>60.0</v>
      </c>
      <c r="P524" s="7">
        <v>225.0</v>
      </c>
    </row>
    <row r="525">
      <c r="A525" s="5">
        <v>45707.52812902778</v>
      </c>
      <c r="B525" s="6">
        <v>45684.0</v>
      </c>
      <c r="C525" s="7" t="s">
        <v>20</v>
      </c>
      <c r="D525" s="7" t="s">
        <v>22</v>
      </c>
      <c r="E525" s="7" t="s">
        <v>33</v>
      </c>
      <c r="F525" s="7">
        <v>15.0</v>
      </c>
      <c r="P525" s="7">
        <v>30.0</v>
      </c>
    </row>
    <row r="526">
      <c r="A526" s="5">
        <v>45707.52849388889</v>
      </c>
      <c r="B526" s="6">
        <v>45685.0</v>
      </c>
      <c r="C526" s="7" t="s">
        <v>20</v>
      </c>
      <c r="D526" s="7" t="s">
        <v>22</v>
      </c>
      <c r="E526" s="7" t="s">
        <v>23</v>
      </c>
      <c r="F526" s="7">
        <v>15.0</v>
      </c>
      <c r="H526" s="7">
        <v>15.0</v>
      </c>
      <c r="P526" s="7">
        <v>15.0</v>
      </c>
    </row>
    <row r="527">
      <c r="A527" s="5">
        <v>45707.52885818287</v>
      </c>
      <c r="B527" s="6">
        <v>45685.0</v>
      </c>
      <c r="C527" s="7" t="s">
        <v>20</v>
      </c>
      <c r="D527" s="7" t="s">
        <v>22</v>
      </c>
      <c r="E527" s="7" t="s">
        <v>24</v>
      </c>
      <c r="H527" s="7">
        <v>30.0</v>
      </c>
      <c r="P527" s="7">
        <v>30.0</v>
      </c>
    </row>
    <row r="528">
      <c r="A528" s="5">
        <v>45707.52927219907</v>
      </c>
      <c r="B528" s="6">
        <v>45686.0</v>
      </c>
      <c r="C528" s="7" t="s">
        <v>20</v>
      </c>
      <c r="D528" s="7" t="s">
        <v>22</v>
      </c>
      <c r="E528" s="7" t="s">
        <v>27</v>
      </c>
      <c r="F528" s="7">
        <v>30.0</v>
      </c>
      <c r="P528" s="7">
        <v>30.0</v>
      </c>
    </row>
    <row r="529">
      <c r="A529" s="5">
        <v>45707.52961706019</v>
      </c>
      <c r="B529" s="6">
        <v>45686.0</v>
      </c>
      <c r="C529" s="7" t="s">
        <v>20</v>
      </c>
      <c r="D529" s="7" t="s">
        <v>22</v>
      </c>
      <c r="E529" s="7" t="s">
        <v>30</v>
      </c>
      <c r="F529" s="7">
        <v>15.0</v>
      </c>
      <c r="P529" s="7">
        <v>30.0</v>
      </c>
    </row>
    <row r="530">
      <c r="A530" s="5">
        <v>45707.53004288195</v>
      </c>
      <c r="B530" s="6">
        <v>45687.0</v>
      </c>
      <c r="C530" s="7" t="s">
        <v>20</v>
      </c>
      <c r="D530" s="7" t="s">
        <v>22</v>
      </c>
      <c r="E530" s="7" t="s">
        <v>32</v>
      </c>
      <c r="P530" s="7">
        <v>15.0</v>
      </c>
      <c r="Q530" s="7">
        <v>15.0</v>
      </c>
    </row>
    <row r="531">
      <c r="A531" s="5">
        <v>45707.53146157408</v>
      </c>
      <c r="B531" s="6">
        <v>45691.0</v>
      </c>
      <c r="C531" s="7" t="s">
        <v>20</v>
      </c>
      <c r="D531" s="7" t="s">
        <v>22</v>
      </c>
      <c r="E531" s="7" t="s">
        <v>24</v>
      </c>
      <c r="P531" s="7">
        <v>15.0</v>
      </c>
    </row>
    <row r="532">
      <c r="A532" s="5">
        <v>45707.54840033565</v>
      </c>
      <c r="B532" s="6">
        <v>45693.0</v>
      </c>
      <c r="C532" s="7" t="s">
        <v>20</v>
      </c>
      <c r="D532" s="7" t="s">
        <v>22</v>
      </c>
      <c r="E532" s="7" t="s">
        <v>25</v>
      </c>
      <c r="I532" s="7">
        <v>15.0</v>
      </c>
      <c r="P532" s="7">
        <v>15.0</v>
      </c>
    </row>
    <row r="533">
      <c r="A533" s="5">
        <v>45707.54868998843</v>
      </c>
      <c r="B533" s="6">
        <v>45698.0</v>
      </c>
      <c r="C533" s="7" t="s">
        <v>20</v>
      </c>
      <c r="D533" s="7" t="s">
        <v>22</v>
      </c>
      <c r="E533" s="7" t="s">
        <v>32</v>
      </c>
      <c r="P533" s="7">
        <v>15.0</v>
      </c>
    </row>
    <row r="534">
      <c r="A534" s="5">
        <v>45707.54915619213</v>
      </c>
      <c r="B534" s="6">
        <v>45698.0</v>
      </c>
      <c r="C534" s="7" t="s">
        <v>20</v>
      </c>
      <c r="D534" s="7" t="s">
        <v>22</v>
      </c>
      <c r="E534" s="7" t="s">
        <v>23</v>
      </c>
      <c r="F534" s="7">
        <v>15.0</v>
      </c>
      <c r="H534" s="7">
        <v>15.0</v>
      </c>
      <c r="I534" s="7">
        <v>15.0</v>
      </c>
    </row>
    <row r="535">
      <c r="A535" s="5">
        <v>45707.54948033565</v>
      </c>
      <c r="B535" s="6">
        <v>45701.0</v>
      </c>
      <c r="C535" s="7" t="s">
        <v>20</v>
      </c>
      <c r="D535" s="7" t="s">
        <v>22</v>
      </c>
      <c r="E535" s="7" t="s">
        <v>25</v>
      </c>
      <c r="F535" s="7">
        <v>15.0</v>
      </c>
      <c r="P535" s="7">
        <v>15.0</v>
      </c>
    </row>
    <row r="536">
      <c r="A536" s="5">
        <v>45707.55077079861</v>
      </c>
      <c r="B536" s="6">
        <v>45705.0</v>
      </c>
      <c r="C536" s="7" t="s">
        <v>20</v>
      </c>
      <c r="D536" s="7" t="s">
        <v>21</v>
      </c>
      <c r="I536" s="7">
        <v>30.0</v>
      </c>
      <c r="K536" s="7">
        <v>30.0</v>
      </c>
      <c r="P536" s="7">
        <v>120.0</v>
      </c>
    </row>
    <row r="537">
      <c r="A537" s="5">
        <v>45707.551297488426</v>
      </c>
      <c r="B537" s="6">
        <v>45705.0</v>
      </c>
      <c r="C537" s="7" t="s">
        <v>20</v>
      </c>
      <c r="D537" s="7" t="s">
        <v>22</v>
      </c>
      <c r="E537" s="7" t="s">
        <v>24</v>
      </c>
      <c r="J537" s="7">
        <v>5.0</v>
      </c>
      <c r="K537" s="7">
        <v>15.0</v>
      </c>
    </row>
    <row r="538">
      <c r="A538" s="5">
        <v>45707.55186535879</v>
      </c>
      <c r="B538" s="6">
        <v>45705.0</v>
      </c>
      <c r="C538" s="7" t="s">
        <v>20</v>
      </c>
      <c r="D538" s="7" t="s">
        <v>22</v>
      </c>
      <c r="E538" s="7" t="s">
        <v>20</v>
      </c>
      <c r="F538" s="7">
        <v>15.0</v>
      </c>
      <c r="K538" s="7">
        <v>15.0</v>
      </c>
      <c r="P538" s="7">
        <v>15.0</v>
      </c>
    </row>
    <row r="539">
      <c r="A539" s="5">
        <v>45713.507943634264</v>
      </c>
      <c r="B539" s="6">
        <v>45712.0</v>
      </c>
      <c r="C539" s="7" t="s">
        <v>20</v>
      </c>
      <c r="D539" s="7" t="s">
        <v>22</v>
      </c>
      <c r="E539" s="7" t="s">
        <v>26</v>
      </c>
      <c r="J539" s="7">
        <v>10.0</v>
      </c>
    </row>
    <row r="540">
      <c r="A540" s="5">
        <v>45716.47546458333</v>
      </c>
      <c r="B540" s="6">
        <v>45715.0</v>
      </c>
      <c r="C540" s="7" t="s">
        <v>34</v>
      </c>
      <c r="D540" s="7" t="s">
        <v>21</v>
      </c>
      <c r="F540" s="7">
        <v>15.0</v>
      </c>
      <c r="H540" s="7">
        <v>30.0</v>
      </c>
      <c r="I540" s="7">
        <v>15.0</v>
      </c>
      <c r="J540" s="7">
        <v>105.0</v>
      </c>
      <c r="P540" s="7">
        <v>120.0</v>
      </c>
      <c r="Q540" s="7">
        <v>60.0</v>
      </c>
    </row>
    <row r="541">
      <c r="A541" s="5">
        <v>45716.54477046296</v>
      </c>
      <c r="B541" s="6">
        <v>45713.0</v>
      </c>
      <c r="C541" s="7" t="s">
        <v>20</v>
      </c>
      <c r="D541" s="7" t="s">
        <v>22</v>
      </c>
      <c r="E541" s="7" t="s">
        <v>23</v>
      </c>
      <c r="F541" s="7">
        <v>15.0</v>
      </c>
      <c r="I541" s="7">
        <v>15.0</v>
      </c>
      <c r="P541" s="7">
        <v>30.0</v>
      </c>
    </row>
    <row r="542">
      <c r="A542" s="5">
        <v>45716.5453119213</v>
      </c>
      <c r="B542" s="6">
        <v>45715.0</v>
      </c>
      <c r="C542" s="7" t="s">
        <v>20</v>
      </c>
      <c r="D542" s="7" t="s">
        <v>21</v>
      </c>
      <c r="J542" s="7">
        <v>105.0</v>
      </c>
    </row>
    <row r="543">
      <c r="A543" s="5">
        <v>45721.582065532406</v>
      </c>
      <c r="B543" s="6">
        <v>45721.0</v>
      </c>
      <c r="C543" s="7" t="s">
        <v>20</v>
      </c>
      <c r="D543" s="7" t="s">
        <v>22</v>
      </c>
      <c r="E543" s="7" t="s">
        <v>25</v>
      </c>
      <c r="F543" s="7">
        <v>15.0</v>
      </c>
      <c r="I543" s="7">
        <v>15.0</v>
      </c>
    </row>
    <row r="544">
      <c r="A544" s="5">
        <v>45721.58265855324</v>
      </c>
      <c r="B544" s="6">
        <v>45721.0</v>
      </c>
      <c r="C544" s="7" t="s">
        <v>20</v>
      </c>
      <c r="D544" s="7" t="s">
        <v>22</v>
      </c>
      <c r="E544" s="7" t="s">
        <v>31</v>
      </c>
      <c r="J544" s="7">
        <v>15.0</v>
      </c>
    </row>
    <row r="545">
      <c r="A545" s="5">
        <v>45733.55464069445</v>
      </c>
      <c r="B545" s="6">
        <v>45733.0</v>
      </c>
      <c r="C545" s="7" t="s">
        <v>34</v>
      </c>
      <c r="D545" s="7" t="s">
        <v>21</v>
      </c>
      <c r="I545" s="7">
        <v>15.0</v>
      </c>
      <c r="J545" s="7">
        <v>700.0</v>
      </c>
      <c r="Q545" s="7">
        <v>30.0</v>
      </c>
    </row>
    <row r="546">
      <c r="A546" s="5">
        <v>45736.52515349537</v>
      </c>
      <c r="B546" s="6">
        <v>45693.0</v>
      </c>
      <c r="C546" s="7" t="s">
        <v>34</v>
      </c>
      <c r="D546" s="7" t="s">
        <v>22</v>
      </c>
      <c r="E546" s="7" t="s">
        <v>34</v>
      </c>
      <c r="H546" s="7">
        <v>15.0</v>
      </c>
    </row>
    <row r="547">
      <c r="A547" s="5">
        <v>45736.52600939815</v>
      </c>
      <c r="B547" s="6">
        <v>45698.0</v>
      </c>
      <c r="C547" s="7" t="s">
        <v>34</v>
      </c>
      <c r="D547" s="7" t="s">
        <v>22</v>
      </c>
      <c r="E547" s="7" t="s">
        <v>34</v>
      </c>
      <c r="P547" s="7">
        <v>15.0</v>
      </c>
    </row>
    <row r="548">
      <c r="A548" s="5">
        <v>45736.52668326389</v>
      </c>
      <c r="B548" s="6">
        <v>45711.0</v>
      </c>
      <c r="C548" s="7" t="s">
        <v>34</v>
      </c>
      <c r="D548" s="7" t="s">
        <v>22</v>
      </c>
      <c r="E548" s="7" t="s">
        <v>34</v>
      </c>
      <c r="F548" s="7">
        <v>15.0</v>
      </c>
      <c r="K548" s="7">
        <v>15.0</v>
      </c>
    </row>
    <row r="549">
      <c r="A549" s="5">
        <v>45736.527447650464</v>
      </c>
      <c r="B549" s="6">
        <v>45728.0</v>
      </c>
      <c r="C549" s="7" t="s">
        <v>34</v>
      </c>
      <c r="D549" s="7" t="s">
        <v>22</v>
      </c>
      <c r="E549" s="7" t="s">
        <v>34</v>
      </c>
      <c r="J549" s="7">
        <v>30.0</v>
      </c>
      <c r="P549" s="7">
        <v>15.0</v>
      </c>
    </row>
    <row r="550">
      <c r="A550" s="5">
        <v>45736.52877827546</v>
      </c>
      <c r="B550" s="6">
        <v>45734.0</v>
      </c>
      <c r="C550" s="7" t="s">
        <v>34</v>
      </c>
      <c r="D550" s="7" t="s">
        <v>22</v>
      </c>
      <c r="E550" s="7" t="s">
        <v>34</v>
      </c>
      <c r="J550" s="7">
        <v>100.0</v>
      </c>
      <c r="P550" s="7">
        <v>15.0</v>
      </c>
    </row>
    <row r="551">
      <c r="A551" s="5">
        <v>45736.52994886574</v>
      </c>
      <c r="B551" s="6">
        <v>45727.0</v>
      </c>
      <c r="C551" s="7" t="s">
        <v>34</v>
      </c>
      <c r="D551" s="7" t="s">
        <v>22</v>
      </c>
      <c r="E551" s="7" t="s">
        <v>36</v>
      </c>
      <c r="J551" s="7">
        <v>15.0</v>
      </c>
      <c r="Q551" s="7">
        <v>15.0</v>
      </c>
    </row>
    <row r="552">
      <c r="A552" s="5">
        <v>45736.53028990741</v>
      </c>
      <c r="B552" s="6">
        <v>45734.0</v>
      </c>
      <c r="C552" s="7" t="s">
        <v>34</v>
      </c>
      <c r="D552" s="7" t="s">
        <v>22</v>
      </c>
      <c r="E552" s="7" t="s">
        <v>36</v>
      </c>
      <c r="J552" s="7">
        <v>15.0</v>
      </c>
      <c r="Q552" s="7">
        <v>30.0</v>
      </c>
    </row>
    <row r="553">
      <c r="A553" s="5">
        <v>45736.530971099535</v>
      </c>
      <c r="B553" s="6">
        <v>45706.0</v>
      </c>
      <c r="C553" s="7" t="s">
        <v>34</v>
      </c>
      <c r="D553" s="7" t="s">
        <v>22</v>
      </c>
      <c r="E553" s="7" t="s">
        <v>37</v>
      </c>
      <c r="F553" s="7">
        <v>15.0</v>
      </c>
      <c r="I553" s="7">
        <v>15.0</v>
      </c>
      <c r="P553" s="7">
        <v>45.0</v>
      </c>
    </row>
    <row r="554">
      <c r="A554" s="5">
        <v>45736.53139282408</v>
      </c>
      <c r="B554" s="6">
        <v>45734.0</v>
      </c>
      <c r="C554" s="7" t="s">
        <v>34</v>
      </c>
      <c r="D554" s="7" t="s">
        <v>22</v>
      </c>
      <c r="E554" s="7" t="s">
        <v>37</v>
      </c>
      <c r="J554" s="7">
        <v>45.0</v>
      </c>
      <c r="P554" s="7">
        <v>15.0</v>
      </c>
    </row>
    <row r="555">
      <c r="A555" s="5">
        <v>45736.53223377315</v>
      </c>
      <c r="B555" s="6">
        <v>45722.0</v>
      </c>
      <c r="C555" s="7" t="s">
        <v>34</v>
      </c>
      <c r="D555" s="7" t="s">
        <v>22</v>
      </c>
      <c r="E555" s="7" t="s">
        <v>38</v>
      </c>
      <c r="J555" s="7">
        <v>15.0</v>
      </c>
      <c r="P555" s="7">
        <v>15.0</v>
      </c>
    </row>
    <row r="556">
      <c r="A556" s="5">
        <v>45736.53257157408</v>
      </c>
      <c r="B556" s="6">
        <v>45734.0</v>
      </c>
      <c r="C556" s="7" t="s">
        <v>34</v>
      </c>
      <c r="D556" s="7" t="s">
        <v>22</v>
      </c>
      <c r="E556" s="7" t="s">
        <v>38</v>
      </c>
      <c r="J556" s="7">
        <v>50.0</v>
      </c>
    </row>
    <row r="557">
      <c r="A557" s="5">
        <v>45736.5333305324</v>
      </c>
      <c r="B557" s="6">
        <v>45707.0</v>
      </c>
      <c r="C557" s="7" t="s">
        <v>34</v>
      </c>
      <c r="D557" s="7" t="s">
        <v>22</v>
      </c>
      <c r="E557" s="7" t="s">
        <v>39</v>
      </c>
      <c r="I557" s="7">
        <v>15.0</v>
      </c>
      <c r="P557" s="7">
        <v>15.0</v>
      </c>
      <c r="Q557" s="7">
        <v>15.0</v>
      </c>
    </row>
    <row r="558">
      <c r="A558" s="5">
        <v>45736.53404450232</v>
      </c>
      <c r="B558" s="6">
        <v>45719.0</v>
      </c>
      <c r="C558" s="7" t="s">
        <v>34</v>
      </c>
      <c r="D558" s="7" t="s">
        <v>22</v>
      </c>
      <c r="E558" s="7" t="s">
        <v>39</v>
      </c>
      <c r="I558" s="7">
        <v>15.0</v>
      </c>
      <c r="J558" s="7">
        <v>15.0</v>
      </c>
      <c r="P558" s="7">
        <v>15.0</v>
      </c>
      <c r="Q558" s="7">
        <v>15.0</v>
      </c>
    </row>
    <row r="559">
      <c r="A559" s="5">
        <v>45736.53436896991</v>
      </c>
      <c r="B559" s="6">
        <v>45734.0</v>
      </c>
      <c r="C559" s="7" t="s">
        <v>34</v>
      </c>
      <c r="D559" s="7" t="s">
        <v>22</v>
      </c>
      <c r="E559" s="7" t="s">
        <v>39</v>
      </c>
      <c r="J559" s="7">
        <v>30.0</v>
      </c>
    </row>
    <row r="560">
      <c r="A560" s="5">
        <v>45736.53491997685</v>
      </c>
      <c r="B560" s="6">
        <v>45706.0</v>
      </c>
      <c r="C560" s="7" t="s">
        <v>34</v>
      </c>
      <c r="D560" s="7" t="s">
        <v>22</v>
      </c>
      <c r="E560" s="7" t="s">
        <v>40</v>
      </c>
      <c r="P560" s="7">
        <v>30.0</v>
      </c>
    </row>
    <row r="561">
      <c r="A561" s="5">
        <v>45736.535470497685</v>
      </c>
      <c r="B561" s="6">
        <v>45706.0</v>
      </c>
      <c r="C561" s="7" t="s">
        <v>34</v>
      </c>
      <c r="D561" s="7" t="s">
        <v>22</v>
      </c>
      <c r="E561" s="7" t="s">
        <v>41</v>
      </c>
      <c r="F561" s="7">
        <v>15.0</v>
      </c>
      <c r="I561" s="7">
        <v>15.0</v>
      </c>
    </row>
    <row r="562">
      <c r="A562" s="5">
        <v>45736.535823240745</v>
      </c>
      <c r="B562" s="6">
        <v>45716.0</v>
      </c>
      <c r="C562" s="7" t="s">
        <v>34</v>
      </c>
      <c r="D562" s="7" t="s">
        <v>22</v>
      </c>
      <c r="E562" s="7" t="s">
        <v>41</v>
      </c>
      <c r="J562" s="7">
        <v>15.0</v>
      </c>
    </row>
    <row r="563">
      <c r="A563" s="5">
        <v>45736.53646994213</v>
      </c>
      <c r="B563" s="6">
        <v>45728.0</v>
      </c>
      <c r="C563" s="7" t="s">
        <v>34</v>
      </c>
      <c r="D563" s="7" t="s">
        <v>22</v>
      </c>
      <c r="E563" s="7" t="s">
        <v>41</v>
      </c>
      <c r="J563" s="7">
        <v>15.0</v>
      </c>
      <c r="P563" s="7">
        <v>30.0</v>
      </c>
      <c r="Q563" s="7">
        <v>15.0</v>
      </c>
    </row>
    <row r="564">
      <c r="A564" s="5">
        <v>45736.53774762731</v>
      </c>
      <c r="B564" s="6">
        <v>45733.0</v>
      </c>
      <c r="C564" s="7" t="s">
        <v>34</v>
      </c>
      <c r="D564" s="7" t="s">
        <v>22</v>
      </c>
      <c r="E564" s="7" t="s">
        <v>41</v>
      </c>
      <c r="J564" s="7">
        <v>200.0</v>
      </c>
      <c r="Q564" s="7">
        <v>15.0</v>
      </c>
    </row>
    <row r="565">
      <c r="A565" s="5">
        <v>45748.41217409722</v>
      </c>
      <c r="B565" s="6">
        <v>45722.0</v>
      </c>
      <c r="C565" s="7" t="s">
        <v>20</v>
      </c>
      <c r="D565" s="7" t="s">
        <v>22</v>
      </c>
      <c r="E565" s="8" t="s">
        <v>32</v>
      </c>
      <c r="I565" s="7">
        <v>15.0</v>
      </c>
      <c r="J565" s="7">
        <v>30.0</v>
      </c>
    </row>
    <row r="566">
      <c r="A566" s="5">
        <v>45748.41258767361</v>
      </c>
      <c r="B566" s="6">
        <v>45722.0</v>
      </c>
      <c r="C566" s="7" t="s">
        <v>20</v>
      </c>
      <c r="D566" s="7" t="s">
        <v>22</v>
      </c>
      <c r="E566" s="8" t="s">
        <v>20</v>
      </c>
      <c r="J566" s="7">
        <v>30.0</v>
      </c>
      <c r="P566" s="7">
        <v>30.0</v>
      </c>
    </row>
    <row r="567">
      <c r="A567" s="5">
        <v>45748.41305488426</v>
      </c>
      <c r="B567" s="6">
        <v>45722.0</v>
      </c>
      <c r="C567" s="7" t="s">
        <v>20</v>
      </c>
      <c r="D567" s="7" t="s">
        <v>22</v>
      </c>
      <c r="E567" s="8" t="s">
        <v>27</v>
      </c>
      <c r="J567" s="7">
        <v>30.0</v>
      </c>
      <c r="P567" s="7">
        <v>30.0</v>
      </c>
      <c r="Q567" s="7">
        <v>30.0</v>
      </c>
    </row>
    <row r="568">
      <c r="A568" s="5">
        <v>45748.41341197917</v>
      </c>
      <c r="B568" s="6">
        <v>45724.0</v>
      </c>
      <c r="C568" s="7" t="s">
        <v>20</v>
      </c>
      <c r="D568" s="7" t="s">
        <v>22</v>
      </c>
      <c r="E568" s="8" t="s">
        <v>33</v>
      </c>
      <c r="P568" s="7">
        <v>15.0</v>
      </c>
      <c r="Q568" s="7">
        <v>15.0</v>
      </c>
    </row>
    <row r="569">
      <c r="A569" s="5">
        <v>45748.41366554398</v>
      </c>
      <c r="B569" s="6">
        <v>45724.0</v>
      </c>
      <c r="C569" s="7" t="s">
        <v>20</v>
      </c>
      <c r="D569" s="7" t="s">
        <v>22</v>
      </c>
      <c r="E569" s="8" t="s">
        <v>29</v>
      </c>
      <c r="P569" s="7">
        <v>15.0</v>
      </c>
    </row>
    <row r="570">
      <c r="A570" s="5">
        <v>45748.41433447917</v>
      </c>
      <c r="B570" s="6">
        <v>45733.0</v>
      </c>
      <c r="C570" s="7" t="s">
        <v>20</v>
      </c>
      <c r="D570" s="7" t="s">
        <v>21</v>
      </c>
      <c r="E570" s="9"/>
      <c r="I570" s="7">
        <v>15.0</v>
      </c>
      <c r="J570" s="7">
        <v>400.0</v>
      </c>
      <c r="P570" s="7">
        <v>30.0</v>
      </c>
    </row>
    <row r="571">
      <c r="A571" s="5">
        <v>45748.41474126157</v>
      </c>
      <c r="B571" s="6">
        <v>45733.0</v>
      </c>
      <c r="C571" s="7" t="s">
        <v>20</v>
      </c>
      <c r="D571" s="7" t="s">
        <v>22</v>
      </c>
      <c r="E571" s="8" t="s">
        <v>33</v>
      </c>
      <c r="J571" s="7">
        <v>45.0</v>
      </c>
    </row>
    <row r="572">
      <c r="A572" s="5">
        <v>45748.415190995365</v>
      </c>
      <c r="B572" s="6">
        <v>45733.0</v>
      </c>
      <c r="C572" s="7" t="s">
        <v>20</v>
      </c>
      <c r="D572" s="7" t="s">
        <v>22</v>
      </c>
      <c r="E572" s="8" t="s">
        <v>20</v>
      </c>
      <c r="J572" s="7">
        <v>100.0</v>
      </c>
      <c r="P572" s="7">
        <v>105.0</v>
      </c>
    </row>
    <row r="573">
      <c r="A573" s="5">
        <v>45748.41561298611</v>
      </c>
      <c r="B573" s="6">
        <v>45734.0</v>
      </c>
      <c r="C573" s="7" t="s">
        <v>20</v>
      </c>
      <c r="D573" s="7" t="s">
        <v>22</v>
      </c>
      <c r="E573" s="8" t="s">
        <v>24</v>
      </c>
      <c r="J573" s="7">
        <v>15.0</v>
      </c>
      <c r="P573" s="7">
        <v>15.0</v>
      </c>
      <c r="Q573" s="7">
        <v>15.0</v>
      </c>
    </row>
    <row r="574">
      <c r="A574" s="5">
        <v>45748.41595858797</v>
      </c>
      <c r="B574" s="6">
        <v>45734.0</v>
      </c>
      <c r="C574" s="7" t="s">
        <v>20</v>
      </c>
      <c r="D574" s="7" t="s">
        <v>22</v>
      </c>
      <c r="E574" s="8" t="s">
        <v>27</v>
      </c>
      <c r="J574" s="7">
        <v>50.0</v>
      </c>
    </row>
    <row r="575">
      <c r="A575" s="5">
        <v>45748.41637733796</v>
      </c>
      <c r="B575" s="6">
        <v>45734.0</v>
      </c>
      <c r="C575" s="7" t="s">
        <v>20</v>
      </c>
      <c r="D575" s="7" t="s">
        <v>22</v>
      </c>
      <c r="E575" s="8" t="s">
        <v>30</v>
      </c>
      <c r="J575" s="7">
        <v>100.0</v>
      </c>
    </row>
    <row r="576">
      <c r="A576" s="5">
        <v>45748.41667734954</v>
      </c>
      <c r="B576" s="6">
        <v>45734.0</v>
      </c>
      <c r="C576" s="7" t="s">
        <v>20</v>
      </c>
      <c r="D576" s="7" t="s">
        <v>22</v>
      </c>
      <c r="E576" s="8" t="s">
        <v>29</v>
      </c>
      <c r="J576" s="7">
        <v>60.0</v>
      </c>
    </row>
    <row r="577">
      <c r="A577" s="5">
        <v>45748.417183495374</v>
      </c>
      <c r="B577" s="6">
        <v>45735.0</v>
      </c>
      <c r="C577" s="7" t="s">
        <v>20</v>
      </c>
      <c r="D577" s="7" t="s">
        <v>22</v>
      </c>
      <c r="E577" s="8" t="s">
        <v>25</v>
      </c>
      <c r="J577" s="7">
        <v>30.0</v>
      </c>
    </row>
    <row r="578">
      <c r="A578" s="5">
        <v>45748.417562013885</v>
      </c>
      <c r="B578" s="6">
        <v>45735.0</v>
      </c>
      <c r="C578" s="7" t="s">
        <v>20</v>
      </c>
      <c r="D578" s="7" t="s">
        <v>22</v>
      </c>
      <c r="E578" s="8" t="s">
        <v>32</v>
      </c>
      <c r="I578" s="7">
        <v>15.0</v>
      </c>
    </row>
    <row r="579">
      <c r="A579" s="5">
        <v>45748.4178696875</v>
      </c>
      <c r="B579" s="6">
        <v>45736.0</v>
      </c>
      <c r="C579" s="7" t="s">
        <v>20</v>
      </c>
      <c r="D579" s="7" t="s">
        <v>22</v>
      </c>
      <c r="E579" s="8" t="s">
        <v>20</v>
      </c>
      <c r="Q579" s="7">
        <v>30.0</v>
      </c>
    </row>
    <row r="580">
      <c r="A580" s="5">
        <v>45748.54781174769</v>
      </c>
      <c r="B580" s="6">
        <v>45517.0</v>
      </c>
      <c r="C580" s="7" t="s">
        <v>20</v>
      </c>
      <c r="D580" s="7" t="s">
        <v>22</v>
      </c>
      <c r="E580" s="8" t="s">
        <v>24</v>
      </c>
      <c r="F580" s="7">
        <v>30.0</v>
      </c>
      <c r="I580" s="7">
        <v>15.0</v>
      </c>
      <c r="P580" s="7">
        <v>45.0</v>
      </c>
    </row>
    <row r="581">
      <c r="A581" s="5">
        <v>45748.60545938657</v>
      </c>
      <c r="B581" s="6">
        <v>45517.0</v>
      </c>
      <c r="C581" s="7" t="s">
        <v>20</v>
      </c>
      <c r="D581" s="7" t="s">
        <v>21</v>
      </c>
      <c r="E581" s="9"/>
      <c r="F581" s="7">
        <v>120.0</v>
      </c>
      <c r="I581" s="7">
        <v>120.0</v>
      </c>
      <c r="P581" s="7">
        <v>150.0</v>
      </c>
    </row>
    <row r="582">
      <c r="A582" s="5">
        <v>45748.606197430556</v>
      </c>
      <c r="B582" s="6">
        <v>45516.0</v>
      </c>
      <c r="C582" s="7" t="s">
        <v>20</v>
      </c>
      <c r="D582" s="7" t="s">
        <v>22</v>
      </c>
      <c r="E582" s="8" t="s">
        <v>23</v>
      </c>
      <c r="L582" s="7">
        <v>10.0</v>
      </c>
    </row>
    <row r="583">
      <c r="A583" s="5">
        <v>45748.606652939816</v>
      </c>
      <c r="B583" s="6">
        <v>45517.0</v>
      </c>
      <c r="C583" s="7" t="s">
        <v>20</v>
      </c>
      <c r="D583" s="7" t="s">
        <v>22</v>
      </c>
      <c r="E583" s="8" t="s">
        <v>29</v>
      </c>
      <c r="F583" s="7">
        <v>15.0</v>
      </c>
      <c r="P583" s="7">
        <v>15.0</v>
      </c>
    </row>
    <row r="584">
      <c r="A584" s="5">
        <v>45748.60724575231</v>
      </c>
      <c r="B584" s="6">
        <v>45517.0</v>
      </c>
      <c r="C584" s="7" t="s">
        <v>20</v>
      </c>
      <c r="D584" s="7" t="s">
        <v>22</v>
      </c>
      <c r="E584" s="8" t="s">
        <v>33</v>
      </c>
      <c r="F584" s="7">
        <v>15.0</v>
      </c>
    </row>
    <row r="585">
      <c r="A585" s="5">
        <v>45748.60790553241</v>
      </c>
      <c r="B585" s="6">
        <v>45518.0</v>
      </c>
      <c r="C585" s="7" t="s">
        <v>20</v>
      </c>
      <c r="D585" s="7" t="s">
        <v>22</v>
      </c>
      <c r="E585" s="8" t="s">
        <v>26</v>
      </c>
      <c r="F585" s="7">
        <v>15.0</v>
      </c>
      <c r="I585" s="7">
        <v>30.0</v>
      </c>
      <c r="P585" s="7">
        <v>15.0</v>
      </c>
    </row>
    <row r="586">
      <c r="A586" s="5">
        <v>45748.6084040162</v>
      </c>
      <c r="B586" s="6">
        <v>45518.0</v>
      </c>
      <c r="C586" s="7" t="s">
        <v>20</v>
      </c>
      <c r="D586" s="7" t="s">
        <v>22</v>
      </c>
      <c r="E586" s="8" t="s">
        <v>25</v>
      </c>
      <c r="F586" s="7">
        <v>15.0</v>
      </c>
      <c r="P586" s="7">
        <v>15.0</v>
      </c>
    </row>
    <row r="587">
      <c r="A587" s="5">
        <v>45748.608828854165</v>
      </c>
      <c r="B587" s="6">
        <v>45518.0</v>
      </c>
      <c r="C587" s="7" t="s">
        <v>20</v>
      </c>
      <c r="D587" s="7" t="s">
        <v>22</v>
      </c>
      <c r="E587" s="8" t="s">
        <v>31</v>
      </c>
      <c r="F587" s="7">
        <v>15.0</v>
      </c>
      <c r="I587" s="7">
        <v>15.0</v>
      </c>
      <c r="P587" s="7">
        <v>30.0</v>
      </c>
    </row>
    <row r="588">
      <c r="A588" s="5">
        <v>45748.609261192134</v>
      </c>
      <c r="B588" s="6">
        <v>45518.0</v>
      </c>
      <c r="C588" s="7" t="s">
        <v>20</v>
      </c>
      <c r="D588" s="7" t="s">
        <v>22</v>
      </c>
      <c r="E588" s="8" t="s">
        <v>32</v>
      </c>
      <c r="F588" s="7">
        <v>15.0</v>
      </c>
      <c r="I588" s="7">
        <v>15.0</v>
      </c>
      <c r="P588" s="7">
        <v>30.0</v>
      </c>
    </row>
    <row r="589">
      <c r="A589" s="5">
        <v>45748.61273922454</v>
      </c>
      <c r="B589" s="6">
        <v>45548.0</v>
      </c>
      <c r="C589" s="7" t="s">
        <v>20</v>
      </c>
      <c r="D589" s="7" t="s">
        <v>21</v>
      </c>
      <c r="E589" s="9"/>
      <c r="F589" s="7">
        <v>15.0</v>
      </c>
      <c r="H589" s="7">
        <v>45.0</v>
      </c>
      <c r="I589" s="7">
        <v>150.0</v>
      </c>
      <c r="L589" s="7">
        <v>50.0</v>
      </c>
      <c r="P589" s="7">
        <v>255.0</v>
      </c>
      <c r="Q589" s="7">
        <v>30.0</v>
      </c>
    </row>
    <row r="590">
      <c r="A590" s="5">
        <v>45748.6146986574</v>
      </c>
      <c r="B590" s="6">
        <v>45561.0</v>
      </c>
      <c r="C590" s="7" t="s">
        <v>20</v>
      </c>
      <c r="D590" s="7" t="s">
        <v>22</v>
      </c>
      <c r="E590" s="8" t="s">
        <v>26</v>
      </c>
      <c r="P590" s="7">
        <v>30.0</v>
      </c>
    </row>
    <row r="591">
      <c r="A591" s="5">
        <v>45748.617915254625</v>
      </c>
      <c r="B591" s="6">
        <v>45581.0</v>
      </c>
      <c r="C591" s="7" t="s">
        <v>20</v>
      </c>
      <c r="D591" s="7" t="s">
        <v>22</v>
      </c>
      <c r="E591" s="8" t="s">
        <v>23</v>
      </c>
      <c r="H591" s="7">
        <v>15.0</v>
      </c>
      <c r="I591" s="7">
        <v>15.0</v>
      </c>
      <c r="P591" s="7">
        <v>30.0</v>
      </c>
    </row>
    <row r="592">
      <c r="A592" s="5">
        <v>45748.61917828704</v>
      </c>
      <c r="B592" s="6">
        <v>45591.0</v>
      </c>
      <c r="C592" s="7" t="s">
        <v>20</v>
      </c>
      <c r="D592" s="7" t="s">
        <v>22</v>
      </c>
      <c r="E592" s="8" t="s">
        <v>20</v>
      </c>
      <c r="I592" s="7">
        <v>15.0</v>
      </c>
      <c r="P592" s="7">
        <v>15.0</v>
      </c>
    </row>
    <row r="593">
      <c r="A593" s="5">
        <v>45749.49751261574</v>
      </c>
      <c r="B593" s="6">
        <v>45737.0</v>
      </c>
      <c r="C593" s="7" t="s">
        <v>34</v>
      </c>
      <c r="D593" s="7" t="s">
        <v>22</v>
      </c>
      <c r="E593" s="7" t="s">
        <v>36</v>
      </c>
      <c r="J593" s="7">
        <v>15.0</v>
      </c>
    </row>
    <row r="594">
      <c r="A594" s="5">
        <v>45749.49860478009</v>
      </c>
      <c r="B594" s="6">
        <v>45740.0</v>
      </c>
      <c r="C594" s="7" t="s">
        <v>34</v>
      </c>
      <c r="D594" s="7" t="s">
        <v>22</v>
      </c>
      <c r="E594" s="7" t="s">
        <v>36</v>
      </c>
      <c r="J594" s="7">
        <v>30.0</v>
      </c>
      <c r="P594" s="7">
        <v>30.0</v>
      </c>
    </row>
    <row r="595">
      <c r="A595" s="5">
        <v>45749.51407336806</v>
      </c>
      <c r="B595" s="6">
        <v>45741.0</v>
      </c>
      <c r="C595" s="7" t="s">
        <v>34</v>
      </c>
      <c r="D595" s="7" t="s">
        <v>22</v>
      </c>
      <c r="E595" s="7" t="s">
        <v>34</v>
      </c>
      <c r="J595" s="7">
        <v>220.0</v>
      </c>
    </row>
    <row r="596">
      <c r="A596" s="5">
        <v>45749.52703827547</v>
      </c>
      <c r="B596" s="6">
        <v>45741.0</v>
      </c>
      <c r="C596" s="7" t="s">
        <v>34</v>
      </c>
      <c r="D596" s="7" t="s">
        <v>22</v>
      </c>
      <c r="E596" s="7" t="s">
        <v>34</v>
      </c>
      <c r="P596" s="7">
        <v>30.0</v>
      </c>
    </row>
    <row r="597">
      <c r="A597" s="5">
        <v>45749.58841185185</v>
      </c>
      <c r="B597" s="6">
        <v>45746.0</v>
      </c>
      <c r="C597" s="7" t="s">
        <v>34</v>
      </c>
      <c r="D597" s="7" t="s">
        <v>22</v>
      </c>
      <c r="E597" s="7" t="s">
        <v>41</v>
      </c>
      <c r="P597" s="7">
        <v>45.0</v>
      </c>
      <c r="Q597" s="7">
        <v>60.0</v>
      </c>
    </row>
    <row r="598">
      <c r="A598" s="5">
        <v>45750.670143379626</v>
      </c>
      <c r="B598" s="6">
        <v>45686.0</v>
      </c>
      <c r="C598" s="7" t="s">
        <v>34</v>
      </c>
      <c r="D598" s="7" t="s">
        <v>22</v>
      </c>
      <c r="E598" s="7" t="s">
        <v>42</v>
      </c>
      <c r="I598" s="7">
        <v>15.0</v>
      </c>
      <c r="P598" s="7">
        <v>15.0</v>
      </c>
    </row>
    <row r="599">
      <c r="A599" s="5">
        <v>45752.55045848379</v>
      </c>
      <c r="B599" s="6">
        <v>45661.0</v>
      </c>
      <c r="C599" s="7" t="s">
        <v>34</v>
      </c>
      <c r="D599" s="7" t="s">
        <v>22</v>
      </c>
      <c r="E599" s="7" t="s">
        <v>34</v>
      </c>
      <c r="I599" s="7">
        <v>30.0</v>
      </c>
    </row>
  </sheetData>
  <autoFilter ref="$A$1:$U$599"/>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sheetViews>
  <sheetFormatPr customHeight="1" defaultColWidth="12.63" defaultRowHeight="15.75"/>
  <cols>
    <col customWidth="1" min="1" max="1" width="18.25"/>
    <col customWidth="1" min="2" max="3" width="19.63"/>
    <col customWidth="1" min="4" max="4" width="21.25"/>
    <col customWidth="1" min="5" max="7" width="19.63"/>
    <col customWidth="1" min="8" max="8" width="22.38"/>
    <col customWidth="1" min="9" max="41" width="19.63"/>
  </cols>
  <sheetData>
    <row r="1">
      <c r="A1" s="10" t="s">
        <v>43</v>
      </c>
      <c r="B1" s="11" t="s">
        <v>44</v>
      </c>
      <c r="C1" s="12" t="s">
        <v>45</v>
      </c>
      <c r="D1" s="12" t="s">
        <v>46</v>
      </c>
      <c r="E1" s="12" t="s">
        <v>47</v>
      </c>
      <c r="F1" s="12" t="s">
        <v>48</v>
      </c>
      <c r="G1" s="12" t="s">
        <v>49</v>
      </c>
      <c r="H1" s="12" t="s">
        <v>50</v>
      </c>
      <c r="I1" s="13" t="s">
        <v>51</v>
      </c>
      <c r="J1" s="12" t="s">
        <v>52</v>
      </c>
      <c r="K1" s="12" t="s">
        <v>53</v>
      </c>
      <c r="L1" s="12" t="s">
        <v>54</v>
      </c>
      <c r="M1" s="12" t="s">
        <v>55</v>
      </c>
      <c r="N1" s="12" t="s">
        <v>56</v>
      </c>
      <c r="O1" s="12" t="s">
        <v>57</v>
      </c>
      <c r="P1" s="12" t="s">
        <v>58</v>
      </c>
      <c r="Q1" s="12" t="s">
        <v>59</v>
      </c>
      <c r="R1" s="12" t="s">
        <v>60</v>
      </c>
      <c r="S1" s="14" t="s">
        <v>61</v>
      </c>
      <c r="T1" s="12" t="s">
        <v>62</v>
      </c>
      <c r="U1" s="12" t="s">
        <v>63</v>
      </c>
      <c r="V1" s="15" t="s">
        <v>64</v>
      </c>
      <c r="W1" s="15" t="s">
        <v>65</v>
      </c>
      <c r="X1" s="16" t="s">
        <v>66</v>
      </c>
      <c r="Y1" s="16" t="s">
        <v>67</v>
      </c>
      <c r="Z1" s="4"/>
      <c r="AA1" s="17" t="s">
        <v>68</v>
      </c>
      <c r="AB1" s="4"/>
      <c r="AC1" s="4"/>
      <c r="AD1" s="4"/>
      <c r="AE1" s="4"/>
      <c r="AF1" s="4"/>
      <c r="AG1" s="4"/>
      <c r="AH1" s="4"/>
      <c r="AI1" s="4"/>
      <c r="AJ1" s="4"/>
      <c r="AK1" s="4"/>
      <c r="AL1" s="4"/>
      <c r="AM1" s="4"/>
      <c r="AN1" s="4"/>
      <c r="AO1" s="4"/>
    </row>
    <row r="2">
      <c r="A2" s="18" t="s">
        <v>69</v>
      </c>
      <c r="B2" s="19" t="s">
        <v>69</v>
      </c>
      <c r="C2" s="20" t="s">
        <v>70</v>
      </c>
      <c r="D2" s="18" t="s">
        <v>71</v>
      </c>
      <c r="E2" s="21" t="s">
        <v>72</v>
      </c>
      <c r="F2" s="21" t="s">
        <v>73</v>
      </c>
      <c r="G2" s="22">
        <v>9.417575128E9</v>
      </c>
      <c r="H2" s="21" t="s">
        <v>74</v>
      </c>
      <c r="I2" s="23"/>
      <c r="J2" s="20"/>
      <c r="K2" s="20"/>
      <c r="L2" s="20"/>
      <c r="M2" s="20"/>
      <c r="N2" s="20"/>
      <c r="Q2" s="24" t="s">
        <v>75</v>
      </c>
      <c r="R2" s="18">
        <v>1.0</v>
      </c>
      <c r="S2" s="25" t="s">
        <v>68</v>
      </c>
      <c r="T2" s="18">
        <v>0.0</v>
      </c>
      <c r="U2" s="18">
        <v>1.0</v>
      </c>
      <c r="V2" s="26" t="s">
        <v>76</v>
      </c>
      <c r="W2" s="26" t="s">
        <v>70</v>
      </c>
      <c r="X2" s="21">
        <v>0.0</v>
      </c>
      <c r="Y2" s="21"/>
    </row>
    <row r="3">
      <c r="A3" s="27" t="s">
        <v>77</v>
      </c>
      <c r="B3" s="28" t="s">
        <v>78</v>
      </c>
      <c r="C3" s="29" t="s">
        <v>20</v>
      </c>
      <c r="D3" s="30" t="s">
        <v>79</v>
      </c>
      <c r="E3" s="31" t="s">
        <v>80</v>
      </c>
      <c r="F3" s="30" t="s">
        <v>81</v>
      </c>
      <c r="G3" s="32">
        <v>9.463268157E9</v>
      </c>
      <c r="H3" s="31" t="s">
        <v>82</v>
      </c>
      <c r="I3" s="33">
        <v>31513.0</v>
      </c>
      <c r="J3" s="29" t="s">
        <v>83</v>
      </c>
      <c r="K3" s="29" t="s">
        <v>23</v>
      </c>
      <c r="L3" s="29" t="s">
        <v>26</v>
      </c>
      <c r="M3" s="29" t="s">
        <v>29</v>
      </c>
      <c r="N3" s="29" t="s">
        <v>37</v>
      </c>
      <c r="O3" s="30" t="s">
        <v>84</v>
      </c>
      <c r="Q3" s="34" t="s">
        <v>85</v>
      </c>
      <c r="R3" s="30">
        <v>0.0</v>
      </c>
      <c r="S3" s="35" t="s">
        <v>68</v>
      </c>
      <c r="T3" s="30">
        <v>2.0</v>
      </c>
      <c r="U3" s="30">
        <v>1.0</v>
      </c>
      <c r="V3" s="26" t="s">
        <v>76</v>
      </c>
      <c r="W3" s="26" t="s">
        <v>70</v>
      </c>
      <c r="X3" s="21">
        <v>1.0</v>
      </c>
      <c r="Y3" s="36" t="s">
        <v>86</v>
      </c>
    </row>
    <row r="4">
      <c r="A4" s="37" t="s">
        <v>87</v>
      </c>
      <c r="B4" s="19" t="s">
        <v>88</v>
      </c>
      <c r="C4" s="20" t="s">
        <v>37</v>
      </c>
      <c r="D4" s="18" t="s">
        <v>79</v>
      </c>
      <c r="E4" s="18" t="s">
        <v>89</v>
      </c>
      <c r="F4" s="18" t="s">
        <v>81</v>
      </c>
      <c r="G4" s="38">
        <v>9.878237333E9</v>
      </c>
      <c r="H4" s="18" t="s">
        <v>90</v>
      </c>
      <c r="I4" s="39">
        <v>29142.0</v>
      </c>
      <c r="J4" s="40"/>
      <c r="K4" s="40"/>
      <c r="L4" s="40"/>
      <c r="M4" s="40"/>
      <c r="N4" s="40"/>
      <c r="O4" s="40"/>
      <c r="P4" s="40"/>
      <c r="Q4" s="24" t="s">
        <v>91</v>
      </c>
      <c r="R4" s="18">
        <v>0.0</v>
      </c>
      <c r="S4" s="25" t="s">
        <v>68</v>
      </c>
      <c r="T4" s="18">
        <v>2.0</v>
      </c>
      <c r="U4" s="18">
        <v>3.0</v>
      </c>
      <c r="V4" s="21" t="s">
        <v>76</v>
      </c>
      <c r="W4" s="26" t="s">
        <v>70</v>
      </c>
      <c r="X4" s="21">
        <v>0.0</v>
      </c>
      <c r="Y4" s="21"/>
    </row>
    <row r="5">
      <c r="A5" s="27" t="s">
        <v>92</v>
      </c>
      <c r="B5" s="28" t="s">
        <v>93</v>
      </c>
      <c r="C5" s="29" t="s">
        <v>23</v>
      </c>
      <c r="D5" s="30" t="s">
        <v>79</v>
      </c>
      <c r="E5" s="30" t="s">
        <v>94</v>
      </c>
      <c r="F5" s="30" t="s">
        <v>81</v>
      </c>
      <c r="G5" s="41">
        <v>9.463257663E9</v>
      </c>
      <c r="H5" s="30" t="s">
        <v>95</v>
      </c>
      <c r="I5" s="41" t="s">
        <v>96</v>
      </c>
      <c r="J5" s="29" t="s">
        <v>83</v>
      </c>
      <c r="K5" s="42"/>
      <c r="L5" s="42"/>
      <c r="M5" s="42"/>
      <c r="N5" s="42"/>
      <c r="O5" s="42"/>
      <c r="P5" s="42"/>
      <c r="Q5" s="34" t="s">
        <v>97</v>
      </c>
      <c r="R5" s="30">
        <v>0.0</v>
      </c>
      <c r="S5" s="35" t="s">
        <v>68</v>
      </c>
      <c r="T5" s="30">
        <v>2.0</v>
      </c>
      <c r="U5" s="30">
        <v>3.0</v>
      </c>
      <c r="V5" s="26" t="s">
        <v>76</v>
      </c>
      <c r="W5" s="26" t="s">
        <v>70</v>
      </c>
      <c r="X5" s="21">
        <v>0.0</v>
      </c>
      <c r="Y5" s="21"/>
    </row>
    <row r="6">
      <c r="A6" s="37" t="s">
        <v>98</v>
      </c>
      <c r="B6" s="19" t="s">
        <v>99</v>
      </c>
      <c r="C6" s="20" t="s">
        <v>83</v>
      </c>
      <c r="D6" s="18" t="s">
        <v>100</v>
      </c>
      <c r="E6" s="43" t="s">
        <v>101</v>
      </c>
      <c r="F6" s="18" t="s">
        <v>102</v>
      </c>
      <c r="G6" s="38">
        <v>9.417764968E9</v>
      </c>
      <c r="H6" s="18" t="s">
        <v>103</v>
      </c>
      <c r="I6" s="44"/>
      <c r="J6" s="38"/>
      <c r="K6" s="40"/>
      <c r="L6" s="40"/>
      <c r="M6" s="40"/>
      <c r="N6" s="40"/>
      <c r="O6" s="40"/>
      <c r="P6" s="40"/>
      <c r="Q6" s="24"/>
      <c r="R6" s="18">
        <v>0.0</v>
      </c>
      <c r="S6" s="25" t="s">
        <v>68</v>
      </c>
      <c r="T6" s="18">
        <v>2.0</v>
      </c>
      <c r="U6" s="18">
        <v>4.0</v>
      </c>
      <c r="V6" s="26" t="s">
        <v>76</v>
      </c>
      <c r="W6" s="26" t="s">
        <v>70</v>
      </c>
      <c r="X6" s="21">
        <v>0.0</v>
      </c>
      <c r="Y6" s="21"/>
    </row>
    <row r="7">
      <c r="A7" s="27" t="s">
        <v>104</v>
      </c>
      <c r="B7" s="28" t="s">
        <v>105</v>
      </c>
      <c r="C7" s="29" t="s">
        <v>26</v>
      </c>
      <c r="D7" s="30" t="s">
        <v>106</v>
      </c>
      <c r="E7" s="31" t="s">
        <v>107</v>
      </c>
      <c r="F7" s="31" t="s">
        <v>81</v>
      </c>
      <c r="G7" s="32">
        <v>9.320780006E9</v>
      </c>
      <c r="H7" s="31" t="s">
        <v>108</v>
      </c>
      <c r="I7" s="45">
        <v>35955.0</v>
      </c>
      <c r="J7" s="42"/>
      <c r="K7" s="42"/>
      <c r="L7" s="42"/>
      <c r="M7" s="42"/>
      <c r="N7" s="42"/>
      <c r="O7" s="42"/>
      <c r="P7" s="42"/>
      <c r="Q7" s="34" t="s">
        <v>109</v>
      </c>
      <c r="R7" s="30">
        <v>0.0</v>
      </c>
      <c r="S7" s="35" t="s">
        <v>68</v>
      </c>
      <c r="T7" s="30">
        <v>2.0</v>
      </c>
      <c r="U7" s="30">
        <v>3.0</v>
      </c>
      <c r="V7" s="26" t="s">
        <v>76</v>
      </c>
      <c r="W7" s="26" t="s">
        <v>70</v>
      </c>
      <c r="X7" s="21">
        <v>0.0</v>
      </c>
      <c r="Y7" s="21"/>
    </row>
    <row r="8">
      <c r="A8" s="37" t="s">
        <v>110</v>
      </c>
      <c r="B8" s="19" t="s">
        <v>111</v>
      </c>
      <c r="C8" s="20" t="s">
        <v>29</v>
      </c>
      <c r="D8" s="18" t="s">
        <v>106</v>
      </c>
      <c r="E8" s="21" t="s">
        <v>112</v>
      </c>
      <c r="F8" s="21" t="s">
        <v>81</v>
      </c>
      <c r="G8" s="22">
        <v>7.814942632E9</v>
      </c>
      <c r="H8" s="21" t="s">
        <v>113</v>
      </c>
      <c r="I8" s="23">
        <v>30060.0</v>
      </c>
      <c r="J8" s="20" t="s">
        <v>84</v>
      </c>
      <c r="K8" s="40"/>
      <c r="L8" s="40"/>
      <c r="M8" s="40"/>
      <c r="N8" s="40"/>
      <c r="O8" s="40"/>
      <c r="P8" s="40"/>
      <c r="Q8" s="24" t="s">
        <v>114</v>
      </c>
      <c r="R8" s="18">
        <v>0.0</v>
      </c>
      <c r="S8" s="25" t="s">
        <v>68</v>
      </c>
      <c r="T8" s="18">
        <v>2.0</v>
      </c>
      <c r="U8" s="18">
        <v>3.0</v>
      </c>
      <c r="V8" s="26" t="s">
        <v>76</v>
      </c>
      <c r="W8" s="26" t="s">
        <v>70</v>
      </c>
      <c r="X8" s="21">
        <v>0.0</v>
      </c>
      <c r="Y8" s="21"/>
    </row>
    <row r="9">
      <c r="A9" s="27" t="s">
        <v>115</v>
      </c>
      <c r="B9" s="28" t="s">
        <v>116</v>
      </c>
      <c r="C9" s="29" t="s">
        <v>84</v>
      </c>
      <c r="D9" s="30" t="s">
        <v>117</v>
      </c>
      <c r="E9" s="30" t="s">
        <v>118</v>
      </c>
      <c r="F9" s="30" t="s">
        <v>102</v>
      </c>
      <c r="G9" s="30">
        <v>9.915772067E9</v>
      </c>
      <c r="H9" s="31" t="s">
        <v>119</v>
      </c>
      <c r="I9" s="46"/>
      <c r="J9" s="42"/>
      <c r="K9" s="42"/>
      <c r="L9" s="42"/>
      <c r="M9" s="42"/>
      <c r="N9" s="42"/>
      <c r="O9" s="42"/>
      <c r="P9" s="42"/>
      <c r="Q9" s="34"/>
      <c r="R9" s="30">
        <v>0.0</v>
      </c>
      <c r="S9" s="35" t="s">
        <v>68</v>
      </c>
      <c r="T9" s="30">
        <v>2.0</v>
      </c>
      <c r="U9" s="30">
        <v>4.0</v>
      </c>
      <c r="V9" s="26" t="s">
        <v>76</v>
      </c>
      <c r="W9" s="26" t="s">
        <v>70</v>
      </c>
      <c r="X9" s="21">
        <v>0.0</v>
      </c>
      <c r="Y9" s="21"/>
    </row>
    <row r="10">
      <c r="A10" s="37" t="s">
        <v>120</v>
      </c>
      <c r="B10" s="19" t="s">
        <v>121</v>
      </c>
      <c r="C10" s="20" t="s">
        <v>27</v>
      </c>
      <c r="D10" s="18" t="s">
        <v>122</v>
      </c>
      <c r="E10" s="21" t="s">
        <v>123</v>
      </c>
      <c r="F10" s="21" t="s">
        <v>124</v>
      </c>
      <c r="G10" s="22">
        <v>9.468040548E9</v>
      </c>
      <c r="H10" s="21" t="s">
        <v>125</v>
      </c>
      <c r="I10" s="23">
        <v>31069.0</v>
      </c>
      <c r="J10" s="20" t="s">
        <v>126</v>
      </c>
      <c r="K10" s="20" t="s">
        <v>32</v>
      </c>
      <c r="L10" s="20" t="s">
        <v>31</v>
      </c>
      <c r="M10" s="20" t="s">
        <v>127</v>
      </c>
      <c r="N10" s="40"/>
      <c r="O10" s="40"/>
      <c r="P10" s="40"/>
      <c r="Q10" s="24" t="s">
        <v>128</v>
      </c>
      <c r="R10" s="18">
        <v>0.0</v>
      </c>
      <c r="S10" s="25" t="s">
        <v>68</v>
      </c>
      <c r="T10" s="18">
        <v>2.0</v>
      </c>
      <c r="U10" s="18">
        <v>2.0</v>
      </c>
      <c r="V10" s="26" t="s">
        <v>76</v>
      </c>
      <c r="W10" s="26" t="s">
        <v>70</v>
      </c>
      <c r="X10" s="21">
        <v>0.0</v>
      </c>
      <c r="Y10" s="21"/>
    </row>
    <row r="11">
      <c r="A11" s="27" t="s">
        <v>129</v>
      </c>
      <c r="B11" s="28" t="s">
        <v>130</v>
      </c>
      <c r="C11" s="29" t="s">
        <v>126</v>
      </c>
      <c r="D11" s="30" t="s">
        <v>131</v>
      </c>
      <c r="E11" s="30" t="s">
        <v>132</v>
      </c>
      <c r="F11" s="30" t="s">
        <v>102</v>
      </c>
      <c r="G11" s="30">
        <v>9.781562063E9</v>
      </c>
      <c r="H11" s="31" t="s">
        <v>133</v>
      </c>
      <c r="I11" s="46"/>
      <c r="J11" s="42"/>
      <c r="K11" s="42"/>
      <c r="L11" s="42"/>
      <c r="M11" s="42"/>
      <c r="N11" s="42"/>
      <c r="O11" s="42"/>
      <c r="P11" s="42"/>
      <c r="Q11" s="34"/>
      <c r="R11" s="30">
        <v>0.0</v>
      </c>
      <c r="S11" s="35" t="s">
        <v>68</v>
      </c>
      <c r="T11" s="30">
        <v>2.0</v>
      </c>
      <c r="U11" s="30">
        <v>4.0</v>
      </c>
      <c r="V11" s="26" t="s">
        <v>76</v>
      </c>
      <c r="W11" s="26" t="s">
        <v>70</v>
      </c>
      <c r="X11" s="21">
        <v>0.0</v>
      </c>
      <c r="Y11" s="21"/>
    </row>
    <row r="12">
      <c r="A12" s="37" t="s">
        <v>134</v>
      </c>
      <c r="B12" s="19" t="s">
        <v>135</v>
      </c>
      <c r="C12" s="20" t="s">
        <v>32</v>
      </c>
      <c r="D12" s="18" t="s">
        <v>136</v>
      </c>
      <c r="E12" s="21" t="s">
        <v>137</v>
      </c>
      <c r="F12" s="21" t="s">
        <v>81</v>
      </c>
      <c r="G12" s="22">
        <v>9.781508812E9</v>
      </c>
      <c r="H12" s="21" t="s">
        <v>138</v>
      </c>
      <c r="I12" s="23">
        <v>35936.0</v>
      </c>
      <c r="J12" s="20" t="s">
        <v>127</v>
      </c>
      <c r="K12" s="40"/>
      <c r="L12" s="40"/>
      <c r="M12" s="40"/>
      <c r="N12" s="40"/>
      <c r="O12" s="40"/>
      <c r="P12" s="40"/>
      <c r="Q12" s="24" t="s">
        <v>139</v>
      </c>
      <c r="R12" s="18">
        <v>0.0</v>
      </c>
      <c r="S12" s="25" t="s">
        <v>68</v>
      </c>
      <c r="T12" s="18">
        <v>2.0</v>
      </c>
      <c r="U12" s="18">
        <v>3.0</v>
      </c>
      <c r="V12" s="26" t="s">
        <v>76</v>
      </c>
      <c r="W12" s="26" t="s">
        <v>70</v>
      </c>
      <c r="X12" s="21">
        <v>0.0</v>
      </c>
      <c r="Y12" s="36"/>
    </row>
    <row r="13">
      <c r="A13" s="27" t="s">
        <v>140</v>
      </c>
      <c r="B13" s="28" t="s">
        <v>141</v>
      </c>
      <c r="C13" s="29" t="s">
        <v>31</v>
      </c>
      <c r="D13" s="30" t="s">
        <v>136</v>
      </c>
      <c r="E13" s="31" t="s">
        <v>142</v>
      </c>
      <c r="F13" s="31" t="s">
        <v>81</v>
      </c>
      <c r="G13" s="32">
        <v>9.464349752E9</v>
      </c>
      <c r="H13" s="31" t="s">
        <v>143</v>
      </c>
      <c r="I13" s="33">
        <v>37092.0</v>
      </c>
      <c r="J13" s="29"/>
      <c r="K13" s="42"/>
      <c r="L13" s="42"/>
      <c r="M13" s="42"/>
      <c r="N13" s="42"/>
      <c r="O13" s="42"/>
      <c r="P13" s="42"/>
      <c r="Q13" s="34" t="s">
        <v>144</v>
      </c>
      <c r="R13" s="30">
        <v>0.0</v>
      </c>
      <c r="S13" s="35" t="s">
        <v>68</v>
      </c>
      <c r="T13" s="30">
        <v>2.0</v>
      </c>
      <c r="U13" s="30">
        <v>3.0</v>
      </c>
      <c r="V13" s="26" t="s">
        <v>76</v>
      </c>
      <c r="W13" s="26" t="s">
        <v>70</v>
      </c>
      <c r="X13" s="21">
        <v>0.0</v>
      </c>
      <c r="Y13" s="21"/>
    </row>
    <row r="14">
      <c r="A14" s="37" t="s">
        <v>145</v>
      </c>
      <c r="B14" s="19" t="s">
        <v>93</v>
      </c>
      <c r="C14" s="20" t="s">
        <v>127</v>
      </c>
      <c r="D14" s="21" t="s">
        <v>146</v>
      </c>
      <c r="E14" s="47" t="s">
        <v>147</v>
      </c>
      <c r="F14" s="18" t="s">
        <v>148</v>
      </c>
      <c r="G14" s="18">
        <v>9.46481926E9</v>
      </c>
      <c r="H14" s="21" t="s">
        <v>149</v>
      </c>
      <c r="I14" s="44"/>
      <c r="J14" s="40"/>
      <c r="K14" s="40"/>
      <c r="L14" s="40"/>
      <c r="M14" s="40"/>
      <c r="N14" s="40"/>
      <c r="O14" s="40"/>
      <c r="P14" s="40"/>
      <c r="Q14" s="24" t="s">
        <v>150</v>
      </c>
      <c r="R14" s="18">
        <v>0.0</v>
      </c>
      <c r="S14" s="25" t="s">
        <v>68</v>
      </c>
      <c r="T14" s="18">
        <v>2.0</v>
      </c>
      <c r="U14" s="18">
        <v>4.0</v>
      </c>
      <c r="V14" s="26" t="s">
        <v>76</v>
      </c>
      <c r="W14" s="26" t="s">
        <v>70</v>
      </c>
      <c r="X14" s="21">
        <v>0.0</v>
      </c>
      <c r="Y14" s="21"/>
    </row>
    <row r="15">
      <c r="A15" s="27" t="s">
        <v>151</v>
      </c>
      <c r="B15" s="28" t="s">
        <v>152</v>
      </c>
      <c r="C15" s="29" t="s">
        <v>33</v>
      </c>
      <c r="D15" s="30" t="s">
        <v>122</v>
      </c>
      <c r="E15" s="30" t="s">
        <v>153</v>
      </c>
      <c r="F15" s="30" t="s">
        <v>154</v>
      </c>
      <c r="G15" s="41">
        <v>9.417739565E9</v>
      </c>
      <c r="H15" s="31" t="s">
        <v>155</v>
      </c>
      <c r="I15" s="46"/>
      <c r="J15" s="29" t="s">
        <v>24</v>
      </c>
      <c r="K15" s="29" t="s">
        <v>156</v>
      </c>
      <c r="N15" s="42"/>
      <c r="O15" s="42"/>
      <c r="P15" s="42"/>
      <c r="Q15" s="34" t="s">
        <v>157</v>
      </c>
      <c r="R15" s="30">
        <v>0.0</v>
      </c>
      <c r="S15" s="35" t="s">
        <v>68</v>
      </c>
      <c r="T15" s="30">
        <v>2.0</v>
      </c>
      <c r="U15" s="30">
        <v>2.0</v>
      </c>
      <c r="V15" s="26" t="s">
        <v>76</v>
      </c>
      <c r="W15" s="26" t="s">
        <v>70</v>
      </c>
      <c r="X15" s="21">
        <v>0.0</v>
      </c>
      <c r="Y15" s="21"/>
    </row>
    <row r="16">
      <c r="A16" s="37" t="s">
        <v>158</v>
      </c>
      <c r="B16" s="19" t="s">
        <v>159</v>
      </c>
      <c r="C16" s="20" t="s">
        <v>24</v>
      </c>
      <c r="D16" s="18" t="s">
        <v>160</v>
      </c>
      <c r="E16" s="21" t="s">
        <v>161</v>
      </c>
      <c r="F16" s="21" t="s">
        <v>81</v>
      </c>
      <c r="G16" s="22" t="s">
        <v>162</v>
      </c>
      <c r="H16" s="21" t="s">
        <v>163</v>
      </c>
      <c r="I16" s="23">
        <v>35955.0</v>
      </c>
      <c r="J16" s="20" t="s">
        <v>156</v>
      </c>
      <c r="K16" s="40"/>
      <c r="L16" s="40"/>
      <c r="M16" s="40"/>
      <c r="N16" s="40"/>
      <c r="O16" s="40"/>
      <c r="P16" s="40"/>
      <c r="Q16" s="24" t="s">
        <v>164</v>
      </c>
      <c r="R16" s="18">
        <v>0.0</v>
      </c>
      <c r="S16" s="25" t="s">
        <v>68</v>
      </c>
      <c r="T16" s="18">
        <v>2.0</v>
      </c>
      <c r="U16" s="18">
        <v>3.0</v>
      </c>
      <c r="V16" s="26" t="s">
        <v>76</v>
      </c>
      <c r="W16" s="26" t="s">
        <v>70</v>
      </c>
      <c r="X16" s="21">
        <v>0.0</v>
      </c>
      <c r="Y16" s="21"/>
    </row>
    <row r="17">
      <c r="A17" s="27" t="s">
        <v>165</v>
      </c>
      <c r="B17" s="28">
        <v>1987.0</v>
      </c>
      <c r="C17" s="29" t="s">
        <v>156</v>
      </c>
      <c r="D17" s="30" t="s">
        <v>166</v>
      </c>
      <c r="E17" s="30" t="s">
        <v>167</v>
      </c>
      <c r="F17" s="30" t="s">
        <v>102</v>
      </c>
      <c r="G17" s="30">
        <v>9.779361662E9</v>
      </c>
      <c r="H17" s="31" t="s">
        <v>168</v>
      </c>
      <c r="I17" s="46"/>
      <c r="J17" s="42"/>
      <c r="K17" s="42"/>
      <c r="L17" s="42"/>
      <c r="M17" s="42"/>
      <c r="N17" s="42"/>
      <c r="O17" s="42"/>
      <c r="P17" s="42"/>
      <c r="Q17" s="34"/>
      <c r="R17" s="30">
        <v>0.0</v>
      </c>
      <c r="S17" s="35" t="s">
        <v>68</v>
      </c>
      <c r="T17" s="30">
        <v>2.0</v>
      </c>
      <c r="U17" s="30">
        <v>4.0</v>
      </c>
      <c r="V17" s="26" t="s">
        <v>76</v>
      </c>
      <c r="W17" s="26" t="s">
        <v>70</v>
      </c>
      <c r="X17" s="21">
        <v>0.0</v>
      </c>
      <c r="Y17" s="21"/>
      <c r="AD17" s="7"/>
    </row>
    <row r="18">
      <c r="A18" s="37" t="s">
        <v>169</v>
      </c>
      <c r="B18" s="19">
        <v>1998.0</v>
      </c>
      <c r="C18" s="20" t="s">
        <v>34</v>
      </c>
      <c r="D18" s="18" t="s">
        <v>122</v>
      </c>
      <c r="E18" s="21" t="s">
        <v>72</v>
      </c>
      <c r="F18" s="21" t="s">
        <v>170</v>
      </c>
      <c r="G18" s="22">
        <v>7.015525385E9</v>
      </c>
      <c r="H18" s="21" t="s">
        <v>171</v>
      </c>
      <c r="I18" s="23">
        <v>27823.0</v>
      </c>
      <c r="J18" s="20" t="s">
        <v>40</v>
      </c>
      <c r="K18" s="20" t="s">
        <v>39</v>
      </c>
      <c r="L18" s="20" t="s">
        <v>36</v>
      </c>
      <c r="M18" s="20"/>
      <c r="N18" s="40"/>
      <c r="O18" s="40"/>
      <c r="P18" s="40"/>
      <c r="Q18" s="24" t="s">
        <v>172</v>
      </c>
      <c r="R18" s="18">
        <v>0.0</v>
      </c>
      <c r="S18" s="25" t="s">
        <v>68</v>
      </c>
      <c r="T18" s="18">
        <v>2.0</v>
      </c>
      <c r="U18" s="18">
        <v>1.0</v>
      </c>
      <c r="V18" s="26" t="s">
        <v>76</v>
      </c>
      <c r="W18" s="26" t="s">
        <v>70</v>
      </c>
      <c r="X18" s="21">
        <v>1.0</v>
      </c>
      <c r="Y18" s="48" t="s">
        <v>173</v>
      </c>
    </row>
    <row r="19">
      <c r="A19" s="27" t="s">
        <v>174</v>
      </c>
      <c r="B19" s="28">
        <v>1234.0</v>
      </c>
      <c r="C19" s="29" t="s">
        <v>40</v>
      </c>
      <c r="D19" s="30" t="s">
        <v>175</v>
      </c>
      <c r="E19" s="30" t="s">
        <v>176</v>
      </c>
      <c r="F19" s="30" t="s">
        <v>102</v>
      </c>
      <c r="G19" s="30">
        <v>9.478454831E9</v>
      </c>
      <c r="H19" s="31" t="s">
        <v>177</v>
      </c>
      <c r="I19" s="46"/>
      <c r="J19" s="42"/>
      <c r="K19" s="42"/>
      <c r="L19" s="42"/>
      <c r="M19" s="42"/>
      <c r="N19" s="42"/>
      <c r="O19" s="42"/>
      <c r="P19" s="42"/>
      <c r="Q19" s="34" t="s">
        <v>178</v>
      </c>
      <c r="R19" s="30">
        <v>0.0</v>
      </c>
      <c r="S19" s="35" t="s">
        <v>68</v>
      </c>
      <c r="T19" s="30">
        <v>2.0</v>
      </c>
      <c r="U19" s="30">
        <v>4.0</v>
      </c>
      <c r="V19" s="26" t="s">
        <v>76</v>
      </c>
      <c r="W19" s="26" t="s">
        <v>70</v>
      </c>
      <c r="X19" s="21">
        <v>0.0</v>
      </c>
      <c r="Y19" s="21"/>
    </row>
    <row r="20">
      <c r="A20" s="37" t="s">
        <v>179</v>
      </c>
      <c r="B20" s="19" t="s">
        <v>180</v>
      </c>
      <c r="C20" s="20" t="s">
        <v>39</v>
      </c>
      <c r="D20" s="18" t="s">
        <v>175</v>
      </c>
      <c r="E20" s="49" t="s">
        <v>94</v>
      </c>
      <c r="F20" s="18" t="s">
        <v>102</v>
      </c>
      <c r="G20" s="18">
        <v>9.53068541E9</v>
      </c>
      <c r="H20" s="21" t="s">
        <v>181</v>
      </c>
      <c r="I20" s="44"/>
      <c r="J20" s="40"/>
      <c r="K20" s="40"/>
      <c r="L20" s="40"/>
      <c r="M20" s="40"/>
      <c r="N20" s="40"/>
      <c r="O20" s="40"/>
      <c r="P20" s="40"/>
      <c r="Q20" s="24" t="s">
        <v>182</v>
      </c>
      <c r="R20" s="18">
        <v>0.0</v>
      </c>
      <c r="S20" s="25" t="s">
        <v>68</v>
      </c>
      <c r="T20" s="18">
        <v>2.0</v>
      </c>
      <c r="U20" s="18">
        <v>4.0</v>
      </c>
      <c r="V20" s="26" t="s">
        <v>76</v>
      </c>
      <c r="W20" s="26" t="s">
        <v>70</v>
      </c>
      <c r="X20" s="21">
        <v>0.0</v>
      </c>
      <c r="Y20" s="21"/>
    </row>
    <row r="21">
      <c r="A21" s="27" t="s">
        <v>183</v>
      </c>
      <c r="B21" s="28">
        <v>2000.0</v>
      </c>
      <c r="C21" s="29" t="s">
        <v>36</v>
      </c>
      <c r="D21" s="30" t="s">
        <v>175</v>
      </c>
      <c r="E21" s="31" t="s">
        <v>184</v>
      </c>
      <c r="F21" s="31" t="s">
        <v>185</v>
      </c>
      <c r="G21" s="32">
        <v>9.46349135E9</v>
      </c>
      <c r="H21" s="31" t="s">
        <v>186</v>
      </c>
      <c r="I21" s="33">
        <v>23538.0</v>
      </c>
      <c r="J21" s="42"/>
      <c r="K21" s="42"/>
      <c r="L21" s="42"/>
      <c r="M21" s="42"/>
      <c r="N21" s="42"/>
      <c r="O21" s="42"/>
      <c r="P21" s="42"/>
      <c r="Q21" s="34" t="s">
        <v>187</v>
      </c>
      <c r="R21" s="30">
        <v>0.0</v>
      </c>
      <c r="S21" s="35" t="s">
        <v>68</v>
      </c>
      <c r="T21" s="30">
        <v>2.0</v>
      </c>
      <c r="U21" s="30">
        <v>3.0</v>
      </c>
      <c r="V21" s="26" t="s">
        <v>76</v>
      </c>
      <c r="W21" s="26" t="s">
        <v>70</v>
      </c>
      <c r="X21" s="21">
        <v>0.0</v>
      </c>
      <c r="Y21" s="21"/>
    </row>
    <row r="22" ht="17.25" customHeight="1">
      <c r="A22" s="37" t="s">
        <v>188</v>
      </c>
      <c r="B22" s="19">
        <v>1986.0</v>
      </c>
      <c r="C22" s="20" t="s">
        <v>38</v>
      </c>
      <c r="D22" s="18" t="s">
        <v>122</v>
      </c>
      <c r="E22" s="18" t="s">
        <v>189</v>
      </c>
      <c r="F22" s="18" t="s">
        <v>190</v>
      </c>
      <c r="G22" s="18">
        <v>9.915156262E9</v>
      </c>
      <c r="H22" s="21" t="s">
        <v>191</v>
      </c>
      <c r="I22" s="44"/>
      <c r="J22" s="20" t="s">
        <v>192</v>
      </c>
      <c r="K22" s="40"/>
      <c r="L22" s="40"/>
      <c r="M22" s="40"/>
      <c r="N22" s="40"/>
      <c r="O22" s="40"/>
      <c r="P22" s="40"/>
      <c r="Q22" s="24" t="s">
        <v>193</v>
      </c>
      <c r="R22" s="18">
        <v>0.0</v>
      </c>
      <c r="S22" s="25" t="s">
        <v>68</v>
      </c>
      <c r="T22" s="18">
        <v>2.0</v>
      </c>
      <c r="U22" s="18">
        <v>2.0</v>
      </c>
      <c r="V22" s="26" t="s">
        <v>76</v>
      </c>
      <c r="W22" s="26" t="s">
        <v>70</v>
      </c>
      <c r="X22" s="21">
        <v>0.0</v>
      </c>
      <c r="Y22" s="21"/>
    </row>
    <row r="23">
      <c r="A23" s="27" t="s">
        <v>194</v>
      </c>
      <c r="B23" s="28" t="s">
        <v>93</v>
      </c>
      <c r="C23" s="29" t="s">
        <v>192</v>
      </c>
      <c r="D23" s="30" t="s">
        <v>195</v>
      </c>
      <c r="E23" s="43" t="s">
        <v>196</v>
      </c>
      <c r="F23" s="30" t="s">
        <v>102</v>
      </c>
      <c r="G23" s="30">
        <v>9.464132031E9</v>
      </c>
      <c r="H23" s="31" t="s">
        <v>197</v>
      </c>
      <c r="I23" s="46"/>
      <c r="J23" s="42"/>
      <c r="K23" s="42"/>
      <c r="L23" s="42"/>
      <c r="M23" s="42"/>
      <c r="N23" s="42"/>
      <c r="O23" s="42"/>
      <c r="P23" s="42"/>
      <c r="Q23" s="34" t="s">
        <v>198</v>
      </c>
      <c r="R23" s="30">
        <v>0.0</v>
      </c>
      <c r="S23" s="35" t="s">
        <v>68</v>
      </c>
      <c r="T23" s="30">
        <v>2.0</v>
      </c>
      <c r="U23" s="30">
        <v>4.0</v>
      </c>
      <c r="V23" s="26" t="s">
        <v>76</v>
      </c>
      <c r="W23" s="26" t="s">
        <v>70</v>
      </c>
      <c r="X23" s="21">
        <v>0.0</v>
      </c>
      <c r="Y23" s="21"/>
    </row>
    <row r="24">
      <c r="A24" s="37" t="s">
        <v>199</v>
      </c>
      <c r="B24" s="19" t="s">
        <v>200</v>
      </c>
      <c r="C24" s="20" t="s">
        <v>201</v>
      </c>
      <c r="D24" s="18" t="s">
        <v>122</v>
      </c>
      <c r="E24" s="21" t="s">
        <v>202</v>
      </c>
      <c r="F24" s="21" t="s">
        <v>124</v>
      </c>
      <c r="G24" s="22">
        <v>9.551422222E9</v>
      </c>
      <c r="H24" s="21" t="s">
        <v>203</v>
      </c>
      <c r="I24" s="23">
        <v>35984.0</v>
      </c>
      <c r="J24" s="40"/>
      <c r="K24" s="40"/>
      <c r="L24" s="40"/>
      <c r="M24" s="40"/>
      <c r="N24" s="40"/>
      <c r="O24" s="40"/>
      <c r="P24" s="40"/>
      <c r="Q24" s="24" t="s">
        <v>204</v>
      </c>
      <c r="R24" s="18">
        <v>0.0</v>
      </c>
      <c r="S24" s="25" t="s">
        <v>68</v>
      </c>
      <c r="T24" s="18">
        <v>2.0</v>
      </c>
      <c r="U24" s="18">
        <v>2.0</v>
      </c>
      <c r="V24" s="26" t="s">
        <v>76</v>
      </c>
      <c r="W24" s="26" t="s">
        <v>70</v>
      </c>
      <c r="X24" s="21">
        <v>0.0</v>
      </c>
      <c r="Y24" s="21"/>
    </row>
    <row r="25">
      <c r="A25" s="27" t="s">
        <v>205</v>
      </c>
      <c r="B25" s="28" t="s">
        <v>206</v>
      </c>
      <c r="C25" s="29" t="s">
        <v>207</v>
      </c>
      <c r="D25" s="30" t="s">
        <v>122</v>
      </c>
      <c r="E25" s="31" t="s">
        <v>208</v>
      </c>
      <c r="F25" s="31" t="s">
        <v>209</v>
      </c>
      <c r="G25" s="32">
        <v>7.00954201E9</v>
      </c>
      <c r="H25" s="31" t="s">
        <v>210</v>
      </c>
      <c r="I25" s="33">
        <v>36862.0</v>
      </c>
      <c r="J25" s="29" t="s">
        <v>211</v>
      </c>
      <c r="K25" s="29" t="s">
        <v>212</v>
      </c>
      <c r="L25" s="29" t="s">
        <v>213</v>
      </c>
      <c r="M25" s="50" t="s">
        <v>214</v>
      </c>
      <c r="N25" s="42"/>
      <c r="O25" s="42"/>
      <c r="P25" s="42"/>
      <c r="Q25" s="34" t="s">
        <v>215</v>
      </c>
      <c r="R25" s="30">
        <v>0.0</v>
      </c>
      <c r="S25" s="35" t="s">
        <v>68</v>
      </c>
      <c r="T25" s="30">
        <v>2.0</v>
      </c>
      <c r="U25" s="30">
        <v>2.0</v>
      </c>
      <c r="V25" s="26" t="s">
        <v>76</v>
      </c>
      <c r="W25" s="26" t="s">
        <v>70</v>
      </c>
      <c r="X25" s="21">
        <v>1.0</v>
      </c>
      <c r="Y25" s="48" t="s">
        <v>216</v>
      </c>
    </row>
    <row r="26">
      <c r="A26" s="18" t="s">
        <v>217</v>
      </c>
      <c r="B26" s="19" t="s">
        <v>218</v>
      </c>
      <c r="C26" s="20" t="s">
        <v>214</v>
      </c>
      <c r="D26" s="18" t="s">
        <v>219</v>
      </c>
      <c r="E26" s="18" t="s">
        <v>220</v>
      </c>
      <c r="F26" s="18" t="s">
        <v>148</v>
      </c>
      <c r="G26" s="18" t="s">
        <v>221</v>
      </c>
      <c r="H26" s="21" t="s">
        <v>221</v>
      </c>
      <c r="Q26" s="24" t="s">
        <v>222</v>
      </c>
      <c r="R26" s="18">
        <v>0.0</v>
      </c>
      <c r="S26" s="25" t="s">
        <v>68</v>
      </c>
      <c r="T26" s="18">
        <v>2.0</v>
      </c>
      <c r="U26" s="18">
        <v>4.0</v>
      </c>
      <c r="V26" s="26" t="s">
        <v>76</v>
      </c>
      <c r="W26" s="26" t="s">
        <v>70</v>
      </c>
      <c r="X26" s="21">
        <v>0.0</v>
      </c>
      <c r="Y26" s="21"/>
    </row>
    <row r="27">
      <c r="A27" s="27" t="s">
        <v>223</v>
      </c>
      <c r="B27" s="28">
        <v>5275.0</v>
      </c>
      <c r="C27" s="29" t="s">
        <v>211</v>
      </c>
      <c r="D27" s="30" t="s">
        <v>219</v>
      </c>
      <c r="E27" s="43" t="s">
        <v>224</v>
      </c>
      <c r="F27" s="30" t="s">
        <v>148</v>
      </c>
      <c r="G27" s="30">
        <v>9.876852575E9</v>
      </c>
      <c r="H27" s="31" t="s">
        <v>225</v>
      </c>
      <c r="I27" s="46"/>
      <c r="J27" s="42"/>
      <c r="K27" s="42"/>
      <c r="L27" s="42"/>
      <c r="M27" s="42"/>
      <c r="N27" s="42"/>
      <c r="O27" s="42"/>
      <c r="P27" s="42"/>
      <c r="Q27" s="34" t="s">
        <v>226</v>
      </c>
      <c r="R27" s="30">
        <v>0.0</v>
      </c>
      <c r="S27" s="35" t="s">
        <v>68</v>
      </c>
      <c r="T27" s="30">
        <v>2.0</v>
      </c>
      <c r="U27" s="30">
        <v>4.0</v>
      </c>
      <c r="V27" s="26" t="s">
        <v>76</v>
      </c>
      <c r="W27" s="26" t="s">
        <v>70</v>
      </c>
      <c r="X27" s="21">
        <v>0.0</v>
      </c>
      <c r="Y27" s="21"/>
    </row>
    <row r="28">
      <c r="A28" s="37" t="s">
        <v>227</v>
      </c>
      <c r="B28" s="19">
        <v>2000.0</v>
      </c>
      <c r="C28" s="20" t="s">
        <v>212</v>
      </c>
      <c r="D28" s="18" t="s">
        <v>219</v>
      </c>
      <c r="E28" s="21" t="s">
        <v>228</v>
      </c>
      <c r="F28" s="21" t="s">
        <v>81</v>
      </c>
      <c r="G28" s="22">
        <v>9.465759552E9</v>
      </c>
      <c r="H28" s="21" t="s">
        <v>229</v>
      </c>
      <c r="I28" s="23">
        <v>29406.0</v>
      </c>
      <c r="J28" s="51" t="s">
        <v>214</v>
      </c>
      <c r="K28" s="40"/>
      <c r="L28" s="40"/>
      <c r="M28" s="40"/>
      <c r="N28" s="40"/>
      <c r="O28" s="40"/>
      <c r="P28" s="40"/>
      <c r="Q28" s="24" t="s">
        <v>230</v>
      </c>
      <c r="R28" s="18">
        <v>0.0</v>
      </c>
      <c r="S28" s="25" t="s">
        <v>68</v>
      </c>
      <c r="T28" s="18">
        <v>2.0</v>
      </c>
      <c r="U28" s="18">
        <v>3.0</v>
      </c>
      <c r="V28" s="26" t="s">
        <v>76</v>
      </c>
      <c r="W28" s="26" t="s">
        <v>70</v>
      </c>
      <c r="X28" s="21">
        <v>0.0</v>
      </c>
      <c r="Y28" s="21"/>
    </row>
    <row r="29">
      <c r="A29" s="27" t="s">
        <v>231</v>
      </c>
      <c r="B29" s="28" t="s">
        <v>232</v>
      </c>
      <c r="C29" s="29" t="s">
        <v>213</v>
      </c>
      <c r="D29" s="30" t="s">
        <v>219</v>
      </c>
      <c r="E29" s="31" t="s">
        <v>233</v>
      </c>
      <c r="F29" s="31" t="s">
        <v>234</v>
      </c>
      <c r="G29" s="32">
        <v>8.36017691E9</v>
      </c>
      <c r="H29" s="31" t="s">
        <v>235</v>
      </c>
      <c r="I29" s="33">
        <v>36764.0</v>
      </c>
      <c r="J29" s="42"/>
      <c r="K29" s="42"/>
      <c r="L29" s="42"/>
      <c r="M29" s="42"/>
      <c r="N29" s="42"/>
      <c r="O29" s="42"/>
      <c r="P29" s="42"/>
      <c r="Q29" s="34" t="s">
        <v>236</v>
      </c>
      <c r="R29" s="30">
        <v>0.0</v>
      </c>
      <c r="S29" s="35" t="s">
        <v>68</v>
      </c>
      <c r="T29" s="30">
        <v>2.0</v>
      </c>
      <c r="U29" s="30">
        <v>3.0</v>
      </c>
      <c r="V29" s="26" t="s">
        <v>76</v>
      </c>
      <c r="W29" s="26" t="s">
        <v>70</v>
      </c>
      <c r="X29" s="21">
        <v>0.0</v>
      </c>
      <c r="Y29" s="21"/>
    </row>
    <row r="30">
      <c r="A30" s="37" t="s">
        <v>237</v>
      </c>
      <c r="B30" s="19">
        <v>2000.0</v>
      </c>
      <c r="C30" s="20" t="s">
        <v>30</v>
      </c>
      <c r="D30" s="18" t="s">
        <v>122</v>
      </c>
      <c r="E30" s="18" t="s">
        <v>238</v>
      </c>
      <c r="F30" s="18" t="s">
        <v>124</v>
      </c>
      <c r="G30" s="18">
        <v>7.009770572E9</v>
      </c>
      <c r="H30" s="21" t="s">
        <v>239</v>
      </c>
      <c r="I30" s="44"/>
      <c r="J30" s="20" t="s">
        <v>240</v>
      </c>
      <c r="K30" s="40"/>
      <c r="L30" s="40"/>
      <c r="M30" s="40"/>
      <c r="N30" s="40"/>
      <c r="O30" s="40"/>
      <c r="P30" s="40"/>
      <c r="Q30" s="24" t="s">
        <v>241</v>
      </c>
      <c r="R30" s="18">
        <v>0.0</v>
      </c>
      <c r="S30" s="25" t="s">
        <v>68</v>
      </c>
      <c r="T30" s="18">
        <v>2.0</v>
      </c>
      <c r="U30" s="18">
        <v>2.0</v>
      </c>
      <c r="V30" s="26" t="s">
        <v>76</v>
      </c>
      <c r="W30" s="26" t="s">
        <v>70</v>
      </c>
      <c r="X30" s="21">
        <v>0.0</v>
      </c>
      <c r="Y30" s="21"/>
    </row>
    <row r="31">
      <c r="A31" s="27" t="s">
        <v>242</v>
      </c>
      <c r="B31" s="28">
        <v>1991.0</v>
      </c>
      <c r="C31" s="29" t="s">
        <v>240</v>
      </c>
      <c r="D31" s="30" t="s">
        <v>243</v>
      </c>
      <c r="E31" s="52" t="s">
        <v>244</v>
      </c>
      <c r="F31" s="30" t="s">
        <v>148</v>
      </c>
      <c r="G31" s="30">
        <v>9.855741258E9</v>
      </c>
      <c r="H31" s="31" t="s">
        <v>245</v>
      </c>
      <c r="I31" s="46"/>
      <c r="J31" s="42"/>
      <c r="K31" s="42"/>
      <c r="L31" s="42"/>
      <c r="M31" s="42"/>
      <c r="N31" s="42"/>
      <c r="O31" s="42"/>
      <c r="P31" s="42"/>
      <c r="Q31" s="34"/>
      <c r="R31" s="30">
        <v>0.0</v>
      </c>
      <c r="S31" s="35" t="s">
        <v>68</v>
      </c>
      <c r="T31" s="30">
        <v>2.0</v>
      </c>
      <c r="U31" s="30">
        <v>4.0</v>
      </c>
      <c r="V31" s="26" t="s">
        <v>76</v>
      </c>
      <c r="W31" s="26" t="s">
        <v>70</v>
      </c>
      <c r="X31" s="21">
        <v>0.0</v>
      </c>
      <c r="Y31" s="21"/>
    </row>
    <row r="32">
      <c r="A32" s="37" t="s">
        <v>246</v>
      </c>
      <c r="B32" s="19">
        <v>1683.0</v>
      </c>
      <c r="C32" s="20" t="s">
        <v>25</v>
      </c>
      <c r="D32" s="18" t="s">
        <v>122</v>
      </c>
      <c r="E32" s="18" t="s">
        <v>247</v>
      </c>
      <c r="F32" s="18" t="s">
        <v>248</v>
      </c>
      <c r="G32" s="18">
        <v>9.876952273E9</v>
      </c>
      <c r="H32" s="21" t="s">
        <v>249</v>
      </c>
      <c r="I32" s="44"/>
      <c r="J32" s="40"/>
      <c r="K32" s="40"/>
      <c r="L32" s="40"/>
      <c r="M32" s="40"/>
      <c r="N32" s="40"/>
      <c r="O32" s="40"/>
      <c r="P32" s="40"/>
      <c r="Q32" s="24" t="s">
        <v>250</v>
      </c>
      <c r="R32" s="18">
        <v>0.0</v>
      </c>
      <c r="S32" s="25" t="s">
        <v>68</v>
      </c>
      <c r="T32" s="18">
        <v>2.0</v>
      </c>
      <c r="U32" s="18">
        <v>2.0</v>
      </c>
      <c r="V32" s="26" t="s">
        <v>76</v>
      </c>
      <c r="W32" s="26" t="s">
        <v>70</v>
      </c>
      <c r="X32" s="21">
        <v>0.0</v>
      </c>
      <c r="Y32" s="21"/>
    </row>
    <row r="33">
      <c r="A33" s="27" t="s">
        <v>251</v>
      </c>
      <c r="B33" s="28" t="s">
        <v>252</v>
      </c>
      <c r="C33" s="29" t="s">
        <v>41</v>
      </c>
      <c r="D33" s="30" t="s">
        <v>122</v>
      </c>
      <c r="E33" s="31" t="s">
        <v>253</v>
      </c>
      <c r="F33" s="30" t="s">
        <v>170</v>
      </c>
      <c r="G33" s="32">
        <v>8.847219859E9</v>
      </c>
      <c r="H33" s="31" t="s">
        <v>254</v>
      </c>
      <c r="I33" s="33">
        <v>31048.0</v>
      </c>
      <c r="J33" s="42"/>
      <c r="K33" s="42"/>
      <c r="L33" s="42"/>
      <c r="M33" s="42"/>
      <c r="N33" s="42"/>
      <c r="O33" s="42"/>
      <c r="P33" s="42"/>
      <c r="Q33" s="34" t="s">
        <v>255</v>
      </c>
      <c r="R33" s="30">
        <v>0.0</v>
      </c>
      <c r="S33" s="35" t="s">
        <v>68</v>
      </c>
      <c r="T33" s="30">
        <v>2.0</v>
      </c>
      <c r="U33" s="30">
        <v>2.0</v>
      </c>
      <c r="V33" s="26" t="s">
        <v>76</v>
      </c>
      <c r="W33" s="26" t="s">
        <v>70</v>
      </c>
      <c r="X33" s="21">
        <v>0.0</v>
      </c>
      <c r="Y33" s="21"/>
    </row>
    <row r="34">
      <c r="A34" s="37" t="s">
        <v>256</v>
      </c>
      <c r="B34" s="19" t="s">
        <v>257</v>
      </c>
      <c r="C34" s="20" t="s">
        <v>258</v>
      </c>
      <c r="D34" s="18" t="s">
        <v>122</v>
      </c>
      <c r="E34" s="18" t="s">
        <v>259</v>
      </c>
      <c r="F34" s="18" t="s">
        <v>170</v>
      </c>
      <c r="G34" s="18">
        <v>9.996876355E9</v>
      </c>
      <c r="H34" s="21" t="s">
        <v>260</v>
      </c>
      <c r="I34" s="44"/>
      <c r="J34" s="20" t="s">
        <v>261</v>
      </c>
      <c r="K34" s="40"/>
      <c r="L34" s="40"/>
      <c r="M34" s="40"/>
      <c r="N34" s="40"/>
      <c r="O34" s="40"/>
      <c r="P34" s="40"/>
      <c r="Q34" s="24" t="s">
        <v>262</v>
      </c>
      <c r="R34" s="18">
        <v>0.0</v>
      </c>
      <c r="S34" s="25" t="s">
        <v>68</v>
      </c>
      <c r="T34" s="18">
        <v>2.0</v>
      </c>
      <c r="U34" s="18">
        <v>2.0</v>
      </c>
      <c r="V34" s="26" t="s">
        <v>76</v>
      </c>
      <c r="W34" s="26" t="s">
        <v>70</v>
      </c>
      <c r="X34" s="21">
        <v>0.0</v>
      </c>
      <c r="Y34" s="21"/>
    </row>
    <row r="35">
      <c r="A35" s="27" t="s">
        <v>263</v>
      </c>
      <c r="B35" s="28">
        <v>7777.0</v>
      </c>
      <c r="C35" s="29" t="s">
        <v>261</v>
      </c>
      <c r="D35" s="30" t="s">
        <v>79</v>
      </c>
      <c r="E35" s="43" t="s">
        <v>264</v>
      </c>
      <c r="F35" s="30" t="s">
        <v>102</v>
      </c>
      <c r="G35" s="30">
        <v>8.847279521E9</v>
      </c>
      <c r="H35" s="31" t="s">
        <v>265</v>
      </c>
      <c r="K35" s="53"/>
      <c r="L35" s="42"/>
      <c r="M35" s="42"/>
      <c r="N35" s="42"/>
      <c r="O35" s="42"/>
      <c r="P35" s="42"/>
      <c r="Q35" s="34" t="s">
        <v>266</v>
      </c>
      <c r="R35" s="30">
        <v>0.0</v>
      </c>
      <c r="S35" s="35" t="s">
        <v>68</v>
      </c>
      <c r="T35" s="30">
        <v>2.0</v>
      </c>
      <c r="U35" s="30">
        <v>4.0</v>
      </c>
      <c r="V35" s="26" t="s">
        <v>76</v>
      </c>
      <c r="W35" s="26" t="s">
        <v>70</v>
      </c>
      <c r="X35" s="21">
        <v>0.0</v>
      </c>
      <c r="Y35" s="21"/>
    </row>
    <row r="36">
      <c r="A36" s="37" t="s">
        <v>267</v>
      </c>
      <c r="B36" s="19" t="s">
        <v>268</v>
      </c>
      <c r="C36" s="20" t="s">
        <v>269</v>
      </c>
      <c r="D36" s="18" t="s">
        <v>122</v>
      </c>
      <c r="E36" s="18" t="s">
        <v>270</v>
      </c>
      <c r="F36" s="18" t="s">
        <v>271</v>
      </c>
      <c r="G36" s="18">
        <v>9.463417628E9</v>
      </c>
      <c r="H36" s="21" t="s">
        <v>272</v>
      </c>
      <c r="I36" s="44"/>
      <c r="J36" s="20" t="s">
        <v>273</v>
      </c>
      <c r="K36" s="40"/>
      <c r="L36" s="40"/>
      <c r="M36" s="40"/>
      <c r="N36" s="40"/>
      <c r="O36" s="40"/>
      <c r="P36" s="40"/>
      <c r="Q36" s="24" t="s">
        <v>274</v>
      </c>
      <c r="R36" s="18">
        <v>0.0</v>
      </c>
      <c r="S36" s="25" t="s">
        <v>68</v>
      </c>
      <c r="T36" s="18">
        <v>2.0</v>
      </c>
      <c r="U36" s="18">
        <v>2.0</v>
      </c>
      <c r="V36" s="26" t="s">
        <v>76</v>
      </c>
      <c r="W36" s="26" t="s">
        <v>70</v>
      </c>
      <c r="X36" s="21">
        <v>0.0</v>
      </c>
      <c r="Y36" s="21"/>
    </row>
    <row r="37">
      <c r="A37" s="27" t="s">
        <v>275</v>
      </c>
      <c r="B37" s="28" t="s">
        <v>93</v>
      </c>
      <c r="C37" s="29" t="s">
        <v>273</v>
      </c>
      <c r="D37" s="30" t="s">
        <v>276</v>
      </c>
      <c r="E37" s="49" t="s">
        <v>277</v>
      </c>
      <c r="F37" s="30" t="s">
        <v>148</v>
      </c>
      <c r="G37" s="30">
        <v>8.4273409E9</v>
      </c>
      <c r="H37" s="31" t="s">
        <v>278</v>
      </c>
      <c r="I37" s="46"/>
      <c r="J37" s="42"/>
      <c r="K37" s="42"/>
      <c r="L37" s="42"/>
      <c r="M37" s="42"/>
      <c r="N37" s="42"/>
      <c r="O37" s="42"/>
      <c r="P37" s="42"/>
      <c r="Q37" s="34"/>
      <c r="R37" s="30">
        <v>1.0</v>
      </c>
      <c r="S37" s="35" t="s">
        <v>68</v>
      </c>
      <c r="T37" s="30">
        <v>2.0</v>
      </c>
      <c r="U37" s="30">
        <v>4.0</v>
      </c>
      <c r="V37" s="26" t="s">
        <v>76</v>
      </c>
      <c r="W37" s="26" t="s">
        <v>70</v>
      </c>
      <c r="X37" s="21">
        <v>0.0</v>
      </c>
      <c r="Y37" s="21"/>
    </row>
    <row r="38">
      <c r="A38" s="37" t="s">
        <v>279</v>
      </c>
      <c r="B38" s="19" t="s">
        <v>280</v>
      </c>
      <c r="C38" s="20" t="s">
        <v>42</v>
      </c>
      <c r="D38" s="18" t="s">
        <v>122</v>
      </c>
      <c r="E38" s="18" t="s">
        <v>281</v>
      </c>
      <c r="F38" s="18" t="s">
        <v>124</v>
      </c>
      <c r="G38" s="18">
        <v>7.015525385E9</v>
      </c>
      <c r="H38" s="21" t="s">
        <v>171</v>
      </c>
      <c r="I38" s="44"/>
      <c r="J38" s="40"/>
      <c r="K38" s="40"/>
      <c r="L38" s="40"/>
      <c r="M38" s="40"/>
      <c r="N38" s="38">
        <v>0.0</v>
      </c>
      <c r="O38" s="40"/>
      <c r="P38" s="40"/>
      <c r="Q38" s="24" t="s">
        <v>282</v>
      </c>
      <c r="R38" s="18">
        <v>0.0</v>
      </c>
      <c r="S38" s="25" t="s">
        <v>68</v>
      </c>
      <c r="T38" s="18">
        <v>2.0</v>
      </c>
      <c r="U38" s="18">
        <v>2.0</v>
      </c>
      <c r="V38" s="26" t="s">
        <v>76</v>
      </c>
      <c r="W38" s="26" t="s">
        <v>70</v>
      </c>
      <c r="X38" s="21">
        <v>0.0</v>
      </c>
      <c r="Y38" s="21"/>
    </row>
    <row r="39">
      <c r="A39" s="27" t="s">
        <v>283</v>
      </c>
      <c r="B39" s="28" t="s">
        <v>93</v>
      </c>
      <c r="C39" s="29" t="s">
        <v>35</v>
      </c>
      <c r="D39" s="30" t="s">
        <v>122</v>
      </c>
      <c r="E39" s="30" t="s">
        <v>284</v>
      </c>
      <c r="F39" s="30" t="s">
        <v>190</v>
      </c>
      <c r="G39" s="30">
        <v>9.814618216E9</v>
      </c>
      <c r="H39" s="31" t="s">
        <v>285</v>
      </c>
      <c r="I39" s="46"/>
      <c r="J39" s="42"/>
      <c r="K39" s="42"/>
      <c r="L39" s="42"/>
      <c r="M39" s="42"/>
      <c r="N39" s="42"/>
      <c r="O39" s="42"/>
      <c r="P39" s="42"/>
      <c r="Q39" s="34" t="s">
        <v>286</v>
      </c>
      <c r="R39" s="30">
        <v>0.0</v>
      </c>
      <c r="S39" s="35" t="s">
        <v>68</v>
      </c>
      <c r="T39" s="30">
        <v>2.0</v>
      </c>
      <c r="U39" s="30">
        <v>2.0</v>
      </c>
      <c r="V39" s="26" t="s">
        <v>76</v>
      </c>
      <c r="W39" s="26" t="s">
        <v>70</v>
      </c>
      <c r="X39" s="21">
        <v>0.0</v>
      </c>
      <c r="Y39" s="21"/>
    </row>
    <row r="40">
      <c r="A40" s="37" t="s">
        <v>287</v>
      </c>
      <c r="B40" s="19" t="s">
        <v>93</v>
      </c>
      <c r="C40" s="20" t="s">
        <v>288</v>
      </c>
      <c r="D40" s="18" t="s">
        <v>276</v>
      </c>
      <c r="E40" s="18" t="s">
        <v>289</v>
      </c>
      <c r="F40" s="18" t="s">
        <v>102</v>
      </c>
      <c r="G40" s="18" t="s">
        <v>290</v>
      </c>
      <c r="H40" s="21"/>
      <c r="I40" s="44"/>
      <c r="J40" s="40"/>
      <c r="K40" s="40"/>
      <c r="L40" s="40"/>
      <c r="M40" s="40"/>
      <c r="N40" s="40"/>
      <c r="O40" s="40"/>
      <c r="P40" s="40"/>
      <c r="Q40" s="24">
        <v>1.0</v>
      </c>
      <c r="R40" s="18">
        <v>1.0</v>
      </c>
      <c r="S40" s="25" t="s">
        <v>68</v>
      </c>
      <c r="T40" s="18">
        <v>2.0</v>
      </c>
      <c r="U40" s="18">
        <v>4.0</v>
      </c>
      <c r="V40" s="26" t="s">
        <v>76</v>
      </c>
      <c r="W40" s="26" t="s">
        <v>70</v>
      </c>
      <c r="X40" s="21">
        <v>0.0</v>
      </c>
      <c r="Y40" s="21"/>
    </row>
    <row r="41">
      <c r="A41" s="27" t="s">
        <v>291</v>
      </c>
      <c r="B41" s="28" t="s">
        <v>93</v>
      </c>
      <c r="C41" s="29" t="s">
        <v>292</v>
      </c>
      <c r="D41" s="30" t="s">
        <v>175</v>
      </c>
      <c r="E41" s="30" t="s">
        <v>293</v>
      </c>
      <c r="F41" s="54"/>
      <c r="G41" s="55"/>
      <c r="H41" s="54"/>
      <c r="I41" s="46"/>
      <c r="J41" s="42"/>
      <c r="K41" s="42"/>
      <c r="L41" s="42"/>
      <c r="M41" s="42"/>
      <c r="N41" s="42"/>
      <c r="O41" s="42"/>
      <c r="P41" s="42"/>
      <c r="Q41" s="34">
        <v>1.0</v>
      </c>
      <c r="R41" s="30">
        <v>1.0</v>
      </c>
      <c r="S41" s="35" t="s">
        <v>68</v>
      </c>
      <c r="T41" s="30">
        <v>2.0</v>
      </c>
      <c r="U41" s="30">
        <v>4.0</v>
      </c>
      <c r="V41" s="26" t="s">
        <v>76</v>
      </c>
      <c r="W41" s="26" t="s">
        <v>70</v>
      </c>
      <c r="X41" s="21">
        <v>0.0</v>
      </c>
      <c r="Y41" s="21"/>
    </row>
    <row r="42">
      <c r="A42" s="37" t="s">
        <v>294</v>
      </c>
      <c r="B42" s="19" t="s">
        <v>93</v>
      </c>
      <c r="C42" s="20" t="s">
        <v>295</v>
      </c>
      <c r="D42" s="18" t="s">
        <v>276</v>
      </c>
      <c r="E42" s="49" t="s">
        <v>296</v>
      </c>
      <c r="F42" s="56"/>
      <c r="G42" s="57"/>
      <c r="H42" s="56"/>
      <c r="I42" s="44"/>
      <c r="J42" s="40"/>
      <c r="K42" s="40"/>
      <c r="L42" s="40"/>
      <c r="M42" s="40"/>
      <c r="N42" s="40"/>
      <c r="O42" s="40"/>
      <c r="P42" s="40"/>
      <c r="Q42" s="24">
        <v>1.0</v>
      </c>
      <c r="R42" s="18">
        <v>1.0</v>
      </c>
      <c r="S42" s="25" t="s">
        <v>68</v>
      </c>
      <c r="T42" s="18">
        <v>2.0</v>
      </c>
      <c r="U42" s="18">
        <v>4.0</v>
      </c>
      <c r="V42" s="26" t="s">
        <v>76</v>
      </c>
      <c r="W42" s="26" t="s">
        <v>70</v>
      </c>
      <c r="X42" s="21">
        <v>0.0</v>
      </c>
      <c r="Y42" s="21"/>
    </row>
    <row r="43">
      <c r="A43" s="27" t="s">
        <v>297</v>
      </c>
      <c r="B43" s="28" t="s">
        <v>93</v>
      </c>
      <c r="C43" s="29" t="s">
        <v>298</v>
      </c>
      <c r="D43" s="54"/>
      <c r="E43" s="49" t="s">
        <v>299</v>
      </c>
      <c r="F43" s="54"/>
      <c r="G43" s="55"/>
      <c r="H43" s="54"/>
      <c r="I43" s="46"/>
      <c r="J43" s="42"/>
      <c r="K43" s="42"/>
      <c r="L43" s="42"/>
      <c r="M43" s="42"/>
      <c r="N43" s="42"/>
      <c r="O43" s="42"/>
      <c r="P43" s="42"/>
      <c r="Q43" s="34">
        <v>1.0</v>
      </c>
      <c r="R43" s="30">
        <v>1.0</v>
      </c>
      <c r="S43" s="35" t="s">
        <v>68</v>
      </c>
      <c r="T43" s="30">
        <v>2.0</v>
      </c>
      <c r="U43" s="30">
        <v>4.0</v>
      </c>
      <c r="V43" s="26" t="s">
        <v>76</v>
      </c>
      <c r="W43" s="26" t="s">
        <v>70</v>
      </c>
      <c r="X43" s="21">
        <v>0.0</v>
      </c>
      <c r="Y43" s="21"/>
    </row>
    <row r="44">
      <c r="A44" s="37" t="s">
        <v>300</v>
      </c>
      <c r="B44" s="19" t="s">
        <v>93</v>
      </c>
      <c r="C44" s="20" t="s">
        <v>301</v>
      </c>
      <c r="D44" s="56"/>
      <c r="E44" s="18"/>
      <c r="F44" s="56"/>
      <c r="G44" s="57"/>
      <c r="H44" s="56"/>
      <c r="I44" s="44"/>
      <c r="J44" s="40"/>
      <c r="K44" s="40"/>
      <c r="L44" s="40"/>
      <c r="M44" s="40"/>
      <c r="N44" s="40"/>
      <c r="O44" s="40"/>
      <c r="P44" s="40"/>
      <c r="Q44" s="24">
        <v>1.0</v>
      </c>
      <c r="R44" s="18">
        <v>1.0</v>
      </c>
      <c r="S44" s="25" t="s">
        <v>68</v>
      </c>
      <c r="T44" s="18">
        <v>2.0</v>
      </c>
      <c r="U44" s="18"/>
      <c r="V44" s="26" t="s">
        <v>76</v>
      </c>
      <c r="W44" s="26" t="s">
        <v>70</v>
      </c>
      <c r="X44" s="21">
        <v>0.0</v>
      </c>
      <c r="Y44" s="21"/>
    </row>
    <row r="45">
      <c r="A45" s="27" t="s">
        <v>302</v>
      </c>
      <c r="B45" s="28" t="s">
        <v>93</v>
      </c>
      <c r="C45" s="29" t="s">
        <v>303</v>
      </c>
      <c r="D45" s="54"/>
      <c r="E45" s="30"/>
      <c r="F45" s="54"/>
      <c r="G45" s="55"/>
      <c r="H45" s="54"/>
      <c r="I45" s="46"/>
      <c r="J45" s="42"/>
      <c r="K45" s="42"/>
      <c r="L45" s="42"/>
      <c r="M45" s="42"/>
      <c r="N45" s="42"/>
      <c r="O45" s="42"/>
      <c r="P45" s="42"/>
      <c r="Q45" s="34">
        <v>1.0</v>
      </c>
      <c r="R45" s="30">
        <v>1.0</v>
      </c>
      <c r="S45" s="58" t="s">
        <v>68</v>
      </c>
      <c r="T45" s="30">
        <v>2.0</v>
      </c>
      <c r="U45" s="30"/>
      <c r="V45" s="26" t="s">
        <v>76</v>
      </c>
      <c r="W45" s="26" t="s">
        <v>70</v>
      </c>
      <c r="X45" s="21">
        <v>0.0</v>
      </c>
      <c r="Y45" s="21"/>
    </row>
    <row r="46">
      <c r="A46" s="59" t="s">
        <v>304</v>
      </c>
      <c r="B46" s="60" t="s">
        <v>93</v>
      </c>
      <c r="C46" s="61" t="s">
        <v>305</v>
      </c>
      <c r="D46" s="62" t="s">
        <v>175</v>
      </c>
      <c r="E46" s="62"/>
      <c r="F46" s="63"/>
      <c r="G46" s="64"/>
      <c r="H46" s="63"/>
      <c r="I46" s="65"/>
      <c r="J46" s="66"/>
      <c r="K46" s="66"/>
      <c r="L46" s="66"/>
      <c r="M46" s="66"/>
      <c r="N46" s="66"/>
      <c r="O46" s="66"/>
      <c r="P46" s="66"/>
      <c r="Q46" s="67">
        <v>1.0</v>
      </c>
      <c r="R46" s="7">
        <v>1.0</v>
      </c>
      <c r="S46" s="68" t="s">
        <v>68</v>
      </c>
      <c r="T46" s="7">
        <v>2.0</v>
      </c>
      <c r="U46" s="7"/>
      <c r="V46" s="26" t="s">
        <v>76</v>
      </c>
      <c r="W46" s="26" t="s">
        <v>70</v>
      </c>
      <c r="X46" s="21">
        <v>0.0</v>
      </c>
      <c r="Y46" s="21"/>
    </row>
    <row r="47">
      <c r="A47" s="59" t="s">
        <v>306</v>
      </c>
      <c r="B47" s="60" t="s">
        <v>93</v>
      </c>
      <c r="C47" s="69" t="s">
        <v>307</v>
      </c>
      <c r="D47" s="62" t="s">
        <v>117</v>
      </c>
      <c r="E47" s="62"/>
      <c r="F47" s="62"/>
      <c r="G47" s="64"/>
      <c r="H47" s="63"/>
      <c r="I47" s="65"/>
      <c r="J47" s="66"/>
      <c r="K47" s="66"/>
      <c r="L47" s="66"/>
      <c r="M47" s="66"/>
      <c r="N47" s="66"/>
      <c r="O47" s="66"/>
      <c r="P47" s="66"/>
      <c r="Q47" s="67">
        <v>1.0</v>
      </c>
      <c r="R47" s="7">
        <v>1.0</v>
      </c>
      <c r="S47" s="68" t="s">
        <v>68</v>
      </c>
      <c r="T47" s="7">
        <v>2.0</v>
      </c>
      <c r="U47" s="7"/>
      <c r="V47" s="26" t="s">
        <v>76</v>
      </c>
      <c r="W47" s="26" t="s">
        <v>70</v>
      </c>
      <c r="X47" s="21">
        <v>0.0</v>
      </c>
      <c r="Y47" s="21"/>
    </row>
  </sheetData>
  <autoFilter ref="$A$1:$U$40"/>
  <conditionalFormatting sqref="T2:T47">
    <cfRule type="colorScale" priority="1">
      <colorScale>
        <cfvo type="formula" val="0"/>
        <cfvo type="formula" val="1"/>
        <cfvo type="formula" val="2"/>
        <color rgb="FFEA4335"/>
        <color rgb="FFF4CCCC"/>
        <color rgb="FFD9EAD3"/>
      </colorScale>
    </cfRule>
  </conditionalFormatting>
  <conditionalFormatting sqref="A2">
    <cfRule type="colorScale" priority="2">
      <colorScale>
        <cfvo type="min"/>
        <cfvo type="max"/>
        <color rgb="FF57BB8A"/>
        <color rgb="FFFFFFFF"/>
      </colorScale>
    </cfRule>
  </conditionalFormatting>
  <conditionalFormatting sqref="A3 A7 A35">
    <cfRule type="expression" dxfId="1" priority="3">
      <formula>T=0</formula>
    </cfRule>
  </conditionalFormatting>
  <conditionalFormatting sqref="C3:C39">
    <cfRule type="expression" dxfId="1" priority="4">
      <formula>T3:T39=0</formula>
    </cfRule>
  </conditionalFormatting>
  <printOptions gridLines="1" horizontalCentered="1"/>
  <pageMargins bottom="0.75" footer="0.0" header="0.0" left="0.25" right="0.25" top="0.75"/>
  <pageSetup fitToHeight="0" paperSize="9"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8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2.5"/>
    <col customWidth="1" min="3" max="3" width="12.63"/>
    <col customWidth="1" min="4" max="4" width="23.75"/>
    <col customWidth="1" min="5" max="5" width="12.5"/>
    <col customWidth="1" min="6" max="6" width="8.75"/>
    <col customWidth="1" min="7" max="7" width="12.88"/>
    <col customWidth="1" min="8" max="8" width="9.88"/>
    <col customWidth="1" min="9" max="27" width="8.75"/>
    <col customWidth="1" min="28" max="28" width="9.38"/>
    <col customWidth="1" min="29" max="51" width="8.75"/>
    <col customWidth="1" min="52" max="52" width="8.88"/>
    <col customWidth="1" min="53" max="56" width="8.75"/>
    <col customWidth="1" min="57" max="57" width="8.88"/>
    <col customWidth="1" min="58" max="59" width="8.75"/>
    <col customWidth="1" min="60" max="60" width="10.38"/>
    <col customWidth="1" min="61" max="71" width="8.75"/>
    <col customWidth="1" min="72" max="77" width="8.88"/>
    <col customWidth="1" min="78" max="83" width="8.75"/>
    <col customWidth="1" min="84" max="85" width="8.88"/>
    <col customWidth="1" min="86" max="99" width="8.75"/>
    <col customWidth="1" min="100" max="105" width="8.88"/>
    <col customWidth="1" min="106" max="111" width="8.75"/>
    <col customWidth="1" min="112" max="115" width="8.88"/>
    <col customWidth="1" min="116" max="129" width="8.75"/>
    <col customWidth="1" min="130" max="135" width="8.88"/>
    <col customWidth="1" min="136" max="141" width="8.75"/>
    <col customWidth="1" min="142" max="143" width="8.88"/>
    <col customWidth="1" min="144" max="145" width="8.75"/>
    <col customWidth="1" min="146" max="147" width="8.88"/>
    <col customWidth="1" min="148" max="154" width="8.75"/>
    <col customWidth="1" min="155" max="157" width="8.88"/>
    <col customWidth="1" min="158" max="160" width="8.75"/>
    <col customWidth="1" min="161" max="161" width="8.88"/>
    <col customWidth="1" min="162" max="162" width="8.75"/>
    <col customWidth="1" min="163" max="163" width="8.88"/>
    <col customWidth="1" min="164" max="170" width="8.75"/>
    <col customWidth="1" min="171" max="173" width="8.88"/>
    <col customWidth="1" min="174" max="176" width="8.75"/>
    <col customWidth="1" min="177" max="177" width="8.88"/>
    <col customWidth="1" min="178" max="178" width="8.75"/>
    <col customWidth="1" min="179" max="179" width="8.88"/>
    <col customWidth="1" min="180" max="180" width="8.75"/>
    <col customWidth="1" hidden="1" min="181" max="181" width="8.75"/>
    <col customWidth="1" min="182" max="185" width="8.75"/>
    <col customWidth="1" min="186" max="189" width="8.88"/>
    <col customWidth="1" min="190" max="191" width="8.75"/>
    <col customWidth="1" min="192" max="193" width="8.88"/>
    <col customWidth="1" min="194" max="194" width="8.75"/>
    <col customWidth="1" min="195" max="195" width="8.5"/>
    <col customWidth="1" min="196" max="199" width="7.63"/>
    <col customWidth="1" min="200" max="200" width="8.13"/>
  </cols>
  <sheetData>
    <row r="1" ht="101.25" customHeight="1">
      <c r="A1" s="70" t="s">
        <v>0</v>
      </c>
      <c r="B1" s="71" t="s">
        <v>308</v>
      </c>
      <c r="C1" s="72" t="s">
        <v>309</v>
      </c>
      <c r="D1" s="73" t="s">
        <v>310</v>
      </c>
      <c r="E1" s="74" t="s">
        <v>311</v>
      </c>
      <c r="F1" s="75" t="s">
        <v>312</v>
      </c>
      <c r="G1" s="76" t="s">
        <v>313</v>
      </c>
      <c r="H1" s="76" t="s">
        <v>64</v>
      </c>
      <c r="I1" s="77" t="s">
        <v>314</v>
      </c>
      <c r="J1" s="78" t="s">
        <v>315</v>
      </c>
      <c r="K1" s="78" t="s">
        <v>316</v>
      </c>
      <c r="L1" s="78" t="s">
        <v>317</v>
      </c>
      <c r="M1" s="78" t="s">
        <v>318</v>
      </c>
      <c r="N1" s="78" t="s">
        <v>319</v>
      </c>
      <c r="O1" s="78" t="s">
        <v>320</v>
      </c>
      <c r="P1" s="78" t="s">
        <v>321</v>
      </c>
      <c r="Q1" s="79" t="s">
        <v>322</v>
      </c>
      <c r="R1" s="79" t="s">
        <v>323</v>
      </c>
      <c r="S1" s="79" t="s">
        <v>324</v>
      </c>
      <c r="T1" s="79" t="s">
        <v>325</v>
      </c>
      <c r="U1" s="78" t="s">
        <v>326</v>
      </c>
      <c r="V1" s="78" t="s">
        <v>327</v>
      </c>
      <c r="W1" s="78" t="s">
        <v>328</v>
      </c>
      <c r="X1" s="80" t="s">
        <v>329</v>
      </c>
      <c r="Y1" s="80" t="s">
        <v>330</v>
      </c>
      <c r="Z1" s="80" t="s">
        <v>331</v>
      </c>
      <c r="AA1" s="80" t="s">
        <v>332</v>
      </c>
      <c r="AB1" s="3" t="s">
        <v>333</v>
      </c>
      <c r="AC1" s="78" t="s">
        <v>334</v>
      </c>
      <c r="AD1" s="78" t="s">
        <v>335</v>
      </c>
      <c r="AE1" s="80" t="s">
        <v>336</v>
      </c>
      <c r="AF1" s="80" t="s">
        <v>337</v>
      </c>
      <c r="AG1" s="80" t="s">
        <v>338</v>
      </c>
      <c r="AH1" s="81" t="s">
        <v>339</v>
      </c>
      <c r="AI1" s="81" t="s">
        <v>340</v>
      </c>
      <c r="AJ1" s="81" t="s">
        <v>341</v>
      </c>
      <c r="AK1" s="80" t="s">
        <v>342</v>
      </c>
      <c r="AL1" s="80" t="s">
        <v>343</v>
      </c>
      <c r="AM1" s="80" t="s">
        <v>344</v>
      </c>
      <c r="AN1" s="80" t="s">
        <v>345</v>
      </c>
      <c r="AO1" s="80" t="s">
        <v>346</v>
      </c>
      <c r="AP1" s="80" t="s">
        <v>347</v>
      </c>
      <c r="AQ1" s="78" t="s">
        <v>348</v>
      </c>
      <c r="AR1" s="78" t="s">
        <v>349</v>
      </c>
      <c r="AS1" s="79" t="s">
        <v>350</v>
      </c>
      <c r="AT1" s="78" t="s">
        <v>351</v>
      </c>
      <c r="AU1" s="78" t="s">
        <v>352</v>
      </c>
      <c r="AV1" s="78" t="s">
        <v>353</v>
      </c>
      <c r="AW1" s="78" t="s">
        <v>354</v>
      </c>
      <c r="AX1" s="78" t="s">
        <v>355</v>
      </c>
      <c r="AY1" s="78" t="s">
        <v>356</v>
      </c>
      <c r="AZ1" s="82" t="s">
        <v>357</v>
      </c>
      <c r="BA1" s="82" t="s">
        <v>358</v>
      </c>
      <c r="BB1" s="82" t="s">
        <v>359</v>
      </c>
      <c r="BC1" s="82" t="s">
        <v>360</v>
      </c>
      <c r="BD1" s="82" t="s">
        <v>361</v>
      </c>
      <c r="BE1" s="82" t="s">
        <v>362</v>
      </c>
      <c r="BF1" s="78" t="s">
        <v>363</v>
      </c>
      <c r="BG1" s="78" t="s">
        <v>364</v>
      </c>
      <c r="BH1" s="78" t="s">
        <v>365</v>
      </c>
      <c r="BI1" s="78" t="s">
        <v>366</v>
      </c>
      <c r="BJ1" s="78" t="s">
        <v>367</v>
      </c>
      <c r="BK1" s="78" t="s">
        <v>368</v>
      </c>
      <c r="BL1" s="78" t="s">
        <v>369</v>
      </c>
      <c r="BM1" s="78" t="s">
        <v>370</v>
      </c>
      <c r="BN1" s="78" t="s">
        <v>371</v>
      </c>
      <c r="BO1" s="78" t="s">
        <v>372</v>
      </c>
      <c r="BP1" s="79" t="s">
        <v>373</v>
      </c>
      <c r="BQ1" s="79" t="s">
        <v>374</v>
      </c>
      <c r="BR1" s="78" t="s">
        <v>375</v>
      </c>
      <c r="BS1" s="78" t="s">
        <v>376</v>
      </c>
      <c r="BT1" s="3" t="s">
        <v>377</v>
      </c>
      <c r="BU1" s="3" t="s">
        <v>378</v>
      </c>
      <c r="BV1" s="3" t="s">
        <v>379</v>
      </c>
      <c r="BW1" s="83" t="s">
        <v>380</v>
      </c>
      <c r="BX1" s="3" t="s">
        <v>381</v>
      </c>
      <c r="BY1" s="3" t="s">
        <v>382</v>
      </c>
      <c r="BZ1" s="80" t="s">
        <v>383</v>
      </c>
      <c r="CA1" s="78" t="s">
        <v>384</v>
      </c>
      <c r="CB1" s="78" t="s">
        <v>385</v>
      </c>
      <c r="CC1" s="78" t="s">
        <v>386</v>
      </c>
      <c r="CD1" s="78" t="s">
        <v>387</v>
      </c>
      <c r="CE1" s="78" t="s">
        <v>388</v>
      </c>
      <c r="CF1" s="3" t="s">
        <v>389</v>
      </c>
      <c r="CG1" s="3" t="s">
        <v>390</v>
      </c>
      <c r="CH1" s="78" t="s">
        <v>391</v>
      </c>
      <c r="CI1" s="78" t="s">
        <v>392</v>
      </c>
      <c r="CJ1" s="78" t="s">
        <v>393</v>
      </c>
      <c r="CK1" s="78" t="s">
        <v>394</v>
      </c>
      <c r="CL1" s="78" t="s">
        <v>395</v>
      </c>
      <c r="CM1" s="78" t="s">
        <v>396</v>
      </c>
      <c r="CN1" s="80" t="s">
        <v>397</v>
      </c>
      <c r="CO1" s="78" t="s">
        <v>398</v>
      </c>
      <c r="CP1" s="78" t="s">
        <v>399</v>
      </c>
      <c r="CQ1" s="78" t="s">
        <v>400</v>
      </c>
      <c r="CR1" s="79" t="s">
        <v>401</v>
      </c>
      <c r="CS1" s="79" t="s">
        <v>402</v>
      </c>
      <c r="CT1" s="78" t="s">
        <v>403</v>
      </c>
      <c r="CU1" s="78" t="s">
        <v>404</v>
      </c>
      <c r="CV1" s="3" t="s">
        <v>405</v>
      </c>
      <c r="CW1" s="3" t="s">
        <v>406</v>
      </c>
      <c r="CX1" s="3" t="s">
        <v>407</v>
      </c>
      <c r="CY1" s="3" t="s">
        <v>408</v>
      </c>
      <c r="CZ1" s="3" t="s">
        <v>409</v>
      </c>
      <c r="DA1" s="3" t="s">
        <v>410</v>
      </c>
      <c r="DB1" s="78" t="s">
        <v>411</v>
      </c>
      <c r="DC1" s="78" t="s">
        <v>412</v>
      </c>
      <c r="DD1" s="80" t="s">
        <v>413</v>
      </c>
      <c r="DE1" s="78" t="s">
        <v>414</v>
      </c>
      <c r="DF1" s="78" t="s">
        <v>415</v>
      </c>
      <c r="DG1" s="78" t="s">
        <v>416</v>
      </c>
      <c r="DH1" s="3" t="s">
        <v>417</v>
      </c>
      <c r="DI1" s="3" t="s">
        <v>418</v>
      </c>
      <c r="DJ1" s="3" t="s">
        <v>419</v>
      </c>
      <c r="DK1" s="3" t="s">
        <v>420</v>
      </c>
      <c r="DL1" s="80" t="s">
        <v>421</v>
      </c>
      <c r="DM1" s="80" t="s">
        <v>422</v>
      </c>
      <c r="DN1" s="80" t="s">
        <v>423</v>
      </c>
      <c r="DO1" s="78" t="s">
        <v>424</v>
      </c>
      <c r="DP1" s="80" t="s">
        <v>425</v>
      </c>
      <c r="DQ1" s="78" t="s">
        <v>426</v>
      </c>
      <c r="DR1" s="80" t="s">
        <v>427</v>
      </c>
      <c r="DS1" s="80" t="s">
        <v>428</v>
      </c>
      <c r="DT1" s="80" t="s">
        <v>429</v>
      </c>
      <c r="DU1" s="80" t="s">
        <v>430</v>
      </c>
      <c r="DV1" s="81" t="s">
        <v>431</v>
      </c>
      <c r="DW1" s="81" t="s">
        <v>432</v>
      </c>
      <c r="DX1" s="78" t="s">
        <v>433</v>
      </c>
      <c r="DY1" s="78" t="s">
        <v>434</v>
      </c>
      <c r="DZ1" s="3" t="s">
        <v>435</v>
      </c>
      <c r="EA1" s="3" t="s">
        <v>436</v>
      </c>
      <c r="EB1" s="3" t="s">
        <v>437</v>
      </c>
      <c r="EC1" s="3" t="s">
        <v>438</v>
      </c>
      <c r="ED1" s="3" t="s">
        <v>439</v>
      </c>
      <c r="EE1" s="3" t="s">
        <v>440</v>
      </c>
      <c r="EF1" s="80" t="s">
        <v>441</v>
      </c>
      <c r="EG1" s="80" t="s">
        <v>442</v>
      </c>
      <c r="EH1" s="80" t="s">
        <v>443</v>
      </c>
      <c r="EI1" s="80" t="s">
        <v>444</v>
      </c>
      <c r="EJ1" s="78" t="s">
        <v>445</v>
      </c>
      <c r="EK1" s="78" t="s">
        <v>446</v>
      </c>
      <c r="EL1" s="3" t="s">
        <v>447</v>
      </c>
      <c r="EM1" s="3" t="s">
        <v>448</v>
      </c>
      <c r="EN1" s="78" t="s">
        <v>449</v>
      </c>
      <c r="EO1" s="78" t="s">
        <v>450</v>
      </c>
      <c r="EP1" s="3" t="s">
        <v>451</v>
      </c>
      <c r="EQ1" s="3" t="s">
        <v>452</v>
      </c>
      <c r="ER1" s="79" t="s">
        <v>453</v>
      </c>
      <c r="ES1" s="79" t="s">
        <v>454</v>
      </c>
      <c r="ET1" s="79" t="s">
        <v>455</v>
      </c>
      <c r="EU1" s="79" t="s">
        <v>456</v>
      </c>
      <c r="EV1" s="79" t="s">
        <v>457</v>
      </c>
      <c r="EW1" s="79" t="s">
        <v>458</v>
      </c>
      <c r="EX1" s="79" t="s">
        <v>459</v>
      </c>
      <c r="EY1" s="3" t="s">
        <v>460</v>
      </c>
      <c r="EZ1" s="3" t="s">
        <v>461</v>
      </c>
      <c r="FA1" s="3" t="s">
        <v>462</v>
      </c>
      <c r="FB1" s="79" t="s">
        <v>463</v>
      </c>
      <c r="FC1" s="84" t="s">
        <v>464</v>
      </c>
      <c r="FD1" s="79" t="s">
        <v>465</v>
      </c>
      <c r="FE1" s="3" t="s">
        <v>466</v>
      </c>
      <c r="FF1" s="79" t="s">
        <v>467</v>
      </c>
      <c r="FG1" s="3" t="s">
        <v>468</v>
      </c>
      <c r="FH1" s="78" t="s">
        <v>469</v>
      </c>
      <c r="FI1" s="78" t="s">
        <v>470</v>
      </c>
      <c r="FJ1" s="80" t="s">
        <v>471</v>
      </c>
      <c r="FK1" s="80" t="s">
        <v>472</v>
      </c>
      <c r="FL1" s="80" t="s">
        <v>473</v>
      </c>
      <c r="FM1" s="81" t="s">
        <v>474</v>
      </c>
      <c r="FN1" s="78" t="s">
        <v>475</v>
      </c>
      <c r="FO1" s="3" t="s">
        <v>476</v>
      </c>
      <c r="FP1" s="3" t="s">
        <v>477</v>
      </c>
      <c r="FQ1" s="3" t="s">
        <v>478</v>
      </c>
      <c r="FR1" s="80" t="s">
        <v>479</v>
      </c>
      <c r="FS1" s="80" t="s">
        <v>480</v>
      </c>
      <c r="FT1" s="78" t="s">
        <v>481</v>
      </c>
      <c r="FU1" s="3" t="s">
        <v>482</v>
      </c>
      <c r="FV1" s="78" t="s">
        <v>483</v>
      </c>
      <c r="FW1" s="3" t="s">
        <v>484</v>
      </c>
      <c r="FX1" s="79" t="s">
        <v>485</v>
      </c>
      <c r="FY1" s="80" t="s">
        <v>486</v>
      </c>
      <c r="FZ1" s="81" t="s">
        <v>487</v>
      </c>
      <c r="GA1" s="80" t="s">
        <v>488</v>
      </c>
      <c r="GB1" s="80" t="s">
        <v>489</v>
      </c>
      <c r="GC1" s="79" t="s">
        <v>490</v>
      </c>
      <c r="GD1" s="3" t="s">
        <v>491</v>
      </c>
      <c r="GE1" s="3" t="s">
        <v>492</v>
      </c>
      <c r="GF1" s="3" t="s">
        <v>493</v>
      </c>
      <c r="GG1" s="3" t="s">
        <v>494</v>
      </c>
      <c r="GH1" s="78" t="s">
        <v>495</v>
      </c>
      <c r="GI1" s="78" t="s">
        <v>496</v>
      </c>
      <c r="GJ1" s="3" t="s">
        <v>497</v>
      </c>
      <c r="GK1" s="83" t="s">
        <v>498</v>
      </c>
      <c r="GL1" s="78" t="s">
        <v>499</v>
      </c>
      <c r="GM1" s="83" t="s">
        <v>500</v>
      </c>
      <c r="GN1" s="3" t="s">
        <v>501</v>
      </c>
      <c r="GO1" s="3" t="s">
        <v>502</v>
      </c>
      <c r="GP1" s="3" t="s">
        <v>503</v>
      </c>
      <c r="GQ1" s="3" t="s">
        <v>504</v>
      </c>
      <c r="GR1" s="3" t="s">
        <v>505</v>
      </c>
    </row>
    <row r="2" hidden="1">
      <c r="A2" s="85">
        <v>44570.86517479167</v>
      </c>
      <c r="B2" s="86"/>
      <c r="C2" s="86">
        <v>44555.0</v>
      </c>
      <c r="E2" s="87"/>
      <c r="F2" s="88">
        <v>3.0</v>
      </c>
      <c r="G2" s="7" t="s">
        <v>70</v>
      </c>
      <c r="H2" s="7" t="s">
        <v>76</v>
      </c>
      <c r="I2" s="7">
        <v>0.0</v>
      </c>
      <c r="J2" s="7">
        <v>0.0</v>
      </c>
      <c r="K2" s="7">
        <v>0.0</v>
      </c>
      <c r="L2" s="7">
        <v>0.0</v>
      </c>
      <c r="M2" s="7">
        <v>0.0</v>
      </c>
      <c r="N2" s="7">
        <v>0.0</v>
      </c>
      <c r="O2" s="7">
        <v>0.0</v>
      </c>
      <c r="P2" s="7">
        <v>0.0</v>
      </c>
      <c r="Q2" s="7">
        <v>0.0</v>
      </c>
      <c r="R2" s="7">
        <v>0.0</v>
      </c>
      <c r="S2" s="7">
        <v>0.0</v>
      </c>
      <c r="T2" s="7">
        <v>0.0</v>
      </c>
      <c r="U2" s="7">
        <v>0.0</v>
      </c>
      <c r="V2" s="7">
        <v>0.0</v>
      </c>
      <c r="W2" s="7">
        <v>0.0</v>
      </c>
      <c r="X2" s="7">
        <v>0.0</v>
      </c>
      <c r="Y2" s="7">
        <v>0.0</v>
      </c>
      <c r="Z2" s="7">
        <v>0.0</v>
      </c>
      <c r="AA2" s="7">
        <v>0.0</v>
      </c>
      <c r="AB2" s="7">
        <v>0.0</v>
      </c>
      <c r="AC2" s="7">
        <v>0.0</v>
      </c>
      <c r="AD2" s="7">
        <v>0.0</v>
      </c>
      <c r="AE2" s="7">
        <v>0.0</v>
      </c>
      <c r="AF2" s="7">
        <v>0.0</v>
      </c>
      <c r="AG2" s="7">
        <v>0.0</v>
      </c>
      <c r="AH2" s="7">
        <v>0.0</v>
      </c>
      <c r="AI2" s="7">
        <v>0.0</v>
      </c>
      <c r="AJ2" s="7">
        <v>0.0</v>
      </c>
      <c r="AK2" s="7">
        <v>0.0</v>
      </c>
      <c r="AL2" s="7">
        <v>0.0</v>
      </c>
      <c r="AM2" s="7">
        <v>0.0</v>
      </c>
      <c r="AN2" s="7">
        <v>0.0</v>
      </c>
      <c r="AO2" s="7">
        <v>0.0</v>
      </c>
      <c r="AP2" s="7">
        <v>0.0</v>
      </c>
      <c r="AQ2" s="7">
        <v>0.0</v>
      </c>
      <c r="AR2" s="7">
        <v>0.0</v>
      </c>
      <c r="AS2" s="7">
        <v>0.0</v>
      </c>
      <c r="AT2" s="7">
        <v>0.0</v>
      </c>
      <c r="AU2" s="7">
        <v>0.0</v>
      </c>
      <c r="AV2" s="7">
        <v>0.0</v>
      </c>
      <c r="AW2" s="7">
        <v>0.0</v>
      </c>
      <c r="AX2" s="7">
        <v>0.0</v>
      </c>
      <c r="AY2" s="7">
        <v>0.0</v>
      </c>
      <c r="AZ2" s="89"/>
      <c r="BA2" s="7">
        <v>0.0</v>
      </c>
      <c r="BB2" s="7">
        <v>0.0</v>
      </c>
      <c r="BC2" s="7">
        <v>0.0</v>
      </c>
      <c r="BD2" s="7">
        <v>0.0</v>
      </c>
      <c r="BE2" s="89"/>
      <c r="BF2" s="7">
        <v>0.0</v>
      </c>
      <c r="BG2" s="7">
        <v>0.0</v>
      </c>
      <c r="BH2" s="7">
        <v>0.0</v>
      </c>
      <c r="BI2" s="7">
        <v>0.0</v>
      </c>
      <c r="BJ2" s="7">
        <v>0.0</v>
      </c>
      <c r="BK2" s="7">
        <v>0.0</v>
      </c>
      <c r="BL2" s="7">
        <v>0.0</v>
      </c>
      <c r="BM2" s="7">
        <v>0.0</v>
      </c>
      <c r="BN2" s="7">
        <v>0.0</v>
      </c>
      <c r="BO2" s="7">
        <v>0.0</v>
      </c>
      <c r="BP2" s="7">
        <v>0.0</v>
      </c>
      <c r="BQ2" s="7">
        <v>0.0</v>
      </c>
      <c r="BR2" s="7">
        <v>0.0</v>
      </c>
      <c r="BS2" s="7">
        <v>0.0</v>
      </c>
      <c r="BT2" s="89"/>
      <c r="BU2" s="89"/>
      <c r="BV2" s="89"/>
      <c r="BW2" s="89"/>
      <c r="BX2" s="89"/>
      <c r="BY2" s="89"/>
      <c r="BZ2" s="7">
        <v>0.0</v>
      </c>
      <c r="CA2" s="7">
        <v>0.0</v>
      </c>
      <c r="CB2" s="7">
        <v>0.0</v>
      </c>
      <c r="CC2" s="7">
        <v>0.0</v>
      </c>
      <c r="CD2" s="7">
        <v>0.0</v>
      </c>
      <c r="CE2" s="7">
        <v>0.0</v>
      </c>
      <c r="CF2" s="89"/>
      <c r="CG2" s="89"/>
      <c r="CH2" s="7">
        <v>0.0</v>
      </c>
      <c r="CI2" s="7">
        <v>0.0</v>
      </c>
      <c r="CJ2" s="7">
        <v>0.0</v>
      </c>
      <c r="CK2" s="7">
        <v>0.0</v>
      </c>
      <c r="CL2" s="7">
        <v>0.0</v>
      </c>
      <c r="CM2" s="7">
        <v>0.0</v>
      </c>
      <c r="CN2" s="7">
        <v>0.0</v>
      </c>
      <c r="CO2" s="7">
        <v>0.0</v>
      </c>
      <c r="CP2" s="7">
        <v>0.0</v>
      </c>
      <c r="CQ2" s="7">
        <v>0.0</v>
      </c>
      <c r="CR2" s="7">
        <v>0.0</v>
      </c>
      <c r="CS2" s="7">
        <v>0.0</v>
      </c>
      <c r="CT2" s="7">
        <v>0.0</v>
      </c>
      <c r="CU2" s="7">
        <v>0.0</v>
      </c>
      <c r="CV2" s="89"/>
      <c r="CW2" s="89"/>
      <c r="CX2" s="89"/>
      <c r="CY2" s="89"/>
      <c r="CZ2" s="89"/>
      <c r="DA2" s="89"/>
      <c r="DB2" s="7">
        <v>0.0</v>
      </c>
      <c r="DC2" s="7">
        <v>0.0</v>
      </c>
      <c r="DD2" s="7">
        <v>0.0</v>
      </c>
      <c r="DE2" s="7">
        <v>0.0</v>
      </c>
      <c r="DF2" s="7">
        <v>0.0</v>
      </c>
      <c r="DG2" s="7">
        <v>0.0</v>
      </c>
      <c r="DH2" s="89"/>
      <c r="DI2" s="89"/>
      <c r="DJ2" s="89"/>
      <c r="DK2" s="89"/>
      <c r="DL2" s="7">
        <v>0.0</v>
      </c>
      <c r="DM2" s="7">
        <v>0.0</v>
      </c>
      <c r="DN2" s="7">
        <v>0.0</v>
      </c>
      <c r="DO2" s="7">
        <v>0.0</v>
      </c>
      <c r="DP2" s="7">
        <v>0.0</v>
      </c>
      <c r="DQ2" s="7">
        <v>0.0</v>
      </c>
      <c r="DR2" s="7">
        <v>0.0</v>
      </c>
      <c r="DS2" s="7">
        <v>0.0</v>
      </c>
      <c r="DT2" s="7">
        <v>0.0</v>
      </c>
      <c r="DU2" s="7">
        <v>0.0</v>
      </c>
      <c r="DV2" s="7">
        <v>0.0</v>
      </c>
      <c r="DW2" s="7">
        <v>0.0</v>
      </c>
      <c r="DX2" s="7">
        <v>0.0</v>
      </c>
      <c r="DY2" s="7">
        <v>0.0</v>
      </c>
      <c r="DZ2" s="89"/>
      <c r="EA2" s="89"/>
      <c r="EB2" s="89"/>
      <c r="EC2" s="89"/>
      <c r="ED2" s="89"/>
      <c r="EE2" s="89"/>
      <c r="EF2" s="7">
        <v>0.0</v>
      </c>
      <c r="EG2" s="7">
        <v>0.0</v>
      </c>
      <c r="EH2" s="7">
        <v>0.0</v>
      </c>
      <c r="EI2" s="7">
        <v>0.0</v>
      </c>
      <c r="EJ2" s="7">
        <v>0.0</v>
      </c>
      <c r="EK2" s="7">
        <v>0.0</v>
      </c>
      <c r="EL2" s="89"/>
      <c r="EM2" s="89"/>
      <c r="EN2" s="7">
        <v>0.0</v>
      </c>
      <c r="EO2" s="7">
        <v>0.0</v>
      </c>
      <c r="EP2" s="89"/>
      <c r="EQ2" s="89"/>
      <c r="ER2" s="7">
        <v>0.0</v>
      </c>
      <c r="ES2" s="7">
        <v>0.0</v>
      </c>
      <c r="ET2" s="7">
        <v>0.0</v>
      </c>
      <c r="EU2" s="7">
        <v>0.0</v>
      </c>
      <c r="EV2" s="7">
        <v>0.0</v>
      </c>
      <c r="EW2" s="7">
        <v>0.0</v>
      </c>
      <c r="EX2" s="7">
        <v>0.0</v>
      </c>
      <c r="EY2" s="89"/>
      <c r="EZ2" s="89"/>
      <c r="FA2" s="89"/>
      <c r="FB2" s="7">
        <v>0.0</v>
      </c>
      <c r="FC2" s="7">
        <v>0.0</v>
      </c>
      <c r="FD2" s="7">
        <v>0.0</v>
      </c>
      <c r="FE2" s="89"/>
      <c r="FF2" s="7">
        <v>0.0</v>
      </c>
      <c r="FG2" s="89"/>
      <c r="FH2" s="7">
        <v>0.0</v>
      </c>
      <c r="FI2" s="7">
        <v>0.0</v>
      </c>
      <c r="FJ2" s="7">
        <v>0.0</v>
      </c>
      <c r="FK2" s="7">
        <v>0.0</v>
      </c>
      <c r="FL2" s="7">
        <v>0.0</v>
      </c>
      <c r="FM2" s="7">
        <v>0.0</v>
      </c>
      <c r="FN2" s="7">
        <v>0.0</v>
      </c>
      <c r="FO2" s="89"/>
      <c r="FP2" s="89"/>
      <c r="FQ2" s="89"/>
      <c r="FR2" s="7">
        <v>0.0</v>
      </c>
      <c r="FS2" s="7">
        <v>0.0</v>
      </c>
      <c r="FT2" s="7">
        <v>0.0</v>
      </c>
      <c r="FU2" s="89"/>
      <c r="FV2" s="7">
        <v>0.0</v>
      </c>
      <c r="FW2" s="89"/>
      <c r="FX2" s="7">
        <v>0.0</v>
      </c>
      <c r="FY2" s="7">
        <v>0.0</v>
      </c>
      <c r="FZ2" s="7">
        <v>0.0</v>
      </c>
      <c r="GA2" s="7">
        <v>0.0</v>
      </c>
      <c r="GB2" s="7">
        <v>0.0</v>
      </c>
      <c r="GC2" s="7">
        <v>0.0</v>
      </c>
      <c r="GD2" s="89"/>
      <c r="GE2" s="89"/>
      <c r="GF2" s="89"/>
      <c r="GG2" s="89"/>
      <c r="GH2" s="7">
        <v>0.0</v>
      </c>
      <c r="GI2" s="7">
        <v>0.0</v>
      </c>
      <c r="GJ2" s="89"/>
      <c r="GK2" s="89"/>
      <c r="GL2" s="7">
        <v>0.0</v>
      </c>
      <c r="GM2" s="89"/>
      <c r="GN2" s="89"/>
      <c r="GO2" s="89"/>
      <c r="GP2" s="89"/>
      <c r="GQ2" s="89"/>
      <c r="GR2" s="89" t="str">
        <f t="array" ref="GR2:GR394">if(B2:B394&lt;&gt;"",row(A2:A394)-1,"")</f>
        <v/>
      </c>
    </row>
    <row r="3">
      <c r="A3" s="5">
        <v>45777.40149305556</v>
      </c>
      <c r="B3" s="86">
        <v>45717.0</v>
      </c>
      <c r="C3" s="86">
        <v>45747.0</v>
      </c>
      <c r="D3" s="7" t="s">
        <v>20</v>
      </c>
      <c r="E3" s="87"/>
      <c r="F3" s="88">
        <v>2.0</v>
      </c>
      <c r="G3" s="7" t="s">
        <v>70</v>
      </c>
      <c r="H3" s="7" t="s">
        <v>76</v>
      </c>
      <c r="I3" s="7"/>
      <c r="J3" s="7"/>
      <c r="K3" s="7"/>
      <c r="L3" s="7"/>
      <c r="M3" s="7"/>
      <c r="N3" s="7"/>
      <c r="O3" s="7"/>
      <c r="P3" s="7"/>
      <c r="Q3" s="7"/>
      <c r="R3" s="7"/>
      <c r="S3" s="7"/>
      <c r="T3" s="7"/>
      <c r="U3" s="7"/>
      <c r="V3" s="7"/>
      <c r="W3" s="7"/>
      <c r="X3" s="7"/>
      <c r="Y3" s="7"/>
      <c r="Z3" s="7"/>
      <c r="AA3" s="7"/>
      <c r="AB3" s="7"/>
      <c r="AC3" s="7"/>
      <c r="AD3" s="7"/>
      <c r="AE3" s="7">
        <v>0.0</v>
      </c>
      <c r="AF3" s="7"/>
      <c r="AG3" s="7"/>
      <c r="AH3" s="7">
        <v>0.0</v>
      </c>
      <c r="AI3" s="7"/>
      <c r="AJ3" s="7"/>
      <c r="AK3" s="7">
        <v>0.0</v>
      </c>
      <c r="AL3" s="7"/>
      <c r="AM3" s="7"/>
      <c r="AN3" s="7">
        <v>200.0</v>
      </c>
      <c r="AO3" s="7"/>
      <c r="AP3" s="7"/>
      <c r="AQ3" s="7">
        <v>0.0</v>
      </c>
      <c r="AR3" s="7"/>
      <c r="AS3" s="7"/>
      <c r="AT3" s="7">
        <v>0.0</v>
      </c>
      <c r="AU3" s="7"/>
      <c r="AV3" s="7"/>
      <c r="AW3" s="7">
        <v>0.0</v>
      </c>
      <c r="AX3" s="7"/>
      <c r="AY3" s="7"/>
      <c r="AZ3" s="89"/>
      <c r="BA3" s="7"/>
      <c r="BB3" s="7"/>
      <c r="BC3" s="7"/>
      <c r="BD3" s="7"/>
      <c r="BE3" s="89"/>
      <c r="BF3" s="7"/>
      <c r="BG3" s="7"/>
      <c r="BH3" s="7"/>
      <c r="BI3" s="7"/>
      <c r="BJ3" s="7"/>
      <c r="BK3" s="7"/>
      <c r="BL3" s="7"/>
      <c r="BM3" s="7"/>
      <c r="BN3" s="7"/>
      <c r="BO3" s="7"/>
      <c r="BP3" s="7"/>
      <c r="BQ3" s="7"/>
      <c r="BR3" s="7"/>
      <c r="BS3" s="7"/>
      <c r="BT3" s="89"/>
      <c r="BU3" s="89"/>
      <c r="BV3" s="89"/>
      <c r="BW3" s="89"/>
      <c r="BX3" s="89"/>
      <c r="BY3" s="89"/>
      <c r="BZ3" s="7"/>
      <c r="CA3" s="7"/>
      <c r="CB3" s="7"/>
      <c r="CC3" s="7"/>
      <c r="CD3" s="7"/>
      <c r="CE3" s="7"/>
      <c r="CF3" s="89"/>
      <c r="CG3" s="89"/>
      <c r="CH3" s="7"/>
      <c r="CI3" s="7"/>
      <c r="CJ3" s="7"/>
      <c r="CK3" s="7"/>
      <c r="CL3" s="7"/>
      <c r="CM3" s="7"/>
      <c r="CN3" s="7"/>
      <c r="CO3" s="7"/>
      <c r="CP3" s="7"/>
      <c r="CQ3" s="7"/>
      <c r="CR3" s="7"/>
      <c r="CS3" s="7"/>
      <c r="CT3" s="7"/>
      <c r="CU3" s="7"/>
      <c r="CV3" s="89"/>
      <c r="CW3" s="89"/>
      <c r="CX3" s="89"/>
      <c r="CY3" s="89"/>
      <c r="CZ3" s="89"/>
      <c r="DA3" s="89"/>
      <c r="DB3" s="7"/>
      <c r="DC3" s="7"/>
      <c r="DD3" s="7"/>
      <c r="DE3" s="7"/>
      <c r="DF3" s="7"/>
      <c r="DG3" s="7"/>
      <c r="DH3" s="89"/>
      <c r="DI3" s="89"/>
      <c r="DJ3" s="89"/>
      <c r="DK3" s="89"/>
      <c r="DL3" s="7"/>
      <c r="DM3" s="7"/>
      <c r="DN3" s="7"/>
      <c r="DO3" s="7"/>
      <c r="DP3" s="7"/>
      <c r="DQ3" s="7"/>
      <c r="DR3" s="7"/>
      <c r="DS3" s="7"/>
      <c r="DT3" s="7"/>
      <c r="DU3" s="7"/>
      <c r="DV3" s="7"/>
      <c r="DW3" s="7"/>
      <c r="DX3" s="7"/>
      <c r="DY3" s="7"/>
      <c r="DZ3" s="89"/>
      <c r="EA3" s="89"/>
      <c r="EB3" s="89"/>
      <c r="EC3" s="89"/>
      <c r="ED3" s="89"/>
      <c r="EE3" s="89"/>
      <c r="EF3" s="7"/>
      <c r="EG3" s="7"/>
      <c r="EH3" s="7"/>
      <c r="EI3" s="7"/>
      <c r="EJ3" s="7"/>
      <c r="EK3" s="7"/>
      <c r="EL3" s="89"/>
      <c r="EM3" s="89"/>
      <c r="EN3" s="7"/>
      <c r="EO3" s="7"/>
      <c r="EP3" s="89"/>
      <c r="EQ3" s="89"/>
      <c r="ER3" s="7">
        <v>134.0</v>
      </c>
      <c r="ES3" s="7">
        <v>0.0</v>
      </c>
      <c r="ET3" s="7">
        <v>42.0</v>
      </c>
      <c r="EU3" s="7">
        <v>124.0</v>
      </c>
      <c r="EV3" s="7">
        <v>24.0</v>
      </c>
      <c r="EW3" s="7">
        <v>0.0</v>
      </c>
      <c r="EX3" s="7">
        <v>0.0</v>
      </c>
      <c r="EY3" s="7">
        <v>0.0</v>
      </c>
      <c r="EZ3" s="7">
        <v>0.0</v>
      </c>
      <c r="FA3" s="7">
        <v>0.0</v>
      </c>
      <c r="FB3" s="7">
        <v>240.0</v>
      </c>
      <c r="FC3" s="7">
        <v>20.0</v>
      </c>
      <c r="FD3" s="7"/>
      <c r="FE3" s="89"/>
      <c r="FF3" s="7"/>
      <c r="FG3" s="89"/>
      <c r="FH3" s="7"/>
      <c r="FI3" s="7"/>
      <c r="FJ3" s="7"/>
      <c r="FK3" s="7"/>
      <c r="FL3" s="7"/>
      <c r="FM3" s="7"/>
      <c r="FN3" s="7"/>
      <c r="FO3" s="89"/>
      <c r="FP3" s="89"/>
      <c r="FQ3" s="89"/>
      <c r="FR3" s="7"/>
      <c r="FS3" s="7"/>
      <c r="FT3" s="7"/>
      <c r="FU3" s="89"/>
      <c r="FV3" s="7"/>
      <c r="FW3" s="89"/>
      <c r="FX3" s="7"/>
      <c r="FY3" s="7"/>
      <c r="FZ3" s="7"/>
      <c r="GA3" s="7"/>
      <c r="GB3" s="7"/>
      <c r="GC3" s="7"/>
      <c r="GD3" s="89"/>
      <c r="GE3" s="89"/>
      <c r="GF3" s="89"/>
      <c r="GG3" s="89"/>
      <c r="GH3" s="7"/>
      <c r="GI3" s="7"/>
      <c r="GJ3" s="89"/>
      <c r="GK3" s="89"/>
      <c r="GL3" s="7"/>
      <c r="GM3" s="89"/>
      <c r="GN3" s="89"/>
      <c r="GO3" s="89"/>
      <c r="GP3" s="89"/>
      <c r="GQ3" s="89"/>
      <c r="GR3" s="89">
        <v>2.0</v>
      </c>
    </row>
    <row r="4">
      <c r="A4" s="5">
        <v>45777.401608796295</v>
      </c>
      <c r="B4" s="86">
        <v>45746.0</v>
      </c>
      <c r="C4" s="86">
        <v>45747.0</v>
      </c>
      <c r="D4" s="7" t="s">
        <v>23</v>
      </c>
      <c r="E4" s="87"/>
      <c r="F4" s="88">
        <v>3.0</v>
      </c>
      <c r="G4" s="7" t="s">
        <v>70</v>
      </c>
      <c r="H4" s="7" t="s">
        <v>76</v>
      </c>
      <c r="I4" s="7"/>
      <c r="J4" s="7"/>
      <c r="K4" s="7"/>
      <c r="L4" s="7"/>
      <c r="M4" s="7"/>
      <c r="N4" s="7"/>
      <c r="O4" s="7"/>
      <c r="P4" s="7"/>
      <c r="Q4" s="7"/>
      <c r="R4" s="7"/>
      <c r="S4" s="7"/>
      <c r="T4" s="7"/>
      <c r="U4" s="7"/>
      <c r="V4" s="7"/>
      <c r="W4" s="7"/>
      <c r="X4" s="7"/>
      <c r="Y4" s="7"/>
      <c r="Z4" s="7"/>
      <c r="AA4" s="7"/>
      <c r="AB4" s="7"/>
      <c r="AC4" s="7"/>
      <c r="AD4" s="7"/>
      <c r="AE4" s="7">
        <v>0.0</v>
      </c>
      <c r="AF4" s="7"/>
      <c r="AG4" s="7"/>
      <c r="AH4" s="7">
        <v>0.0</v>
      </c>
      <c r="AI4" s="7"/>
      <c r="AJ4" s="7"/>
      <c r="AK4" s="7">
        <v>0.0</v>
      </c>
      <c r="AL4" s="7"/>
      <c r="AM4" s="7"/>
      <c r="AN4" s="7">
        <v>0.0</v>
      </c>
      <c r="AO4" s="7"/>
      <c r="AP4" s="7"/>
      <c r="AQ4" s="7">
        <v>0.0</v>
      </c>
      <c r="AR4" s="7"/>
      <c r="AS4" s="7"/>
      <c r="AT4" s="7">
        <v>0.0</v>
      </c>
      <c r="AU4" s="7"/>
      <c r="AV4" s="7"/>
      <c r="AW4" s="7">
        <v>0.0</v>
      </c>
      <c r="AX4" s="7"/>
      <c r="AY4" s="7"/>
      <c r="AZ4" s="89"/>
      <c r="BA4" s="7"/>
      <c r="BB4" s="7"/>
      <c r="BC4" s="7"/>
      <c r="BD4" s="7"/>
      <c r="BE4" s="89"/>
      <c r="BF4" s="7"/>
      <c r="BG4" s="7"/>
      <c r="BH4" s="7"/>
      <c r="BI4" s="7"/>
      <c r="BJ4" s="7"/>
      <c r="BK4" s="7"/>
      <c r="BL4" s="7"/>
      <c r="BM4" s="7"/>
      <c r="BN4" s="7"/>
      <c r="BO4" s="7"/>
      <c r="BP4" s="7"/>
      <c r="BQ4" s="7"/>
      <c r="BR4" s="7"/>
      <c r="BS4" s="7"/>
      <c r="BT4" s="89"/>
      <c r="BU4" s="89"/>
      <c r="BV4" s="89"/>
      <c r="BW4" s="89"/>
      <c r="BX4" s="89"/>
      <c r="BY4" s="89"/>
      <c r="BZ4" s="7"/>
      <c r="CA4" s="7"/>
      <c r="CB4" s="7"/>
      <c r="CC4" s="7"/>
      <c r="CD4" s="7"/>
      <c r="CE4" s="7"/>
      <c r="CF4" s="89"/>
      <c r="CG4" s="89"/>
      <c r="CH4" s="7"/>
      <c r="CI4" s="7"/>
      <c r="CJ4" s="7"/>
      <c r="CK4" s="7"/>
      <c r="CL4" s="7"/>
      <c r="CM4" s="7"/>
      <c r="CN4" s="7"/>
      <c r="CO4" s="7"/>
      <c r="CP4" s="7"/>
      <c r="CQ4" s="7"/>
      <c r="CR4" s="7"/>
      <c r="CS4" s="7"/>
      <c r="CT4" s="7"/>
      <c r="CU4" s="7"/>
      <c r="CV4" s="89"/>
      <c r="CW4" s="89"/>
      <c r="CX4" s="89"/>
      <c r="CY4" s="89"/>
      <c r="CZ4" s="89"/>
      <c r="DA4" s="89"/>
      <c r="DB4" s="7"/>
      <c r="DC4" s="7"/>
      <c r="DD4" s="7"/>
      <c r="DE4" s="7"/>
      <c r="DF4" s="7"/>
      <c r="DG4" s="7"/>
      <c r="DH4" s="89"/>
      <c r="DI4" s="89"/>
      <c r="DJ4" s="89"/>
      <c r="DK4" s="89"/>
      <c r="DL4" s="7"/>
      <c r="DM4" s="7"/>
      <c r="DN4" s="7"/>
      <c r="DO4" s="7"/>
      <c r="DP4" s="7"/>
      <c r="DQ4" s="7"/>
      <c r="DR4" s="7"/>
      <c r="DS4" s="7"/>
      <c r="DT4" s="7"/>
      <c r="DU4" s="7"/>
      <c r="DV4" s="7"/>
      <c r="DW4" s="7"/>
      <c r="DX4" s="7"/>
      <c r="DY4" s="7"/>
      <c r="DZ4" s="89"/>
      <c r="EA4" s="89"/>
      <c r="EB4" s="89"/>
      <c r="EC4" s="89"/>
      <c r="ED4" s="89"/>
      <c r="EE4" s="89"/>
      <c r="EF4" s="7"/>
      <c r="EG4" s="7"/>
      <c r="EH4" s="7"/>
      <c r="EI4" s="7"/>
      <c r="EJ4" s="7"/>
      <c r="EK4" s="7"/>
      <c r="EL4" s="89"/>
      <c r="EM4" s="89"/>
      <c r="EN4" s="7"/>
      <c r="EO4" s="7"/>
      <c r="EP4" s="89"/>
      <c r="EQ4" s="89"/>
      <c r="ER4" s="7">
        <v>32.0</v>
      </c>
      <c r="ES4" s="7">
        <v>0.0</v>
      </c>
      <c r="ET4" s="7">
        <v>12.0</v>
      </c>
      <c r="EU4" s="7">
        <v>31.0</v>
      </c>
      <c r="EV4" s="7">
        <v>6.0</v>
      </c>
      <c r="EW4" s="7">
        <v>0.0</v>
      </c>
      <c r="EX4" s="7">
        <v>0.0</v>
      </c>
      <c r="EY4" s="7">
        <v>0.0</v>
      </c>
      <c r="EZ4" s="7">
        <v>0.0</v>
      </c>
      <c r="FA4" s="7">
        <v>0.0</v>
      </c>
      <c r="FB4" s="7">
        <v>60.0</v>
      </c>
      <c r="FC4" s="7">
        <v>6.0</v>
      </c>
      <c r="FD4" s="7"/>
      <c r="FE4" s="89"/>
      <c r="FF4" s="7"/>
      <c r="FG4" s="89"/>
      <c r="FH4" s="7"/>
      <c r="FI4" s="7"/>
      <c r="FJ4" s="7"/>
      <c r="FK4" s="7"/>
      <c r="FL4" s="7"/>
      <c r="FM4" s="7"/>
      <c r="FN4" s="7"/>
      <c r="FO4" s="89"/>
      <c r="FP4" s="89"/>
      <c r="FQ4" s="89"/>
      <c r="FR4" s="7"/>
      <c r="FS4" s="7"/>
      <c r="FT4" s="7"/>
      <c r="FU4" s="89"/>
      <c r="FV4" s="7"/>
      <c r="FW4" s="89"/>
      <c r="FX4" s="7"/>
      <c r="FY4" s="7"/>
      <c r="FZ4" s="7"/>
      <c r="GA4" s="7"/>
      <c r="GB4" s="7"/>
      <c r="GC4" s="7"/>
      <c r="GD4" s="89"/>
      <c r="GE4" s="89"/>
      <c r="GF4" s="89"/>
      <c r="GG4" s="89"/>
      <c r="GH4" s="7"/>
      <c r="GI4" s="7"/>
      <c r="GJ4" s="89"/>
      <c r="GK4" s="89"/>
      <c r="GL4" s="7"/>
      <c r="GM4" s="89"/>
      <c r="GN4" s="89"/>
      <c r="GO4" s="89"/>
      <c r="GP4" s="89"/>
      <c r="GQ4" s="89"/>
      <c r="GR4" s="89">
        <v>3.0</v>
      </c>
    </row>
    <row r="5">
      <c r="A5" s="5">
        <v>45777.401724537034</v>
      </c>
      <c r="B5" s="86">
        <v>45746.0</v>
      </c>
      <c r="C5" s="86">
        <v>45747.0</v>
      </c>
      <c r="D5" s="7" t="s">
        <v>26</v>
      </c>
      <c r="E5" s="87"/>
      <c r="F5" s="88">
        <v>3.0</v>
      </c>
      <c r="G5" s="7" t="s">
        <v>70</v>
      </c>
      <c r="H5" s="7" t="s">
        <v>76</v>
      </c>
      <c r="I5" s="7"/>
      <c r="J5" s="7"/>
      <c r="K5" s="7"/>
      <c r="L5" s="7"/>
      <c r="M5" s="7"/>
      <c r="N5" s="7"/>
      <c r="O5" s="7"/>
      <c r="P5" s="7"/>
      <c r="Q5" s="7"/>
      <c r="R5" s="7"/>
      <c r="S5" s="7"/>
      <c r="T5" s="7"/>
      <c r="U5" s="7"/>
      <c r="V5" s="7"/>
      <c r="W5" s="7"/>
      <c r="X5" s="7"/>
      <c r="Y5" s="7"/>
      <c r="Z5" s="7"/>
      <c r="AA5" s="7"/>
      <c r="AB5" s="7"/>
      <c r="AC5" s="7"/>
      <c r="AD5" s="7"/>
      <c r="AE5" s="7">
        <v>0.0</v>
      </c>
      <c r="AF5" s="7"/>
      <c r="AG5" s="7"/>
      <c r="AH5" s="7">
        <v>0.0</v>
      </c>
      <c r="AI5" s="7"/>
      <c r="AJ5" s="7"/>
      <c r="AK5" s="7">
        <v>0.0</v>
      </c>
      <c r="AL5" s="7"/>
      <c r="AM5" s="7"/>
      <c r="AN5" s="7">
        <v>330.0</v>
      </c>
      <c r="AO5" s="7"/>
      <c r="AP5" s="7"/>
      <c r="AQ5" s="7">
        <v>0.0</v>
      </c>
      <c r="AR5" s="7"/>
      <c r="AS5" s="7"/>
      <c r="AT5" s="7">
        <v>0.0</v>
      </c>
      <c r="AU5" s="7"/>
      <c r="AV5" s="7"/>
      <c r="AW5" s="7">
        <v>0.0</v>
      </c>
      <c r="AX5" s="7"/>
      <c r="AY5" s="7"/>
      <c r="AZ5" s="89"/>
      <c r="BA5" s="7"/>
      <c r="BB5" s="7"/>
      <c r="BC5" s="7"/>
      <c r="BD5" s="7"/>
      <c r="BE5" s="89"/>
      <c r="BF5" s="7"/>
      <c r="BG5" s="7"/>
      <c r="BH5" s="7"/>
      <c r="BI5" s="7"/>
      <c r="BJ5" s="7"/>
      <c r="BK5" s="7"/>
      <c r="BL5" s="7"/>
      <c r="BM5" s="7"/>
      <c r="BN5" s="7"/>
      <c r="BO5" s="7"/>
      <c r="BP5" s="7"/>
      <c r="BQ5" s="7"/>
      <c r="BR5" s="7"/>
      <c r="BS5" s="7"/>
      <c r="BT5" s="89"/>
      <c r="BU5" s="89"/>
      <c r="BV5" s="89"/>
      <c r="BW5" s="89"/>
      <c r="BX5" s="89"/>
      <c r="BY5" s="89"/>
      <c r="BZ5" s="7"/>
      <c r="CA5" s="7"/>
      <c r="CB5" s="7"/>
      <c r="CC5" s="7"/>
      <c r="CD5" s="7"/>
      <c r="CE5" s="7"/>
      <c r="CF5" s="89"/>
      <c r="CG5" s="89"/>
      <c r="CH5" s="7"/>
      <c r="CI5" s="7"/>
      <c r="CJ5" s="7"/>
      <c r="CK5" s="7"/>
      <c r="CL5" s="7"/>
      <c r="CM5" s="7"/>
      <c r="CN5" s="7"/>
      <c r="CO5" s="7"/>
      <c r="CP5" s="7"/>
      <c r="CQ5" s="7"/>
      <c r="CR5" s="7"/>
      <c r="CS5" s="7"/>
      <c r="CT5" s="7"/>
      <c r="CU5" s="7"/>
      <c r="CV5" s="89"/>
      <c r="CW5" s="89"/>
      <c r="CX5" s="89"/>
      <c r="CY5" s="89"/>
      <c r="CZ5" s="89"/>
      <c r="DA5" s="89"/>
      <c r="DB5" s="7"/>
      <c r="DC5" s="7"/>
      <c r="DD5" s="7"/>
      <c r="DE5" s="7"/>
      <c r="DF5" s="7"/>
      <c r="DG5" s="7"/>
      <c r="DH5" s="89"/>
      <c r="DI5" s="89"/>
      <c r="DJ5" s="89"/>
      <c r="DK5" s="89"/>
      <c r="DL5" s="7"/>
      <c r="DM5" s="7"/>
      <c r="DN5" s="7"/>
      <c r="DO5" s="7"/>
      <c r="DP5" s="7"/>
      <c r="DQ5" s="7"/>
      <c r="DR5" s="7"/>
      <c r="DS5" s="7"/>
      <c r="DT5" s="7"/>
      <c r="DU5" s="7"/>
      <c r="DV5" s="7"/>
      <c r="DW5" s="7"/>
      <c r="DX5" s="7"/>
      <c r="DY5" s="7"/>
      <c r="DZ5" s="89"/>
      <c r="EA5" s="89"/>
      <c r="EB5" s="89"/>
      <c r="EC5" s="89"/>
      <c r="ED5" s="89"/>
      <c r="EE5" s="89"/>
      <c r="EF5" s="7"/>
      <c r="EG5" s="7"/>
      <c r="EH5" s="7"/>
      <c r="EI5" s="7"/>
      <c r="EJ5" s="7"/>
      <c r="EK5" s="7"/>
      <c r="EL5" s="89"/>
      <c r="EM5" s="89"/>
      <c r="EN5" s="7"/>
      <c r="EO5" s="7"/>
      <c r="EP5" s="89"/>
      <c r="EQ5" s="89"/>
      <c r="ER5" s="7">
        <v>32.0</v>
      </c>
      <c r="ES5" s="7">
        <v>0.0</v>
      </c>
      <c r="ET5" s="7">
        <v>12.0</v>
      </c>
      <c r="EU5" s="7">
        <v>31.0</v>
      </c>
      <c r="EV5" s="7">
        <v>6.0</v>
      </c>
      <c r="EW5" s="7">
        <v>0.0</v>
      </c>
      <c r="EX5" s="7">
        <v>0.0</v>
      </c>
      <c r="EY5" s="7">
        <v>0.0</v>
      </c>
      <c r="EZ5" s="7">
        <v>0.0</v>
      </c>
      <c r="FA5" s="7">
        <v>0.0</v>
      </c>
      <c r="FB5" s="7">
        <v>60.0</v>
      </c>
      <c r="FC5" s="7">
        <v>6.0</v>
      </c>
      <c r="FD5" s="7"/>
      <c r="FE5" s="89"/>
      <c r="FF5" s="7"/>
      <c r="FG5" s="89"/>
      <c r="FH5" s="7"/>
      <c r="FI5" s="7"/>
      <c r="FJ5" s="7"/>
      <c r="FK5" s="7"/>
      <c r="FL5" s="7"/>
      <c r="FM5" s="7"/>
      <c r="FN5" s="7"/>
      <c r="FO5" s="89"/>
      <c r="FP5" s="89"/>
      <c r="FQ5" s="89"/>
      <c r="FR5" s="7"/>
      <c r="FS5" s="7"/>
      <c r="FT5" s="7"/>
      <c r="FU5" s="89"/>
      <c r="FV5" s="7"/>
      <c r="FW5" s="89"/>
      <c r="FX5" s="7"/>
      <c r="FY5" s="7"/>
      <c r="FZ5" s="7"/>
      <c r="GA5" s="7"/>
      <c r="GB5" s="7"/>
      <c r="GC5" s="7"/>
      <c r="GD5" s="89"/>
      <c r="GE5" s="89"/>
      <c r="GF5" s="89"/>
      <c r="GG5" s="89"/>
      <c r="GH5" s="7"/>
      <c r="GI5" s="7"/>
      <c r="GJ5" s="89"/>
      <c r="GK5" s="89"/>
      <c r="GL5" s="7"/>
      <c r="GM5" s="89"/>
      <c r="GN5" s="89"/>
      <c r="GO5" s="89"/>
      <c r="GP5" s="89"/>
      <c r="GQ5" s="89"/>
      <c r="GR5" s="89">
        <v>4.0</v>
      </c>
    </row>
    <row r="6">
      <c r="A6" s="5">
        <v>45777.40184027778</v>
      </c>
      <c r="B6" s="86">
        <v>45746.0</v>
      </c>
      <c r="C6" s="86">
        <v>45747.0</v>
      </c>
      <c r="D6" s="7" t="s">
        <v>29</v>
      </c>
      <c r="E6" s="87"/>
      <c r="F6" s="88">
        <v>3.0</v>
      </c>
      <c r="G6" s="7" t="s">
        <v>70</v>
      </c>
      <c r="H6" s="7" t="s">
        <v>76</v>
      </c>
      <c r="I6" s="7"/>
      <c r="J6" s="7"/>
      <c r="K6" s="7"/>
      <c r="L6" s="7"/>
      <c r="M6" s="7"/>
      <c r="N6" s="7"/>
      <c r="O6" s="7"/>
      <c r="P6" s="7"/>
      <c r="Q6" s="7"/>
      <c r="R6" s="7"/>
      <c r="S6" s="7"/>
      <c r="T6" s="7"/>
      <c r="U6" s="7"/>
      <c r="V6" s="7"/>
      <c r="W6" s="7"/>
      <c r="X6" s="7"/>
      <c r="Y6" s="7"/>
      <c r="Z6" s="7"/>
      <c r="AA6" s="7"/>
      <c r="AB6" s="7"/>
      <c r="AC6" s="7"/>
      <c r="AD6" s="7"/>
      <c r="AE6" s="7">
        <v>0.0</v>
      </c>
      <c r="AF6" s="7"/>
      <c r="AG6" s="7"/>
      <c r="AH6" s="7">
        <v>0.0</v>
      </c>
      <c r="AI6" s="7"/>
      <c r="AJ6" s="7"/>
      <c r="AK6" s="7">
        <v>0.0</v>
      </c>
      <c r="AL6" s="7"/>
      <c r="AM6" s="7"/>
      <c r="AN6" s="7">
        <v>0.0</v>
      </c>
      <c r="AO6" s="7"/>
      <c r="AP6" s="7"/>
      <c r="AQ6" s="7">
        <v>0.0</v>
      </c>
      <c r="AR6" s="7"/>
      <c r="AS6" s="7"/>
      <c r="AT6" s="7">
        <v>0.0</v>
      </c>
      <c r="AU6" s="7"/>
      <c r="AV6" s="7"/>
      <c r="AW6" s="7">
        <v>0.0</v>
      </c>
      <c r="AX6" s="7"/>
      <c r="AY6" s="7"/>
      <c r="AZ6" s="89"/>
      <c r="BA6" s="7"/>
      <c r="BB6" s="7"/>
      <c r="BC6" s="7"/>
      <c r="BD6" s="7"/>
      <c r="BE6" s="89"/>
      <c r="BF6" s="7"/>
      <c r="BG6" s="7"/>
      <c r="BH6" s="7"/>
      <c r="BI6" s="7"/>
      <c r="BJ6" s="7"/>
      <c r="BK6" s="7"/>
      <c r="BL6" s="7"/>
      <c r="BM6" s="7"/>
      <c r="BN6" s="7"/>
      <c r="BO6" s="7"/>
      <c r="BP6" s="7"/>
      <c r="BQ6" s="7"/>
      <c r="BR6" s="7"/>
      <c r="BS6" s="7"/>
      <c r="BT6" s="89"/>
      <c r="BU6" s="89"/>
      <c r="BV6" s="89"/>
      <c r="BW6" s="89"/>
      <c r="BX6" s="89"/>
      <c r="BY6" s="89"/>
      <c r="BZ6" s="7"/>
      <c r="CA6" s="7"/>
      <c r="CB6" s="7"/>
      <c r="CC6" s="7"/>
      <c r="CD6" s="7"/>
      <c r="CE6" s="7"/>
      <c r="CF6" s="89"/>
      <c r="CG6" s="89"/>
      <c r="CH6" s="7"/>
      <c r="CI6" s="7"/>
      <c r="CJ6" s="7"/>
      <c r="CK6" s="7"/>
      <c r="CL6" s="7"/>
      <c r="CM6" s="7"/>
      <c r="CN6" s="7"/>
      <c r="CO6" s="7"/>
      <c r="CP6" s="7"/>
      <c r="CQ6" s="7"/>
      <c r="CR6" s="7"/>
      <c r="CS6" s="7"/>
      <c r="CT6" s="7"/>
      <c r="CU6" s="7"/>
      <c r="CV6" s="89"/>
      <c r="CW6" s="89"/>
      <c r="CX6" s="89"/>
      <c r="CY6" s="89"/>
      <c r="CZ6" s="89"/>
      <c r="DA6" s="89"/>
      <c r="DB6" s="7"/>
      <c r="DC6" s="7"/>
      <c r="DD6" s="7"/>
      <c r="DE6" s="7"/>
      <c r="DF6" s="7"/>
      <c r="DG6" s="7"/>
      <c r="DH6" s="89"/>
      <c r="DI6" s="89"/>
      <c r="DJ6" s="89"/>
      <c r="DK6" s="89"/>
      <c r="DL6" s="7"/>
      <c r="DM6" s="7"/>
      <c r="DN6" s="7"/>
      <c r="DO6" s="7"/>
      <c r="DP6" s="7"/>
      <c r="DQ6" s="7"/>
      <c r="DR6" s="7"/>
      <c r="DS6" s="7"/>
      <c r="DT6" s="7"/>
      <c r="DU6" s="7"/>
      <c r="DV6" s="7"/>
      <c r="DW6" s="7"/>
      <c r="DX6" s="7"/>
      <c r="DY6" s="7"/>
      <c r="DZ6" s="89"/>
      <c r="EA6" s="89"/>
      <c r="EB6" s="89"/>
      <c r="EC6" s="89"/>
      <c r="ED6" s="89"/>
      <c r="EE6" s="89"/>
      <c r="EF6" s="7"/>
      <c r="EG6" s="7"/>
      <c r="EH6" s="7"/>
      <c r="EI6" s="7"/>
      <c r="EJ6" s="7"/>
      <c r="EK6" s="7"/>
      <c r="EL6" s="89"/>
      <c r="EM6" s="89"/>
      <c r="EN6" s="7"/>
      <c r="EO6" s="7"/>
      <c r="EP6" s="89"/>
      <c r="EQ6" s="89"/>
      <c r="ER6" s="7">
        <v>32.0</v>
      </c>
      <c r="ES6" s="7">
        <v>0.0</v>
      </c>
      <c r="ET6" s="7">
        <v>12.0</v>
      </c>
      <c r="EU6" s="7">
        <v>31.0</v>
      </c>
      <c r="EV6" s="7">
        <v>6.0</v>
      </c>
      <c r="EW6" s="7">
        <v>0.0</v>
      </c>
      <c r="EX6" s="7">
        <v>0.0</v>
      </c>
      <c r="EY6" s="7">
        <v>0.0</v>
      </c>
      <c r="EZ6" s="7">
        <v>0.0</v>
      </c>
      <c r="FA6" s="7">
        <v>0.0</v>
      </c>
      <c r="FB6" s="7">
        <v>60.0</v>
      </c>
      <c r="FC6" s="7">
        <v>6.0</v>
      </c>
      <c r="FD6" s="7" t="s">
        <v>506</v>
      </c>
      <c r="FE6" s="89"/>
      <c r="FF6" s="7"/>
      <c r="FG6" s="89"/>
      <c r="FH6" s="7"/>
      <c r="FI6" s="7"/>
      <c r="FJ6" s="7"/>
      <c r="FK6" s="7"/>
      <c r="FL6" s="7"/>
      <c r="FM6" s="7"/>
      <c r="FN6" s="7"/>
      <c r="FO6" s="89"/>
      <c r="FP6" s="89"/>
      <c r="FQ6" s="89"/>
      <c r="FR6" s="7"/>
      <c r="FS6" s="7"/>
      <c r="FT6" s="7"/>
      <c r="FU6" s="89"/>
      <c r="FV6" s="7"/>
      <c r="FW6" s="89"/>
      <c r="FX6" s="7"/>
      <c r="FY6" s="7"/>
      <c r="FZ6" s="7"/>
      <c r="GA6" s="7"/>
      <c r="GB6" s="7"/>
      <c r="GC6" s="7"/>
      <c r="GD6" s="89"/>
      <c r="GE6" s="89"/>
      <c r="GF6" s="89"/>
      <c r="GG6" s="89"/>
      <c r="GH6" s="7"/>
      <c r="GI6" s="7"/>
      <c r="GJ6" s="89"/>
      <c r="GK6" s="89"/>
      <c r="GL6" s="7"/>
      <c r="GM6" s="89"/>
      <c r="GN6" s="89"/>
      <c r="GO6" s="89"/>
      <c r="GP6" s="89"/>
      <c r="GQ6" s="89"/>
      <c r="GR6" s="89">
        <v>5.0</v>
      </c>
    </row>
    <row r="7">
      <c r="A7" s="5">
        <v>45777.40195601852</v>
      </c>
      <c r="B7" s="86">
        <v>45746.0</v>
      </c>
      <c r="C7" s="86">
        <v>45747.0</v>
      </c>
      <c r="D7" s="7" t="s">
        <v>27</v>
      </c>
      <c r="E7" s="87"/>
      <c r="F7" s="88">
        <v>3.0</v>
      </c>
      <c r="G7" s="7" t="s">
        <v>70</v>
      </c>
      <c r="H7" s="7" t="s">
        <v>76</v>
      </c>
      <c r="I7" s="7"/>
      <c r="J7" s="7"/>
      <c r="K7" s="7"/>
      <c r="L7" s="7"/>
      <c r="M7" s="7"/>
      <c r="N7" s="7"/>
      <c r="O7" s="7"/>
      <c r="P7" s="7"/>
      <c r="Q7" s="7"/>
      <c r="R7" s="7"/>
      <c r="S7" s="7"/>
      <c r="T7" s="7"/>
      <c r="U7" s="7"/>
      <c r="V7" s="7"/>
      <c r="W7" s="7"/>
      <c r="X7" s="7"/>
      <c r="Y7" s="7"/>
      <c r="Z7" s="7"/>
      <c r="AA7" s="7"/>
      <c r="AB7" s="7"/>
      <c r="AC7" s="7"/>
      <c r="AD7" s="7"/>
      <c r="AE7" s="7">
        <v>0.0</v>
      </c>
      <c r="AF7" s="7"/>
      <c r="AG7" s="7"/>
      <c r="AH7" s="7">
        <v>0.0</v>
      </c>
      <c r="AI7" s="7"/>
      <c r="AJ7" s="7"/>
      <c r="AK7" s="7">
        <v>0.0</v>
      </c>
      <c r="AL7" s="7"/>
      <c r="AM7" s="7"/>
      <c r="AN7" s="7">
        <v>350.0</v>
      </c>
      <c r="AO7" s="7"/>
      <c r="AP7" s="7"/>
      <c r="AQ7" s="7">
        <v>0.0</v>
      </c>
      <c r="AR7" s="7"/>
      <c r="AS7" s="7"/>
      <c r="AT7" s="7">
        <v>0.0</v>
      </c>
      <c r="AU7" s="7"/>
      <c r="AV7" s="7"/>
      <c r="AW7" s="7">
        <v>0.0</v>
      </c>
      <c r="AX7" s="7"/>
      <c r="AY7" s="7"/>
      <c r="AZ7" s="89"/>
      <c r="BA7" s="7"/>
      <c r="BB7" s="7"/>
      <c r="BC7" s="7"/>
      <c r="BD7" s="7"/>
      <c r="BE7" s="89"/>
      <c r="BF7" s="7"/>
      <c r="BG7" s="7"/>
      <c r="BH7" s="7"/>
      <c r="BI7" s="7"/>
      <c r="BJ7" s="7"/>
      <c r="BK7" s="7"/>
      <c r="BL7" s="7"/>
      <c r="BM7" s="7"/>
      <c r="BN7" s="7"/>
      <c r="BO7" s="7"/>
      <c r="BP7" s="7"/>
      <c r="BQ7" s="7"/>
      <c r="BR7" s="7"/>
      <c r="BS7" s="7"/>
      <c r="BT7" s="89"/>
      <c r="BU7" s="89"/>
      <c r="BV7" s="89"/>
      <c r="BW7" s="89"/>
      <c r="BX7" s="89"/>
      <c r="BY7" s="89"/>
      <c r="BZ7" s="7"/>
      <c r="CA7" s="7"/>
      <c r="CB7" s="7"/>
      <c r="CC7" s="7"/>
      <c r="CD7" s="7"/>
      <c r="CE7" s="7"/>
      <c r="CF7" s="89"/>
      <c r="CG7" s="89"/>
      <c r="CH7" s="7"/>
      <c r="CI7" s="7"/>
      <c r="CJ7" s="7"/>
      <c r="CK7" s="7"/>
      <c r="CL7" s="7"/>
      <c r="CM7" s="7"/>
      <c r="CN7" s="7"/>
      <c r="CO7" s="7"/>
      <c r="CP7" s="7"/>
      <c r="CQ7" s="7"/>
      <c r="CR7" s="7"/>
      <c r="CS7" s="7"/>
      <c r="CT7" s="7"/>
      <c r="CU7" s="7"/>
      <c r="CV7" s="89"/>
      <c r="CW7" s="89"/>
      <c r="CX7" s="89"/>
      <c r="CY7" s="89"/>
      <c r="CZ7" s="89"/>
      <c r="DA7" s="89"/>
      <c r="DB7" s="7"/>
      <c r="DC7" s="7"/>
      <c r="DD7" s="7"/>
      <c r="DE7" s="7"/>
      <c r="DF7" s="7"/>
      <c r="DG7" s="7"/>
      <c r="DH7" s="89"/>
      <c r="DI7" s="89"/>
      <c r="DJ7" s="89"/>
      <c r="DK7" s="89"/>
      <c r="DL7" s="7"/>
      <c r="DM7" s="7"/>
      <c r="DN7" s="7"/>
      <c r="DO7" s="7"/>
      <c r="DP7" s="7"/>
      <c r="DQ7" s="7"/>
      <c r="DR7" s="7"/>
      <c r="DS7" s="7"/>
      <c r="DT7" s="7"/>
      <c r="DU7" s="7"/>
      <c r="DV7" s="7"/>
      <c r="DW7" s="7"/>
      <c r="DX7" s="7"/>
      <c r="DY7" s="7"/>
      <c r="DZ7" s="89"/>
      <c r="EA7" s="89"/>
      <c r="EB7" s="89"/>
      <c r="EC7" s="89"/>
      <c r="ED7" s="89"/>
      <c r="EE7" s="89"/>
      <c r="EF7" s="7"/>
      <c r="EG7" s="7"/>
      <c r="EH7" s="7"/>
      <c r="EI7" s="7"/>
      <c r="EJ7" s="7"/>
      <c r="EK7" s="7"/>
      <c r="EL7" s="89"/>
      <c r="EM7" s="89"/>
      <c r="EN7" s="7"/>
      <c r="EO7" s="7"/>
      <c r="EP7" s="89"/>
      <c r="EQ7" s="89"/>
      <c r="ER7" s="7">
        <v>0.0</v>
      </c>
      <c r="ES7" s="7">
        <v>0.0</v>
      </c>
      <c r="ET7" s="7">
        <v>0.0</v>
      </c>
      <c r="EU7" s="7">
        <v>0.0</v>
      </c>
      <c r="EV7" s="7">
        <v>0.0</v>
      </c>
      <c r="EW7" s="7">
        <v>0.0</v>
      </c>
      <c r="EX7" s="7">
        <v>0.0</v>
      </c>
      <c r="EY7" s="7">
        <v>0.0</v>
      </c>
      <c r="EZ7" s="7">
        <v>0.0</v>
      </c>
      <c r="FA7" s="7">
        <v>0.0</v>
      </c>
      <c r="FB7" s="7">
        <v>0.0</v>
      </c>
      <c r="FC7" s="7">
        <v>0.0</v>
      </c>
      <c r="FD7" s="7"/>
      <c r="FE7" s="89"/>
      <c r="FF7" s="7"/>
      <c r="FG7" s="89"/>
      <c r="FH7" s="7"/>
      <c r="FI7" s="7"/>
      <c r="FJ7" s="7"/>
      <c r="FK7" s="7"/>
      <c r="FL7" s="7"/>
      <c r="FM7" s="7"/>
      <c r="FN7" s="7"/>
      <c r="FO7" s="89"/>
      <c r="FP7" s="89"/>
      <c r="FQ7" s="89"/>
      <c r="FR7" s="7"/>
      <c r="FS7" s="7"/>
      <c r="FT7" s="7"/>
      <c r="FU7" s="89"/>
      <c r="FV7" s="7"/>
      <c r="FW7" s="89"/>
      <c r="FX7" s="7"/>
      <c r="FY7" s="7"/>
      <c r="FZ7" s="7"/>
      <c r="GA7" s="7"/>
      <c r="GB7" s="7"/>
      <c r="GC7" s="7"/>
      <c r="GD7" s="89"/>
      <c r="GE7" s="89"/>
      <c r="GF7" s="89"/>
      <c r="GG7" s="89"/>
      <c r="GH7" s="7"/>
      <c r="GI7" s="7"/>
      <c r="GJ7" s="89"/>
      <c r="GK7" s="89"/>
      <c r="GL7" s="7"/>
      <c r="GM7" s="89"/>
      <c r="GN7" s="89"/>
      <c r="GO7" s="89"/>
      <c r="GP7" s="89"/>
      <c r="GQ7" s="89"/>
      <c r="GR7" s="89">
        <v>6.0</v>
      </c>
    </row>
    <row r="8">
      <c r="A8" s="5">
        <v>45777.40207175926</v>
      </c>
      <c r="B8" s="86">
        <v>45746.0</v>
      </c>
      <c r="C8" s="86">
        <v>45747.0</v>
      </c>
      <c r="D8" s="7" t="s">
        <v>32</v>
      </c>
      <c r="E8" s="87"/>
      <c r="F8" s="88">
        <v>3.0</v>
      </c>
      <c r="G8" s="7" t="s">
        <v>70</v>
      </c>
      <c r="H8" s="7" t="s">
        <v>76</v>
      </c>
      <c r="I8" s="7"/>
      <c r="J8" s="7"/>
      <c r="K8" s="7"/>
      <c r="L8" s="7"/>
      <c r="M8" s="7"/>
      <c r="N8" s="7"/>
      <c r="O8" s="7"/>
      <c r="P8" s="7"/>
      <c r="Q8" s="7"/>
      <c r="R8" s="7"/>
      <c r="S8" s="7"/>
      <c r="T8" s="7"/>
      <c r="U8" s="7"/>
      <c r="V8" s="7"/>
      <c r="W8" s="7"/>
      <c r="X8" s="7"/>
      <c r="Y8" s="7"/>
      <c r="Z8" s="7"/>
      <c r="AA8" s="7"/>
      <c r="AB8" s="7"/>
      <c r="AC8" s="7"/>
      <c r="AD8" s="7"/>
      <c r="AE8" s="7">
        <v>0.0</v>
      </c>
      <c r="AF8" s="7"/>
      <c r="AG8" s="7"/>
      <c r="AH8" s="7">
        <v>0.0</v>
      </c>
      <c r="AI8" s="7"/>
      <c r="AJ8" s="7"/>
      <c r="AK8" s="7">
        <v>0.0</v>
      </c>
      <c r="AL8" s="7"/>
      <c r="AM8" s="7"/>
      <c r="AN8" s="7">
        <v>200.0</v>
      </c>
      <c r="AO8" s="7"/>
      <c r="AP8" s="7"/>
      <c r="AQ8" s="7">
        <v>0.0</v>
      </c>
      <c r="AR8" s="7"/>
      <c r="AS8" s="7"/>
      <c r="AT8" s="7">
        <v>0.0</v>
      </c>
      <c r="AU8" s="7"/>
      <c r="AV8" s="7"/>
      <c r="AW8" s="7">
        <v>0.0</v>
      </c>
      <c r="AX8" s="7"/>
      <c r="AY8" s="7"/>
      <c r="AZ8" s="89"/>
      <c r="BA8" s="7"/>
      <c r="BB8" s="7"/>
      <c r="BC8" s="7"/>
      <c r="BD8" s="7"/>
      <c r="BE8" s="89"/>
      <c r="BF8" s="7"/>
      <c r="BG8" s="7"/>
      <c r="BH8" s="7"/>
      <c r="BI8" s="7"/>
      <c r="BJ8" s="7"/>
      <c r="BK8" s="7"/>
      <c r="BL8" s="7"/>
      <c r="BM8" s="7"/>
      <c r="BN8" s="7"/>
      <c r="BO8" s="7"/>
      <c r="BP8" s="7"/>
      <c r="BQ8" s="7"/>
      <c r="BR8" s="7"/>
      <c r="BS8" s="7"/>
      <c r="BT8" s="89"/>
      <c r="BU8" s="89"/>
      <c r="BV8" s="89"/>
      <c r="BW8" s="89"/>
      <c r="BX8" s="89"/>
      <c r="BY8" s="89"/>
      <c r="BZ8" s="7"/>
      <c r="CA8" s="7"/>
      <c r="CB8" s="7"/>
      <c r="CC8" s="7"/>
      <c r="CD8" s="7"/>
      <c r="CE8" s="7"/>
      <c r="CF8" s="89"/>
      <c r="CG8" s="89"/>
      <c r="CH8" s="7"/>
      <c r="CI8" s="7"/>
      <c r="CJ8" s="7"/>
      <c r="CK8" s="7"/>
      <c r="CL8" s="7"/>
      <c r="CM8" s="7"/>
      <c r="CN8" s="7"/>
      <c r="CO8" s="7"/>
      <c r="CP8" s="7"/>
      <c r="CQ8" s="7"/>
      <c r="CR8" s="7"/>
      <c r="CS8" s="7"/>
      <c r="CT8" s="7"/>
      <c r="CU8" s="7"/>
      <c r="CV8" s="89"/>
      <c r="CW8" s="89"/>
      <c r="CX8" s="89"/>
      <c r="CY8" s="89"/>
      <c r="CZ8" s="89"/>
      <c r="DA8" s="89"/>
      <c r="DB8" s="7"/>
      <c r="DC8" s="7"/>
      <c r="DD8" s="7"/>
      <c r="DE8" s="7"/>
      <c r="DF8" s="7"/>
      <c r="DG8" s="7"/>
      <c r="DH8" s="89"/>
      <c r="DI8" s="89"/>
      <c r="DJ8" s="89"/>
      <c r="DK8" s="89"/>
      <c r="DL8" s="7"/>
      <c r="DM8" s="7"/>
      <c r="DN8" s="7"/>
      <c r="DO8" s="7"/>
      <c r="DP8" s="7"/>
      <c r="DQ8" s="7"/>
      <c r="DR8" s="7"/>
      <c r="DS8" s="7"/>
      <c r="DT8" s="7"/>
      <c r="DU8" s="7"/>
      <c r="DV8" s="7"/>
      <c r="DW8" s="7"/>
      <c r="DX8" s="7"/>
      <c r="DY8" s="7"/>
      <c r="DZ8" s="89"/>
      <c r="EA8" s="89"/>
      <c r="EB8" s="89"/>
      <c r="EC8" s="89"/>
      <c r="ED8" s="89"/>
      <c r="EE8" s="89"/>
      <c r="EF8" s="7"/>
      <c r="EG8" s="7"/>
      <c r="EH8" s="7"/>
      <c r="EI8" s="7"/>
      <c r="EJ8" s="7"/>
      <c r="EK8" s="7"/>
      <c r="EL8" s="89"/>
      <c r="EM8" s="89"/>
      <c r="EN8" s="7"/>
      <c r="EO8" s="7"/>
      <c r="EP8" s="89"/>
      <c r="EQ8" s="89"/>
      <c r="ER8" s="7">
        <v>32.0</v>
      </c>
      <c r="ES8" s="7">
        <v>0.0</v>
      </c>
      <c r="ET8" s="7">
        <v>12.0</v>
      </c>
      <c r="EU8" s="7">
        <v>31.0</v>
      </c>
      <c r="EV8" s="7">
        <v>6.0</v>
      </c>
      <c r="EW8" s="7">
        <v>0.0</v>
      </c>
      <c r="EX8" s="7">
        <v>0.0</v>
      </c>
      <c r="EY8" s="7">
        <v>0.0</v>
      </c>
      <c r="EZ8" s="7">
        <v>0.0</v>
      </c>
      <c r="FA8" s="7">
        <v>0.0</v>
      </c>
      <c r="FB8" s="7">
        <v>60.0</v>
      </c>
      <c r="FC8" s="7">
        <v>6.0</v>
      </c>
      <c r="FD8" s="7"/>
      <c r="FE8" s="89"/>
      <c r="FF8" s="7"/>
      <c r="FG8" s="89"/>
      <c r="FH8" s="7"/>
      <c r="FI8" s="7"/>
      <c r="FJ8" s="7"/>
      <c r="FK8" s="7"/>
      <c r="FL8" s="7"/>
      <c r="FM8" s="7"/>
      <c r="FN8" s="7"/>
      <c r="FO8" s="89"/>
      <c r="FP8" s="89"/>
      <c r="FQ8" s="89"/>
      <c r="FR8" s="7"/>
      <c r="FS8" s="7"/>
      <c r="FT8" s="7"/>
      <c r="FU8" s="89"/>
      <c r="FV8" s="7"/>
      <c r="FW8" s="89"/>
      <c r="FX8" s="7"/>
      <c r="FY8" s="7"/>
      <c r="FZ8" s="7"/>
      <c r="GA8" s="7"/>
      <c r="GB8" s="7"/>
      <c r="GC8" s="7"/>
      <c r="GD8" s="89"/>
      <c r="GE8" s="89"/>
      <c r="GF8" s="89"/>
      <c r="GG8" s="89"/>
      <c r="GH8" s="7"/>
      <c r="GI8" s="7"/>
      <c r="GJ8" s="89"/>
      <c r="GK8" s="89"/>
      <c r="GL8" s="7"/>
      <c r="GM8" s="89"/>
      <c r="GN8" s="89"/>
      <c r="GO8" s="89"/>
      <c r="GP8" s="89"/>
      <c r="GQ8" s="89"/>
      <c r="GR8" s="89">
        <v>7.0</v>
      </c>
    </row>
    <row r="9">
      <c r="A9" s="5">
        <v>45777.4021875</v>
      </c>
      <c r="B9" s="86">
        <v>45746.0</v>
      </c>
      <c r="C9" s="86">
        <v>45747.0</v>
      </c>
      <c r="D9" s="7" t="s">
        <v>31</v>
      </c>
      <c r="E9" s="87"/>
      <c r="F9" s="88">
        <v>3.0</v>
      </c>
      <c r="G9" s="7" t="s">
        <v>70</v>
      </c>
      <c r="H9" s="7" t="s">
        <v>76</v>
      </c>
      <c r="I9" s="7"/>
      <c r="J9" s="7"/>
      <c r="K9" s="7"/>
      <c r="L9" s="7"/>
      <c r="M9" s="7"/>
      <c r="N9" s="7"/>
      <c r="O9" s="7"/>
      <c r="P9" s="7"/>
      <c r="Q9" s="7"/>
      <c r="R9" s="7"/>
      <c r="S9" s="7"/>
      <c r="T9" s="7"/>
      <c r="U9" s="7"/>
      <c r="V9" s="7"/>
      <c r="W9" s="7"/>
      <c r="X9" s="7"/>
      <c r="Y9" s="7"/>
      <c r="Z9" s="7"/>
      <c r="AA9" s="7"/>
      <c r="AB9" s="7"/>
      <c r="AC9" s="7"/>
      <c r="AD9" s="7"/>
      <c r="AE9" s="7">
        <v>0.0</v>
      </c>
      <c r="AF9" s="7"/>
      <c r="AG9" s="7"/>
      <c r="AH9" s="7">
        <v>0.0</v>
      </c>
      <c r="AI9" s="7"/>
      <c r="AJ9" s="7"/>
      <c r="AK9" s="7">
        <v>0.0</v>
      </c>
      <c r="AL9" s="7"/>
      <c r="AM9" s="7"/>
      <c r="AN9" s="7">
        <v>140.0</v>
      </c>
      <c r="AO9" s="7"/>
      <c r="AP9" s="7"/>
      <c r="AQ9" s="7">
        <v>0.0</v>
      </c>
      <c r="AR9" s="7"/>
      <c r="AS9" s="7"/>
      <c r="AT9" s="7">
        <v>0.0</v>
      </c>
      <c r="AU9" s="7"/>
      <c r="AV9" s="7"/>
      <c r="AW9" s="7">
        <v>0.0</v>
      </c>
      <c r="AX9" s="7"/>
      <c r="AY9" s="7"/>
      <c r="AZ9" s="89"/>
      <c r="BA9" s="7"/>
      <c r="BB9" s="7"/>
      <c r="BC9" s="7"/>
      <c r="BD9" s="7"/>
      <c r="BE9" s="89"/>
      <c r="BF9" s="7"/>
      <c r="BG9" s="7"/>
      <c r="BH9" s="7"/>
      <c r="BI9" s="7"/>
      <c r="BJ9" s="7"/>
      <c r="BK9" s="7"/>
      <c r="BL9" s="7"/>
      <c r="BM9" s="7"/>
      <c r="BN9" s="7"/>
      <c r="BO9" s="7"/>
      <c r="BP9" s="7"/>
      <c r="BQ9" s="7"/>
      <c r="BR9" s="7"/>
      <c r="BS9" s="7"/>
      <c r="BT9" s="89"/>
      <c r="BU9" s="89"/>
      <c r="BV9" s="89"/>
      <c r="BW9" s="89"/>
      <c r="BX9" s="89"/>
      <c r="BY9" s="89"/>
      <c r="BZ9" s="7"/>
      <c r="CA9" s="7"/>
      <c r="CB9" s="7"/>
      <c r="CC9" s="7"/>
      <c r="CD9" s="7"/>
      <c r="CE9" s="7"/>
      <c r="CF9" s="89"/>
      <c r="CG9" s="89"/>
      <c r="CH9" s="7"/>
      <c r="CI9" s="7"/>
      <c r="CJ9" s="7"/>
      <c r="CK9" s="7"/>
      <c r="CL9" s="7"/>
      <c r="CM9" s="7"/>
      <c r="CN9" s="7"/>
      <c r="CO9" s="7"/>
      <c r="CP9" s="7"/>
      <c r="CQ9" s="7"/>
      <c r="CR9" s="7"/>
      <c r="CS9" s="7"/>
      <c r="CT9" s="7"/>
      <c r="CU9" s="7"/>
      <c r="CV9" s="89"/>
      <c r="CW9" s="89"/>
      <c r="CX9" s="89"/>
      <c r="CY9" s="89"/>
      <c r="CZ9" s="89"/>
      <c r="DA9" s="89"/>
      <c r="DB9" s="7"/>
      <c r="DC9" s="7"/>
      <c r="DD9" s="7"/>
      <c r="DE9" s="7"/>
      <c r="DF9" s="7"/>
      <c r="DG9" s="7"/>
      <c r="DH9" s="89"/>
      <c r="DI9" s="89"/>
      <c r="DJ9" s="89"/>
      <c r="DK9" s="89"/>
      <c r="DL9" s="7"/>
      <c r="DM9" s="7"/>
      <c r="DN9" s="7"/>
      <c r="DO9" s="7"/>
      <c r="DP9" s="7"/>
      <c r="DQ9" s="7"/>
      <c r="DR9" s="7"/>
      <c r="DS9" s="7"/>
      <c r="DT9" s="7"/>
      <c r="DU9" s="7"/>
      <c r="DV9" s="7"/>
      <c r="DW9" s="7"/>
      <c r="DX9" s="7"/>
      <c r="DY9" s="7"/>
      <c r="DZ9" s="89"/>
      <c r="EA9" s="89"/>
      <c r="EB9" s="89"/>
      <c r="EC9" s="89"/>
      <c r="ED9" s="89"/>
      <c r="EE9" s="89"/>
      <c r="EF9" s="7"/>
      <c r="EG9" s="7"/>
      <c r="EH9" s="7"/>
      <c r="EI9" s="7"/>
      <c r="EJ9" s="7"/>
      <c r="EK9" s="7"/>
      <c r="EL9" s="89"/>
      <c r="EM9" s="89"/>
      <c r="EN9" s="7"/>
      <c r="EO9" s="7"/>
      <c r="EP9" s="89"/>
      <c r="EQ9" s="89"/>
      <c r="ER9" s="7">
        <v>32.0</v>
      </c>
      <c r="ES9" s="7">
        <v>0.0</v>
      </c>
      <c r="ET9" s="7">
        <v>11.0</v>
      </c>
      <c r="EU9" s="7">
        <v>32.0</v>
      </c>
      <c r="EV9" s="7">
        <v>6.0</v>
      </c>
      <c r="EW9" s="7">
        <v>0.0</v>
      </c>
      <c r="EX9" s="7">
        <v>0.0</v>
      </c>
      <c r="EY9" s="7">
        <v>0.0</v>
      </c>
      <c r="EZ9" s="7">
        <v>0.0</v>
      </c>
      <c r="FA9" s="7">
        <v>0.0</v>
      </c>
      <c r="FB9" s="7">
        <v>60.0</v>
      </c>
      <c r="FC9" s="7">
        <v>6.0</v>
      </c>
      <c r="FD9" s="7"/>
      <c r="FE9" s="89"/>
      <c r="FF9" s="7"/>
      <c r="FG9" s="89"/>
      <c r="FH9" s="7"/>
      <c r="FI9" s="7"/>
      <c r="FJ9" s="7"/>
      <c r="FK9" s="7"/>
      <c r="FL9" s="7"/>
      <c r="FM9" s="7"/>
      <c r="FN9" s="7"/>
      <c r="FO9" s="89"/>
      <c r="FP9" s="89"/>
      <c r="FQ9" s="89"/>
      <c r="FR9" s="7"/>
      <c r="FS9" s="7"/>
      <c r="FT9" s="7"/>
      <c r="FU9" s="89"/>
      <c r="FV9" s="7"/>
      <c r="FW9" s="89"/>
      <c r="FX9" s="7"/>
      <c r="FY9" s="7"/>
      <c r="FZ9" s="7"/>
      <c r="GA9" s="7"/>
      <c r="GB9" s="7"/>
      <c r="GC9" s="7"/>
      <c r="GD9" s="89"/>
      <c r="GE9" s="89"/>
      <c r="GF9" s="89"/>
      <c r="GG9" s="89"/>
      <c r="GH9" s="7"/>
      <c r="GI9" s="7"/>
      <c r="GJ9" s="89"/>
      <c r="GK9" s="89"/>
      <c r="GL9" s="7"/>
      <c r="GM9" s="89"/>
      <c r="GN9" s="89"/>
      <c r="GO9" s="89"/>
      <c r="GP9" s="89"/>
      <c r="GQ9" s="89"/>
      <c r="GR9" s="89">
        <v>8.0</v>
      </c>
    </row>
    <row r="10">
      <c r="A10" s="5">
        <v>45777.40241898148</v>
      </c>
      <c r="B10" s="86">
        <v>45746.0</v>
      </c>
      <c r="C10" s="86">
        <v>45747.0</v>
      </c>
      <c r="D10" s="7" t="s">
        <v>24</v>
      </c>
      <c r="E10" s="87"/>
      <c r="F10" s="88">
        <v>3.0</v>
      </c>
      <c r="G10" s="7" t="s">
        <v>70</v>
      </c>
      <c r="H10" s="7" t="s">
        <v>76</v>
      </c>
      <c r="I10" s="7"/>
      <c r="J10" s="7"/>
      <c r="K10" s="7"/>
      <c r="L10" s="7"/>
      <c r="M10" s="7"/>
      <c r="N10" s="7"/>
      <c r="O10" s="7"/>
      <c r="P10" s="7"/>
      <c r="Q10" s="7"/>
      <c r="R10" s="7"/>
      <c r="S10" s="7"/>
      <c r="T10" s="7"/>
      <c r="U10" s="7"/>
      <c r="V10" s="7"/>
      <c r="W10" s="7"/>
      <c r="X10" s="7"/>
      <c r="Y10" s="7"/>
      <c r="Z10" s="7"/>
      <c r="AA10" s="7"/>
      <c r="AB10" s="7"/>
      <c r="AC10" s="7"/>
      <c r="AD10" s="7"/>
      <c r="AE10" s="7">
        <v>0.0</v>
      </c>
      <c r="AF10" s="7"/>
      <c r="AG10" s="7"/>
      <c r="AH10" s="7">
        <v>0.0</v>
      </c>
      <c r="AI10" s="7"/>
      <c r="AJ10" s="7"/>
      <c r="AK10" s="7">
        <v>0.0</v>
      </c>
      <c r="AL10" s="7"/>
      <c r="AM10" s="7"/>
      <c r="AN10" s="7">
        <v>90.0</v>
      </c>
      <c r="AO10" s="7"/>
      <c r="AP10" s="7"/>
      <c r="AQ10" s="7">
        <v>0.0</v>
      </c>
      <c r="AR10" s="7"/>
      <c r="AS10" s="7"/>
      <c r="AT10" s="7">
        <v>0.0</v>
      </c>
      <c r="AU10" s="7"/>
      <c r="AV10" s="7"/>
      <c r="AW10" s="7">
        <v>0.0</v>
      </c>
      <c r="AX10" s="7"/>
      <c r="AY10" s="7"/>
      <c r="AZ10" s="89"/>
      <c r="BA10" s="7"/>
      <c r="BB10" s="7"/>
      <c r="BC10" s="7"/>
      <c r="BD10" s="7"/>
      <c r="BE10" s="89"/>
      <c r="BF10" s="7"/>
      <c r="BG10" s="7"/>
      <c r="BH10" s="7"/>
      <c r="BI10" s="7"/>
      <c r="BJ10" s="7"/>
      <c r="BK10" s="7"/>
      <c r="BL10" s="7"/>
      <c r="BM10" s="7"/>
      <c r="BN10" s="7"/>
      <c r="BO10" s="7"/>
      <c r="BP10" s="7"/>
      <c r="BQ10" s="7"/>
      <c r="BR10" s="7"/>
      <c r="BS10" s="7"/>
      <c r="BT10" s="89"/>
      <c r="BU10" s="89"/>
      <c r="BV10" s="89"/>
      <c r="BW10" s="89"/>
      <c r="BX10" s="89"/>
      <c r="BY10" s="89"/>
      <c r="BZ10" s="7"/>
      <c r="CA10" s="7"/>
      <c r="CB10" s="7"/>
      <c r="CC10" s="7"/>
      <c r="CD10" s="7"/>
      <c r="CE10" s="7"/>
      <c r="CF10" s="89"/>
      <c r="CG10" s="89"/>
      <c r="CH10" s="7"/>
      <c r="CI10" s="7"/>
      <c r="CJ10" s="7"/>
      <c r="CK10" s="7"/>
      <c r="CL10" s="7"/>
      <c r="CM10" s="7"/>
      <c r="CN10" s="7"/>
      <c r="CO10" s="7"/>
      <c r="CP10" s="7"/>
      <c r="CQ10" s="7"/>
      <c r="CR10" s="7"/>
      <c r="CS10" s="7"/>
      <c r="CT10" s="7"/>
      <c r="CU10" s="7"/>
      <c r="CV10" s="89"/>
      <c r="CW10" s="89"/>
      <c r="CX10" s="89"/>
      <c r="CY10" s="89"/>
      <c r="CZ10" s="89"/>
      <c r="DA10" s="89"/>
      <c r="DB10" s="7"/>
      <c r="DC10" s="7"/>
      <c r="DD10" s="7"/>
      <c r="DE10" s="7"/>
      <c r="DF10" s="7"/>
      <c r="DG10" s="7"/>
      <c r="DH10" s="89"/>
      <c r="DI10" s="89"/>
      <c r="DJ10" s="89"/>
      <c r="DK10" s="89"/>
      <c r="DL10" s="7"/>
      <c r="DM10" s="7"/>
      <c r="DN10" s="7"/>
      <c r="DO10" s="7"/>
      <c r="DP10" s="7"/>
      <c r="DQ10" s="7"/>
      <c r="DR10" s="7"/>
      <c r="DS10" s="7"/>
      <c r="DT10" s="7"/>
      <c r="DU10" s="7"/>
      <c r="DV10" s="7"/>
      <c r="DW10" s="7"/>
      <c r="DX10" s="7"/>
      <c r="DY10" s="7"/>
      <c r="DZ10" s="89"/>
      <c r="EA10" s="89"/>
      <c r="EB10" s="89"/>
      <c r="EC10" s="89"/>
      <c r="ED10" s="89"/>
      <c r="EE10" s="89"/>
      <c r="EF10" s="7"/>
      <c r="EG10" s="7"/>
      <c r="EH10" s="7"/>
      <c r="EI10" s="7"/>
      <c r="EJ10" s="7"/>
      <c r="EK10" s="7"/>
      <c r="EL10" s="89"/>
      <c r="EM10" s="89"/>
      <c r="EN10" s="7"/>
      <c r="EO10" s="7"/>
      <c r="EP10" s="89"/>
      <c r="EQ10" s="89"/>
      <c r="ER10" s="7">
        <v>32.0</v>
      </c>
      <c r="ES10" s="7">
        <v>0.0</v>
      </c>
      <c r="ET10" s="7">
        <v>10.0</v>
      </c>
      <c r="EU10" s="7">
        <v>33.0</v>
      </c>
      <c r="EV10" s="7">
        <v>6.0</v>
      </c>
      <c r="EW10" s="7">
        <v>0.0</v>
      </c>
      <c r="EX10" s="7">
        <v>0.0</v>
      </c>
      <c r="EY10" s="7">
        <v>0.0</v>
      </c>
      <c r="EZ10" s="7">
        <v>0.0</v>
      </c>
      <c r="FA10" s="7">
        <v>0.0</v>
      </c>
      <c r="FB10" s="7">
        <v>60.0</v>
      </c>
      <c r="FC10" s="7">
        <v>6.0</v>
      </c>
      <c r="FD10" s="7"/>
      <c r="FE10" s="89"/>
      <c r="FF10" s="7"/>
      <c r="FG10" s="89"/>
      <c r="FH10" s="7"/>
      <c r="FI10" s="7"/>
      <c r="FJ10" s="7"/>
      <c r="FK10" s="7"/>
      <c r="FL10" s="7"/>
      <c r="FM10" s="7"/>
      <c r="FN10" s="7"/>
      <c r="FO10" s="89"/>
      <c r="FP10" s="89"/>
      <c r="FQ10" s="89"/>
      <c r="FR10" s="7"/>
      <c r="FS10" s="7"/>
      <c r="FT10" s="7"/>
      <c r="FU10" s="89"/>
      <c r="FV10" s="7"/>
      <c r="FW10" s="89"/>
      <c r="FX10" s="7"/>
      <c r="FY10" s="7"/>
      <c r="FZ10" s="7"/>
      <c r="GA10" s="7"/>
      <c r="GB10" s="7"/>
      <c r="GC10" s="7"/>
      <c r="GD10" s="89"/>
      <c r="GE10" s="89"/>
      <c r="GF10" s="89"/>
      <c r="GG10" s="89"/>
      <c r="GH10" s="7"/>
      <c r="GI10" s="7"/>
      <c r="GJ10" s="89"/>
      <c r="GK10" s="89"/>
      <c r="GL10" s="7"/>
      <c r="GM10" s="89"/>
      <c r="GN10" s="89"/>
      <c r="GO10" s="89"/>
      <c r="GP10" s="89"/>
      <c r="GQ10" s="89"/>
      <c r="GR10" s="89">
        <v>9.0</v>
      </c>
    </row>
    <row r="11">
      <c r="A11" s="5">
        <v>45777.40253472222</v>
      </c>
      <c r="B11" s="86">
        <v>45746.0</v>
      </c>
      <c r="C11" s="86">
        <v>45747.0</v>
      </c>
      <c r="D11" s="7" t="s">
        <v>34</v>
      </c>
      <c r="E11" s="87"/>
      <c r="F11" s="88">
        <v>3.0</v>
      </c>
      <c r="G11" s="7" t="s">
        <v>70</v>
      </c>
      <c r="H11" s="7" t="s">
        <v>76</v>
      </c>
      <c r="I11" s="7"/>
      <c r="J11" s="7"/>
      <c r="K11" s="7"/>
      <c r="L11" s="7"/>
      <c r="M11" s="7"/>
      <c r="N11" s="7"/>
      <c r="O11" s="7"/>
      <c r="P11" s="7"/>
      <c r="Q11" s="7"/>
      <c r="R11" s="7"/>
      <c r="S11" s="7"/>
      <c r="T11" s="7"/>
      <c r="U11" s="7"/>
      <c r="V11" s="7"/>
      <c r="W11" s="7"/>
      <c r="X11" s="7"/>
      <c r="Y11" s="7"/>
      <c r="Z11" s="7"/>
      <c r="AA11" s="7"/>
      <c r="AB11" s="7"/>
      <c r="AC11" s="7"/>
      <c r="AD11" s="7"/>
      <c r="AE11" s="7">
        <v>0.0</v>
      </c>
      <c r="AF11" s="7"/>
      <c r="AG11" s="7"/>
      <c r="AH11" s="7">
        <v>0.0</v>
      </c>
      <c r="AI11" s="7"/>
      <c r="AJ11" s="7"/>
      <c r="AK11" s="7">
        <v>0.0</v>
      </c>
      <c r="AL11" s="7"/>
      <c r="AM11" s="7"/>
      <c r="AN11" s="7">
        <v>250.0</v>
      </c>
      <c r="AO11" s="7"/>
      <c r="AP11" s="7"/>
      <c r="AQ11" s="7">
        <v>0.0</v>
      </c>
      <c r="AR11" s="7"/>
      <c r="AS11" s="7"/>
      <c r="AT11" s="7">
        <v>0.0</v>
      </c>
      <c r="AU11" s="7"/>
      <c r="AV11" s="7"/>
      <c r="AW11" s="7">
        <v>0.0</v>
      </c>
      <c r="AX11" s="7"/>
      <c r="AY11" s="7"/>
      <c r="AZ11" s="89"/>
      <c r="BA11" s="7"/>
      <c r="BB11" s="7"/>
      <c r="BC11" s="7"/>
      <c r="BD11" s="7"/>
      <c r="BE11" s="89"/>
      <c r="BF11" s="7"/>
      <c r="BG11" s="7"/>
      <c r="BH11" s="7"/>
      <c r="BI11" s="7"/>
      <c r="BJ11" s="7"/>
      <c r="BK11" s="7"/>
      <c r="BL11" s="7"/>
      <c r="BM11" s="7"/>
      <c r="BN11" s="7"/>
      <c r="BO11" s="7"/>
      <c r="BP11" s="7"/>
      <c r="BQ11" s="7"/>
      <c r="BR11" s="7"/>
      <c r="BS11" s="7"/>
      <c r="BT11" s="89"/>
      <c r="BU11" s="89"/>
      <c r="BV11" s="89"/>
      <c r="BW11" s="89"/>
      <c r="BX11" s="89"/>
      <c r="BY11" s="89"/>
      <c r="BZ11" s="7"/>
      <c r="CA11" s="7"/>
      <c r="CB11" s="7"/>
      <c r="CC11" s="7"/>
      <c r="CD11" s="7"/>
      <c r="CE11" s="7"/>
      <c r="CF11" s="89"/>
      <c r="CG11" s="89"/>
      <c r="CH11" s="7"/>
      <c r="CI11" s="7"/>
      <c r="CJ11" s="7"/>
      <c r="CK11" s="7"/>
      <c r="CL11" s="7"/>
      <c r="CM11" s="7"/>
      <c r="CN11" s="7"/>
      <c r="CO11" s="7"/>
      <c r="CP11" s="7"/>
      <c r="CQ11" s="7"/>
      <c r="CR11" s="7"/>
      <c r="CS11" s="7"/>
      <c r="CT11" s="7"/>
      <c r="CU11" s="7"/>
      <c r="CV11" s="89"/>
      <c r="CW11" s="89"/>
      <c r="CX11" s="89"/>
      <c r="CY11" s="89"/>
      <c r="CZ11" s="89"/>
      <c r="DA11" s="89"/>
      <c r="DB11" s="7"/>
      <c r="DC11" s="7"/>
      <c r="DD11" s="7"/>
      <c r="DE11" s="7"/>
      <c r="DF11" s="7"/>
      <c r="DG11" s="7"/>
      <c r="DH11" s="89"/>
      <c r="DI11" s="89"/>
      <c r="DJ11" s="89"/>
      <c r="DK11" s="89"/>
      <c r="DL11" s="7"/>
      <c r="DM11" s="7"/>
      <c r="DN11" s="7"/>
      <c r="DO11" s="7"/>
      <c r="DP11" s="7"/>
      <c r="DQ11" s="7"/>
      <c r="DR11" s="7"/>
      <c r="DS11" s="7"/>
      <c r="DT11" s="7"/>
      <c r="DU11" s="7"/>
      <c r="DV11" s="7"/>
      <c r="DW11" s="7"/>
      <c r="DX11" s="7"/>
      <c r="DY11" s="7"/>
      <c r="DZ11" s="89"/>
      <c r="EA11" s="89"/>
      <c r="EB11" s="89"/>
      <c r="EC11" s="89"/>
      <c r="ED11" s="89"/>
      <c r="EE11" s="89"/>
      <c r="EF11" s="7"/>
      <c r="EG11" s="7"/>
      <c r="EH11" s="7"/>
      <c r="EI11" s="7"/>
      <c r="EJ11" s="7"/>
      <c r="EK11" s="7"/>
      <c r="EL11" s="89"/>
      <c r="EM11" s="89"/>
      <c r="EN11" s="7"/>
      <c r="EO11" s="7"/>
      <c r="EP11" s="89"/>
      <c r="EQ11" s="89"/>
      <c r="ER11" s="7">
        <v>96.0</v>
      </c>
      <c r="ES11" s="7">
        <v>0.0</v>
      </c>
      <c r="ET11" s="7">
        <v>30.0</v>
      </c>
      <c r="EU11" s="7">
        <v>99.0</v>
      </c>
      <c r="EV11" s="7">
        <v>18.0</v>
      </c>
      <c r="EW11" s="7">
        <v>0.0</v>
      </c>
      <c r="EX11" s="7">
        <v>0.0</v>
      </c>
      <c r="EY11" s="7">
        <v>0.0</v>
      </c>
      <c r="EZ11" s="7">
        <v>0.0</v>
      </c>
      <c r="FA11" s="7">
        <v>4.0</v>
      </c>
      <c r="FB11" s="7">
        <v>180.0</v>
      </c>
      <c r="FC11" s="7">
        <v>15.0</v>
      </c>
      <c r="FD11" s="7">
        <v>10.0</v>
      </c>
      <c r="FE11" s="89"/>
      <c r="FF11" s="7"/>
      <c r="FG11" s="89"/>
      <c r="FH11" s="7"/>
      <c r="FI11" s="7"/>
      <c r="FJ11" s="7"/>
      <c r="FK11" s="7"/>
      <c r="FL11" s="7"/>
      <c r="FM11" s="7"/>
      <c r="FN11" s="7"/>
      <c r="FO11" s="89"/>
      <c r="FP11" s="89"/>
      <c r="FQ11" s="89"/>
      <c r="FR11" s="7"/>
      <c r="FS11" s="7"/>
      <c r="FT11" s="7"/>
      <c r="FU11" s="89"/>
      <c r="FV11" s="7"/>
      <c r="FW11" s="89"/>
      <c r="FX11" s="7"/>
      <c r="FY11" s="7"/>
      <c r="FZ11" s="7"/>
      <c r="GA11" s="7"/>
      <c r="GB11" s="7"/>
      <c r="GC11" s="7"/>
      <c r="GD11" s="89"/>
      <c r="GE11" s="89"/>
      <c r="GF11" s="89"/>
      <c r="GG11" s="89"/>
      <c r="GH11" s="7"/>
      <c r="GI11" s="7"/>
      <c r="GJ11" s="89"/>
      <c r="GK11" s="89"/>
      <c r="GL11" s="7"/>
      <c r="GM11" s="89"/>
      <c r="GN11" s="89"/>
      <c r="GO11" s="89"/>
      <c r="GP11" s="89"/>
      <c r="GQ11" s="89"/>
      <c r="GR11" s="89">
        <v>10.0</v>
      </c>
    </row>
    <row r="12">
      <c r="A12" s="5">
        <v>45777.402650462966</v>
      </c>
      <c r="B12" s="86">
        <v>45717.0</v>
      </c>
      <c r="C12" s="86">
        <v>45747.0</v>
      </c>
      <c r="D12" s="7" t="s">
        <v>37</v>
      </c>
      <c r="E12" s="87"/>
      <c r="F12" s="88">
        <v>3.0</v>
      </c>
      <c r="G12" s="7" t="s">
        <v>70</v>
      </c>
      <c r="H12" s="7" t="s">
        <v>76</v>
      </c>
      <c r="I12" s="7"/>
      <c r="J12" s="7"/>
      <c r="K12" s="7"/>
      <c r="L12" s="7"/>
      <c r="M12" s="7"/>
      <c r="N12" s="7"/>
      <c r="O12" s="7"/>
      <c r="P12" s="7"/>
      <c r="Q12" s="7"/>
      <c r="R12" s="7"/>
      <c r="S12" s="7"/>
      <c r="T12" s="7"/>
      <c r="U12" s="7"/>
      <c r="V12" s="7"/>
      <c r="W12" s="7"/>
      <c r="X12" s="7"/>
      <c r="Y12" s="7"/>
      <c r="Z12" s="7"/>
      <c r="AA12" s="7"/>
      <c r="AB12" s="7"/>
      <c r="AC12" s="7"/>
      <c r="AD12" s="7"/>
      <c r="AE12" s="7">
        <v>0.0</v>
      </c>
      <c r="AF12" s="7"/>
      <c r="AG12" s="7"/>
      <c r="AH12" s="7">
        <v>0.0</v>
      </c>
      <c r="AI12" s="7"/>
      <c r="AJ12" s="7"/>
      <c r="AK12" s="7">
        <v>0.0</v>
      </c>
      <c r="AL12" s="7"/>
      <c r="AM12" s="7"/>
      <c r="AN12" s="7">
        <v>0.0</v>
      </c>
      <c r="AO12" s="7"/>
      <c r="AP12" s="7"/>
      <c r="AQ12" s="7">
        <v>0.0</v>
      </c>
      <c r="AR12" s="7"/>
      <c r="AS12" s="7"/>
      <c r="AT12" s="7">
        <v>0.0</v>
      </c>
      <c r="AU12" s="7"/>
      <c r="AV12" s="7"/>
      <c r="AW12" s="7">
        <v>0.0</v>
      </c>
      <c r="AX12" s="7"/>
      <c r="AY12" s="7"/>
      <c r="AZ12" s="89"/>
      <c r="BA12" s="7"/>
      <c r="BB12" s="7"/>
      <c r="BC12" s="7"/>
      <c r="BD12" s="7"/>
      <c r="BE12" s="89"/>
      <c r="BF12" s="7"/>
      <c r="BG12" s="7"/>
      <c r="BH12" s="7"/>
      <c r="BI12" s="7"/>
      <c r="BJ12" s="7"/>
      <c r="BK12" s="7"/>
      <c r="BL12" s="7"/>
      <c r="BM12" s="7"/>
      <c r="BN12" s="7"/>
      <c r="BO12" s="7"/>
      <c r="BP12" s="7"/>
      <c r="BQ12" s="7"/>
      <c r="BR12" s="7"/>
      <c r="BS12" s="7"/>
      <c r="BT12" s="89"/>
      <c r="BU12" s="89"/>
      <c r="BV12" s="89"/>
      <c r="BW12" s="89"/>
      <c r="BX12" s="89"/>
      <c r="BY12" s="89"/>
      <c r="BZ12" s="7"/>
      <c r="CA12" s="7"/>
      <c r="CB12" s="7"/>
      <c r="CC12" s="7"/>
      <c r="CD12" s="7"/>
      <c r="CE12" s="7"/>
      <c r="CF12" s="89"/>
      <c r="CG12" s="89"/>
      <c r="CH12" s="7"/>
      <c r="CI12" s="7"/>
      <c r="CJ12" s="7"/>
      <c r="CK12" s="7"/>
      <c r="CL12" s="7"/>
      <c r="CM12" s="7"/>
      <c r="CN12" s="7"/>
      <c r="CO12" s="7"/>
      <c r="CP12" s="7"/>
      <c r="CQ12" s="7"/>
      <c r="CR12" s="7"/>
      <c r="CS12" s="7"/>
      <c r="CT12" s="7"/>
      <c r="CU12" s="7"/>
      <c r="CV12" s="89"/>
      <c r="CW12" s="89"/>
      <c r="CX12" s="89"/>
      <c r="CY12" s="89"/>
      <c r="CZ12" s="89"/>
      <c r="DA12" s="89"/>
      <c r="DB12" s="7"/>
      <c r="DC12" s="7"/>
      <c r="DD12" s="7"/>
      <c r="DE12" s="7"/>
      <c r="DF12" s="7"/>
      <c r="DG12" s="7"/>
      <c r="DH12" s="89"/>
      <c r="DI12" s="89"/>
      <c r="DJ12" s="89"/>
      <c r="DK12" s="89"/>
      <c r="DL12" s="7"/>
      <c r="DM12" s="7"/>
      <c r="DN12" s="7"/>
      <c r="DO12" s="7"/>
      <c r="DP12" s="7"/>
      <c r="DQ12" s="7"/>
      <c r="DR12" s="7"/>
      <c r="DS12" s="7"/>
      <c r="DT12" s="7"/>
      <c r="DU12" s="7"/>
      <c r="DV12" s="7"/>
      <c r="DW12" s="7"/>
      <c r="DX12" s="7"/>
      <c r="DY12" s="7"/>
      <c r="DZ12" s="89"/>
      <c r="EA12" s="89"/>
      <c r="EB12" s="89"/>
      <c r="EC12" s="89"/>
      <c r="ED12" s="89"/>
      <c r="EE12" s="89"/>
      <c r="EF12" s="7"/>
      <c r="EG12" s="7"/>
      <c r="EH12" s="7"/>
      <c r="EI12" s="7"/>
      <c r="EJ12" s="7"/>
      <c r="EK12" s="7"/>
      <c r="EL12" s="89"/>
      <c r="EM12" s="89"/>
      <c r="EN12" s="7"/>
      <c r="EO12" s="7"/>
      <c r="EP12" s="89"/>
      <c r="EQ12" s="89"/>
      <c r="ER12" s="7">
        <v>32.0</v>
      </c>
      <c r="ES12" s="7">
        <v>0.0</v>
      </c>
      <c r="ET12" s="7">
        <v>10.0</v>
      </c>
      <c r="EU12" s="7">
        <v>26.0</v>
      </c>
      <c r="EV12" s="7">
        <v>8.0</v>
      </c>
      <c r="EW12" s="7">
        <v>0.0</v>
      </c>
      <c r="EX12" s="7">
        <v>0.0</v>
      </c>
      <c r="EY12" s="7">
        <v>0.0</v>
      </c>
      <c r="EZ12" s="7">
        <v>0.0</v>
      </c>
      <c r="FA12" s="7">
        <v>0.0</v>
      </c>
      <c r="FB12" s="7">
        <v>60.0</v>
      </c>
      <c r="FC12" s="7">
        <v>21.0</v>
      </c>
      <c r="FD12" s="7"/>
      <c r="FE12" s="89"/>
      <c r="FF12" s="7"/>
      <c r="FG12" s="89"/>
      <c r="FH12" s="7"/>
      <c r="FI12" s="7"/>
      <c r="FJ12" s="7"/>
      <c r="FK12" s="7"/>
      <c r="FL12" s="7"/>
      <c r="FM12" s="7"/>
      <c r="FN12" s="7"/>
      <c r="FO12" s="89"/>
      <c r="FP12" s="89"/>
      <c r="FQ12" s="89"/>
      <c r="FR12" s="7"/>
      <c r="FS12" s="7"/>
      <c r="FT12" s="7"/>
      <c r="FU12" s="89"/>
      <c r="FV12" s="7"/>
      <c r="FW12" s="89"/>
      <c r="FX12" s="7"/>
      <c r="FY12" s="7"/>
      <c r="FZ12" s="7"/>
      <c r="GA12" s="7"/>
      <c r="GB12" s="7"/>
      <c r="GC12" s="7"/>
      <c r="GD12" s="89"/>
      <c r="GE12" s="89"/>
      <c r="GF12" s="89"/>
      <c r="GG12" s="89"/>
      <c r="GH12" s="7"/>
      <c r="GI12" s="7"/>
      <c r="GJ12" s="89"/>
      <c r="GK12" s="89"/>
      <c r="GL12" s="7"/>
      <c r="GM12" s="89"/>
      <c r="GN12" s="89"/>
      <c r="GO12" s="89"/>
      <c r="GP12" s="89"/>
      <c r="GQ12" s="89"/>
      <c r="GR12" s="89">
        <v>11.0</v>
      </c>
    </row>
    <row r="13">
      <c r="A13" s="5">
        <v>45777.402766203704</v>
      </c>
      <c r="B13" s="86">
        <v>45746.0</v>
      </c>
      <c r="C13" s="86">
        <v>45747.0</v>
      </c>
      <c r="D13" s="7" t="s">
        <v>36</v>
      </c>
      <c r="E13" s="87"/>
      <c r="F13" s="88">
        <v>3.0</v>
      </c>
      <c r="G13" s="7" t="s">
        <v>70</v>
      </c>
      <c r="H13" s="7" t="s">
        <v>76</v>
      </c>
      <c r="I13" s="7"/>
      <c r="J13" s="7"/>
      <c r="K13" s="7"/>
      <c r="L13" s="7"/>
      <c r="M13" s="7"/>
      <c r="N13" s="7"/>
      <c r="O13" s="7"/>
      <c r="P13" s="7"/>
      <c r="Q13" s="7"/>
      <c r="R13" s="7"/>
      <c r="S13" s="7"/>
      <c r="T13" s="7"/>
      <c r="U13" s="7"/>
      <c r="V13" s="7"/>
      <c r="W13" s="7"/>
      <c r="X13" s="7"/>
      <c r="Y13" s="7"/>
      <c r="Z13" s="7"/>
      <c r="AA13" s="7"/>
      <c r="AB13" s="7"/>
      <c r="AC13" s="7"/>
      <c r="AD13" s="7"/>
      <c r="AE13" s="7">
        <v>0.0</v>
      </c>
      <c r="AF13" s="7"/>
      <c r="AG13" s="7"/>
      <c r="AH13" s="7">
        <v>0.0</v>
      </c>
      <c r="AI13" s="7"/>
      <c r="AJ13" s="7"/>
      <c r="AK13" s="7">
        <v>0.0</v>
      </c>
      <c r="AL13" s="7"/>
      <c r="AM13" s="7"/>
      <c r="AN13" s="7">
        <v>250.0</v>
      </c>
      <c r="AO13" s="7"/>
      <c r="AP13" s="7"/>
      <c r="AQ13" s="7">
        <v>0.0</v>
      </c>
      <c r="AR13" s="7"/>
      <c r="AS13" s="7"/>
      <c r="AT13" s="7">
        <v>0.0</v>
      </c>
      <c r="AU13" s="7"/>
      <c r="AV13" s="7"/>
      <c r="AW13" s="7">
        <v>0.0</v>
      </c>
      <c r="AX13" s="7"/>
      <c r="AY13" s="7"/>
      <c r="AZ13" s="89"/>
      <c r="BA13" s="7"/>
      <c r="BB13" s="7"/>
      <c r="BC13" s="7"/>
      <c r="BD13" s="7"/>
      <c r="BE13" s="89"/>
      <c r="BF13" s="7"/>
      <c r="BG13" s="7"/>
      <c r="BH13" s="7"/>
      <c r="BI13" s="7"/>
      <c r="BJ13" s="7"/>
      <c r="BK13" s="7"/>
      <c r="BL13" s="7"/>
      <c r="BM13" s="7"/>
      <c r="BN13" s="7"/>
      <c r="BO13" s="7"/>
      <c r="BP13" s="7"/>
      <c r="BQ13" s="7"/>
      <c r="BR13" s="7"/>
      <c r="BS13" s="7"/>
      <c r="BT13" s="89"/>
      <c r="BU13" s="89"/>
      <c r="BV13" s="89"/>
      <c r="BW13" s="89"/>
      <c r="BX13" s="89"/>
      <c r="BY13" s="89"/>
      <c r="BZ13" s="7"/>
      <c r="CA13" s="7"/>
      <c r="CB13" s="7"/>
      <c r="CC13" s="7"/>
      <c r="CD13" s="7"/>
      <c r="CE13" s="7"/>
      <c r="CF13" s="89"/>
      <c r="CG13" s="89"/>
      <c r="CH13" s="7"/>
      <c r="CI13" s="7"/>
      <c r="CJ13" s="7"/>
      <c r="CK13" s="7"/>
      <c r="CL13" s="7"/>
      <c r="CM13" s="7"/>
      <c r="CN13" s="7"/>
      <c r="CO13" s="7"/>
      <c r="CP13" s="7"/>
      <c r="CQ13" s="7"/>
      <c r="CR13" s="7"/>
      <c r="CS13" s="7"/>
      <c r="CT13" s="7"/>
      <c r="CU13" s="7"/>
      <c r="CV13" s="89"/>
      <c r="CW13" s="89"/>
      <c r="CX13" s="89"/>
      <c r="CY13" s="89"/>
      <c r="CZ13" s="89"/>
      <c r="DA13" s="89"/>
      <c r="DB13" s="7"/>
      <c r="DC13" s="7"/>
      <c r="DD13" s="7"/>
      <c r="DE13" s="7"/>
      <c r="DF13" s="7"/>
      <c r="DG13" s="7"/>
      <c r="DH13" s="89"/>
      <c r="DI13" s="89"/>
      <c r="DJ13" s="89"/>
      <c r="DK13" s="89"/>
      <c r="DL13" s="7"/>
      <c r="DM13" s="7"/>
      <c r="DN13" s="7"/>
      <c r="DO13" s="7"/>
      <c r="DP13" s="7"/>
      <c r="DQ13" s="7"/>
      <c r="DR13" s="7"/>
      <c r="DS13" s="7"/>
      <c r="DT13" s="7"/>
      <c r="DU13" s="7"/>
      <c r="DV13" s="7"/>
      <c r="DW13" s="7"/>
      <c r="DX13" s="7"/>
      <c r="DY13" s="7"/>
      <c r="DZ13" s="89"/>
      <c r="EA13" s="89"/>
      <c r="EB13" s="89"/>
      <c r="EC13" s="89"/>
      <c r="ED13" s="89"/>
      <c r="EE13" s="89"/>
      <c r="EF13" s="7"/>
      <c r="EG13" s="7"/>
      <c r="EH13" s="7"/>
      <c r="EI13" s="7"/>
      <c r="EJ13" s="7"/>
      <c r="EK13" s="7"/>
      <c r="EL13" s="89"/>
      <c r="EM13" s="89"/>
      <c r="EN13" s="7"/>
      <c r="EO13" s="7"/>
      <c r="EP13" s="89"/>
      <c r="EQ13" s="89"/>
      <c r="ER13" s="7">
        <v>32.0</v>
      </c>
      <c r="ES13" s="7">
        <v>0.0</v>
      </c>
      <c r="ET13" s="7">
        <v>10.0</v>
      </c>
      <c r="EU13" s="7">
        <v>31.0</v>
      </c>
      <c r="EV13" s="7">
        <v>8.0</v>
      </c>
      <c r="EW13" s="7">
        <v>0.0</v>
      </c>
      <c r="EX13" s="7">
        <v>0.0</v>
      </c>
      <c r="EY13" s="7">
        <v>0.0</v>
      </c>
      <c r="EZ13" s="7">
        <v>0.0</v>
      </c>
      <c r="FA13" s="7">
        <v>0.0</v>
      </c>
      <c r="FB13" s="7">
        <v>60.0</v>
      </c>
      <c r="FC13" s="7">
        <v>6.0</v>
      </c>
      <c r="FD13" s="7"/>
      <c r="FE13" s="89"/>
      <c r="FF13" s="7"/>
      <c r="FG13" s="89"/>
      <c r="FH13" s="7"/>
      <c r="FI13" s="7"/>
      <c r="FJ13" s="7"/>
      <c r="FK13" s="7"/>
      <c r="FL13" s="7"/>
      <c r="FM13" s="7"/>
      <c r="FN13" s="7"/>
      <c r="FO13" s="89"/>
      <c r="FP13" s="89"/>
      <c r="FQ13" s="89"/>
      <c r="FR13" s="7"/>
      <c r="FS13" s="7"/>
      <c r="FT13" s="7"/>
      <c r="FU13" s="89"/>
      <c r="FV13" s="7"/>
      <c r="FW13" s="89"/>
      <c r="FX13" s="7"/>
      <c r="FY13" s="7"/>
      <c r="FZ13" s="7"/>
      <c r="GA13" s="7"/>
      <c r="GB13" s="7"/>
      <c r="GC13" s="7"/>
      <c r="GD13" s="89"/>
      <c r="GE13" s="89"/>
      <c r="GF13" s="89"/>
      <c r="GG13" s="89"/>
      <c r="GH13" s="7"/>
      <c r="GI13" s="7"/>
      <c r="GJ13" s="89"/>
      <c r="GK13" s="89"/>
      <c r="GL13" s="7"/>
      <c r="GM13" s="89"/>
      <c r="GN13" s="89"/>
      <c r="GO13" s="89"/>
      <c r="GP13" s="89"/>
      <c r="GQ13" s="89"/>
      <c r="GR13" s="89">
        <v>12.0</v>
      </c>
    </row>
    <row r="14">
      <c r="A14" s="5">
        <v>45777.40288194444</v>
      </c>
      <c r="B14" s="86">
        <v>45746.0</v>
      </c>
      <c r="C14" s="86">
        <v>45747.0</v>
      </c>
      <c r="D14" s="7" t="s">
        <v>38</v>
      </c>
      <c r="E14" s="87"/>
      <c r="F14" s="88">
        <v>2.0</v>
      </c>
      <c r="G14" s="7" t="s">
        <v>70</v>
      </c>
      <c r="H14" s="7" t="s">
        <v>76</v>
      </c>
      <c r="I14" s="7"/>
      <c r="J14" s="7"/>
      <c r="K14" s="7"/>
      <c r="L14" s="7"/>
      <c r="M14" s="7"/>
      <c r="N14" s="7"/>
      <c r="O14" s="7"/>
      <c r="P14" s="7"/>
      <c r="Q14" s="7"/>
      <c r="R14" s="7"/>
      <c r="S14" s="7"/>
      <c r="T14" s="7"/>
      <c r="U14" s="7"/>
      <c r="V14" s="7"/>
      <c r="W14" s="7"/>
      <c r="X14" s="7"/>
      <c r="Y14" s="7"/>
      <c r="Z14" s="7"/>
      <c r="AA14" s="7"/>
      <c r="AB14" s="7"/>
      <c r="AC14" s="7"/>
      <c r="AD14" s="7"/>
      <c r="AE14" s="7">
        <v>0.0</v>
      </c>
      <c r="AF14" s="7"/>
      <c r="AG14" s="7"/>
      <c r="AH14" s="7">
        <v>0.0</v>
      </c>
      <c r="AI14" s="7"/>
      <c r="AJ14" s="7"/>
      <c r="AK14" s="7">
        <v>0.0</v>
      </c>
      <c r="AL14" s="7"/>
      <c r="AM14" s="7"/>
      <c r="AN14" s="7">
        <v>300.0</v>
      </c>
      <c r="AO14" s="7"/>
      <c r="AP14" s="7"/>
      <c r="AQ14" s="7">
        <v>0.0</v>
      </c>
      <c r="AR14" s="7"/>
      <c r="AS14" s="7"/>
      <c r="AT14" s="7">
        <v>0.0</v>
      </c>
      <c r="AU14" s="7"/>
      <c r="AV14" s="7"/>
      <c r="AW14" s="7">
        <v>0.0</v>
      </c>
      <c r="AX14" s="7"/>
      <c r="AY14" s="7"/>
      <c r="AZ14" s="89"/>
      <c r="BA14" s="7"/>
      <c r="BB14" s="7"/>
      <c r="BC14" s="7"/>
      <c r="BD14" s="7"/>
      <c r="BE14" s="89"/>
      <c r="BF14" s="7"/>
      <c r="BG14" s="7"/>
      <c r="BH14" s="7"/>
      <c r="BI14" s="7"/>
      <c r="BJ14" s="7"/>
      <c r="BK14" s="7"/>
      <c r="BL14" s="7"/>
      <c r="BM14" s="7"/>
      <c r="BN14" s="7"/>
      <c r="BO14" s="7"/>
      <c r="BP14" s="7"/>
      <c r="BQ14" s="7"/>
      <c r="BR14" s="7"/>
      <c r="BS14" s="7"/>
      <c r="BT14" s="89"/>
      <c r="BU14" s="89"/>
      <c r="BV14" s="89"/>
      <c r="BW14" s="89"/>
      <c r="BX14" s="89"/>
      <c r="BY14" s="89"/>
      <c r="BZ14" s="7"/>
      <c r="CA14" s="7"/>
      <c r="CB14" s="7"/>
      <c r="CC14" s="7"/>
      <c r="CD14" s="7"/>
      <c r="CE14" s="7"/>
      <c r="CF14" s="89"/>
      <c r="CG14" s="89"/>
      <c r="CH14" s="7"/>
      <c r="CI14" s="7"/>
      <c r="CJ14" s="7"/>
      <c r="CK14" s="7"/>
      <c r="CL14" s="7"/>
      <c r="CM14" s="7"/>
      <c r="CN14" s="7"/>
      <c r="CO14" s="7"/>
      <c r="CP14" s="7"/>
      <c r="CQ14" s="7"/>
      <c r="CR14" s="7"/>
      <c r="CS14" s="7"/>
      <c r="CT14" s="7"/>
      <c r="CU14" s="7"/>
      <c r="CV14" s="89"/>
      <c r="CW14" s="89"/>
      <c r="CX14" s="89"/>
      <c r="CY14" s="89"/>
      <c r="CZ14" s="89"/>
      <c r="DA14" s="89"/>
      <c r="DB14" s="7"/>
      <c r="DC14" s="7"/>
      <c r="DD14" s="7"/>
      <c r="DE14" s="7"/>
      <c r="DF14" s="7"/>
      <c r="DG14" s="7"/>
      <c r="DH14" s="89"/>
      <c r="DI14" s="89"/>
      <c r="DJ14" s="89"/>
      <c r="DK14" s="89"/>
      <c r="DL14" s="7"/>
      <c r="DM14" s="7"/>
      <c r="DN14" s="7"/>
      <c r="DO14" s="7"/>
      <c r="DP14" s="7"/>
      <c r="DQ14" s="7"/>
      <c r="DR14" s="7"/>
      <c r="DS14" s="7"/>
      <c r="DT14" s="7"/>
      <c r="DU14" s="7"/>
      <c r="DV14" s="7"/>
      <c r="DW14" s="7"/>
      <c r="DX14" s="7"/>
      <c r="DY14" s="7"/>
      <c r="DZ14" s="89"/>
      <c r="EA14" s="89"/>
      <c r="EB14" s="89"/>
      <c r="EC14" s="89"/>
      <c r="ED14" s="89"/>
      <c r="EE14" s="89"/>
      <c r="EF14" s="7"/>
      <c r="EG14" s="7"/>
      <c r="EH14" s="7"/>
      <c r="EI14" s="7"/>
      <c r="EJ14" s="7"/>
      <c r="EK14" s="7"/>
      <c r="EL14" s="89"/>
      <c r="EM14" s="89"/>
      <c r="EN14" s="7"/>
      <c r="EO14" s="7"/>
      <c r="EP14" s="89"/>
      <c r="EQ14" s="89"/>
      <c r="ES14" s="7">
        <v>0.0</v>
      </c>
      <c r="ET14" s="7">
        <v>0.0</v>
      </c>
      <c r="EU14" s="7">
        <v>0.0</v>
      </c>
      <c r="EW14" s="7">
        <v>0.0</v>
      </c>
      <c r="EX14" s="7">
        <v>0.0</v>
      </c>
      <c r="EY14" s="7">
        <v>0.0</v>
      </c>
      <c r="EZ14" s="7">
        <v>0.0</v>
      </c>
      <c r="FA14" s="7">
        <v>0.0</v>
      </c>
      <c r="FC14" s="7"/>
      <c r="FD14" s="7"/>
      <c r="FE14" s="89"/>
      <c r="FF14" s="7"/>
      <c r="FG14" s="89"/>
      <c r="FH14" s="7"/>
      <c r="FI14" s="7"/>
      <c r="FJ14" s="7"/>
      <c r="FK14" s="7"/>
      <c r="FL14" s="7"/>
      <c r="FM14" s="7"/>
      <c r="FN14" s="7"/>
      <c r="FO14" s="89"/>
      <c r="FP14" s="89"/>
      <c r="FQ14" s="89"/>
      <c r="FR14" s="7"/>
      <c r="FS14" s="7"/>
      <c r="FT14" s="7"/>
      <c r="FU14" s="89"/>
      <c r="FV14" s="7"/>
      <c r="FW14" s="89"/>
      <c r="FX14" s="7"/>
      <c r="FY14" s="7"/>
      <c r="FZ14" s="7"/>
      <c r="GA14" s="7"/>
      <c r="GB14" s="7"/>
      <c r="GC14" s="7"/>
      <c r="GD14" s="89"/>
      <c r="GE14" s="89"/>
      <c r="GF14" s="89"/>
      <c r="GG14" s="89"/>
      <c r="GH14" s="7"/>
      <c r="GI14" s="7"/>
      <c r="GJ14" s="89"/>
      <c r="GK14" s="89"/>
      <c r="GL14" s="7"/>
      <c r="GM14" s="89"/>
      <c r="GN14" s="89"/>
      <c r="GO14" s="89"/>
      <c r="GP14" s="89"/>
      <c r="GQ14" s="89"/>
      <c r="GR14" s="89">
        <v>13.0</v>
      </c>
    </row>
    <row r="15">
      <c r="A15" s="5">
        <v>45777.40299768518</v>
      </c>
      <c r="B15" s="86">
        <v>45746.0</v>
      </c>
      <c r="C15" s="86">
        <v>45747.0</v>
      </c>
      <c r="D15" s="7" t="s">
        <v>201</v>
      </c>
      <c r="E15" s="87"/>
      <c r="F15" s="88">
        <v>2.0</v>
      </c>
      <c r="G15" s="7" t="s">
        <v>70</v>
      </c>
      <c r="H15" s="7" t="s">
        <v>76</v>
      </c>
      <c r="I15" s="7"/>
      <c r="J15" s="7"/>
      <c r="K15" s="7"/>
      <c r="L15" s="7"/>
      <c r="M15" s="7"/>
      <c r="N15" s="7"/>
      <c r="O15" s="7"/>
      <c r="P15" s="7"/>
      <c r="Q15" s="7"/>
      <c r="R15" s="7"/>
      <c r="S15" s="7"/>
      <c r="T15" s="7"/>
      <c r="U15" s="7"/>
      <c r="V15" s="7"/>
      <c r="W15" s="7"/>
      <c r="X15" s="7"/>
      <c r="Y15" s="7"/>
      <c r="Z15" s="7"/>
      <c r="AA15" s="7"/>
      <c r="AB15" s="7"/>
      <c r="AC15" s="7"/>
      <c r="AD15" s="7"/>
      <c r="AE15" s="7">
        <v>0.0</v>
      </c>
      <c r="AF15" s="7"/>
      <c r="AG15" s="7"/>
      <c r="AH15" s="7">
        <v>0.0</v>
      </c>
      <c r="AI15" s="7"/>
      <c r="AJ15" s="7"/>
      <c r="AK15" s="7">
        <v>0.0</v>
      </c>
      <c r="AL15" s="7"/>
      <c r="AM15" s="7"/>
      <c r="AN15" s="7">
        <v>0.0</v>
      </c>
      <c r="AO15" s="7"/>
      <c r="AP15" s="7"/>
      <c r="AQ15" s="7">
        <v>0.0</v>
      </c>
      <c r="AR15" s="7"/>
      <c r="AS15" s="7"/>
      <c r="AT15" s="7">
        <v>0.0</v>
      </c>
      <c r="AU15" s="7"/>
      <c r="AV15" s="7"/>
      <c r="AW15" s="7">
        <v>0.0</v>
      </c>
      <c r="AX15" s="7"/>
      <c r="AY15" s="7"/>
      <c r="AZ15" s="89"/>
      <c r="BA15" s="7"/>
      <c r="BB15" s="7"/>
      <c r="BC15" s="7"/>
      <c r="BD15" s="7"/>
      <c r="BE15" s="89"/>
      <c r="BF15" s="7"/>
      <c r="BG15" s="7"/>
      <c r="BH15" s="7"/>
      <c r="BI15" s="7"/>
      <c r="BJ15" s="7"/>
      <c r="BK15" s="7"/>
      <c r="BL15" s="7"/>
      <c r="BM15" s="7"/>
      <c r="BN15" s="7"/>
      <c r="BO15" s="7"/>
      <c r="BP15" s="7"/>
      <c r="BQ15" s="7"/>
      <c r="BR15" s="7"/>
      <c r="BS15" s="7"/>
      <c r="BT15" s="89"/>
      <c r="BU15" s="89"/>
      <c r="BV15" s="89"/>
      <c r="BW15" s="89"/>
      <c r="BX15" s="89"/>
      <c r="BY15" s="89"/>
      <c r="BZ15" s="7"/>
      <c r="CA15" s="7"/>
      <c r="CB15" s="7"/>
      <c r="CC15" s="7"/>
      <c r="CD15" s="7"/>
      <c r="CE15" s="7"/>
      <c r="CF15" s="89"/>
      <c r="CG15" s="89"/>
      <c r="CH15" s="7"/>
      <c r="CI15" s="7"/>
      <c r="CJ15" s="7"/>
      <c r="CK15" s="7"/>
      <c r="CL15" s="7"/>
      <c r="CM15" s="7"/>
      <c r="CN15" s="7"/>
      <c r="CO15" s="7"/>
      <c r="CP15" s="7"/>
      <c r="CQ15" s="7"/>
      <c r="CR15" s="7"/>
      <c r="CS15" s="7"/>
      <c r="CT15" s="7"/>
      <c r="CU15" s="7"/>
      <c r="CV15" s="89"/>
      <c r="CW15" s="89"/>
      <c r="CX15" s="89"/>
      <c r="CY15" s="89"/>
      <c r="CZ15" s="89"/>
      <c r="DA15" s="89"/>
      <c r="DB15" s="7"/>
      <c r="DC15" s="7"/>
      <c r="DD15" s="7"/>
      <c r="DE15" s="7"/>
      <c r="DF15" s="7"/>
      <c r="DG15" s="7"/>
      <c r="DH15" s="89"/>
      <c r="DI15" s="89"/>
      <c r="DJ15" s="89"/>
      <c r="DK15" s="89"/>
      <c r="DL15" s="7"/>
      <c r="DM15" s="7"/>
      <c r="DN15" s="7"/>
      <c r="DO15" s="7"/>
      <c r="DP15" s="7"/>
      <c r="DQ15" s="7"/>
      <c r="DR15" s="7"/>
      <c r="DS15" s="7"/>
      <c r="DT15" s="7"/>
      <c r="DU15" s="7"/>
      <c r="DV15" s="7"/>
      <c r="DW15" s="7"/>
      <c r="DX15" s="7"/>
      <c r="DY15" s="7"/>
      <c r="DZ15" s="89"/>
      <c r="EA15" s="89"/>
      <c r="EB15" s="89"/>
      <c r="EC15" s="89"/>
      <c r="ED15" s="89"/>
      <c r="EE15" s="89"/>
      <c r="EF15" s="7"/>
      <c r="EG15" s="7"/>
      <c r="EH15" s="7"/>
      <c r="EI15" s="7"/>
      <c r="EJ15" s="7"/>
      <c r="EK15" s="7"/>
      <c r="EL15" s="89"/>
      <c r="EM15" s="89"/>
      <c r="EN15" s="7"/>
      <c r="EO15" s="7"/>
      <c r="EP15" s="89"/>
      <c r="EQ15" s="89"/>
      <c r="ER15" s="7">
        <v>32.0</v>
      </c>
      <c r="ES15" s="7">
        <v>0.0</v>
      </c>
      <c r="ET15" s="7">
        <v>10.0</v>
      </c>
      <c r="EU15" s="7">
        <v>31.0</v>
      </c>
      <c r="EV15" s="7">
        <v>8.0</v>
      </c>
      <c r="EW15" s="7">
        <v>0.0</v>
      </c>
      <c r="EX15" s="7">
        <v>0.0</v>
      </c>
      <c r="EY15" s="7">
        <v>0.0</v>
      </c>
      <c r="EZ15" s="7">
        <v>0.0</v>
      </c>
      <c r="FA15" s="7">
        <v>0.0</v>
      </c>
      <c r="FB15" s="7">
        <v>60.0</v>
      </c>
      <c r="FC15" s="7">
        <v>6.0</v>
      </c>
      <c r="FD15" s="7"/>
      <c r="FE15" s="89"/>
      <c r="FF15" s="7"/>
      <c r="FG15" s="89"/>
      <c r="FH15" s="7"/>
      <c r="FI15" s="7"/>
      <c r="FJ15" s="7"/>
      <c r="FK15" s="7"/>
      <c r="FL15" s="7"/>
      <c r="FM15" s="7"/>
      <c r="FN15" s="7"/>
      <c r="FO15" s="89"/>
      <c r="FP15" s="89"/>
      <c r="FQ15" s="89"/>
      <c r="FR15" s="7"/>
      <c r="FS15" s="7"/>
      <c r="FT15" s="7"/>
      <c r="FU15" s="89"/>
      <c r="FV15" s="7"/>
      <c r="FW15" s="89"/>
      <c r="FX15" s="7"/>
      <c r="FY15" s="7"/>
      <c r="FZ15" s="7"/>
      <c r="GA15" s="7"/>
      <c r="GB15" s="7"/>
      <c r="GC15" s="7"/>
      <c r="GD15" s="89"/>
      <c r="GE15" s="89"/>
      <c r="GF15" s="89"/>
      <c r="GG15" s="89"/>
      <c r="GH15" s="7"/>
      <c r="GI15" s="7"/>
      <c r="GJ15" s="89"/>
      <c r="GK15" s="89"/>
      <c r="GL15" s="7"/>
      <c r="GM15" s="89"/>
      <c r="GN15" s="89"/>
      <c r="GO15" s="89"/>
      <c r="GP15" s="89"/>
      <c r="GQ15" s="89"/>
      <c r="GR15" s="89">
        <v>14.0</v>
      </c>
    </row>
    <row r="16">
      <c r="A16" s="5">
        <v>45777.40311342593</v>
      </c>
      <c r="B16" s="86">
        <v>45746.0</v>
      </c>
      <c r="C16" s="86">
        <v>45747.0</v>
      </c>
      <c r="D16" s="7" t="s">
        <v>207</v>
      </c>
      <c r="E16" s="87"/>
      <c r="F16" s="88">
        <v>2.0</v>
      </c>
      <c r="G16" s="7" t="s">
        <v>70</v>
      </c>
      <c r="H16" s="7" t="s">
        <v>76</v>
      </c>
      <c r="I16" s="7"/>
      <c r="J16" s="7"/>
      <c r="K16" s="7"/>
      <c r="L16" s="7"/>
      <c r="M16" s="7"/>
      <c r="N16" s="7"/>
      <c r="O16" s="7"/>
      <c r="P16" s="7"/>
      <c r="Q16" s="7"/>
      <c r="R16" s="7"/>
      <c r="S16" s="7"/>
      <c r="T16" s="7"/>
      <c r="U16" s="7"/>
      <c r="V16" s="7"/>
      <c r="W16" s="7"/>
      <c r="X16" s="7"/>
      <c r="Y16" s="7"/>
      <c r="Z16" s="7"/>
      <c r="AA16" s="7"/>
      <c r="AB16" s="7"/>
      <c r="AC16" s="7"/>
      <c r="AD16" s="7"/>
      <c r="AE16" s="7">
        <v>0.0</v>
      </c>
      <c r="AF16" s="7"/>
      <c r="AG16" s="7"/>
      <c r="AH16" s="7">
        <v>0.0</v>
      </c>
      <c r="AI16" s="7"/>
      <c r="AJ16" s="7"/>
      <c r="AK16" s="7">
        <v>0.0</v>
      </c>
      <c r="AL16" s="7"/>
      <c r="AM16" s="7"/>
      <c r="AN16" s="7">
        <v>500.0</v>
      </c>
      <c r="AO16" s="7"/>
      <c r="AP16" s="7"/>
      <c r="AQ16" s="7">
        <v>0.0</v>
      </c>
      <c r="AR16" s="7"/>
      <c r="AS16" s="7"/>
      <c r="AT16" s="7">
        <v>0.0</v>
      </c>
      <c r="AU16" s="7"/>
      <c r="AV16" s="7"/>
      <c r="AW16" s="7">
        <v>0.0</v>
      </c>
      <c r="AX16" s="7"/>
      <c r="AY16" s="7"/>
      <c r="AZ16" s="89"/>
      <c r="BA16" s="7"/>
      <c r="BB16" s="7"/>
      <c r="BC16" s="7"/>
      <c r="BD16" s="7"/>
      <c r="BE16" s="89"/>
      <c r="BF16" s="7"/>
      <c r="BG16" s="7"/>
      <c r="BH16" s="7"/>
      <c r="BI16" s="7"/>
      <c r="BJ16" s="7"/>
      <c r="BK16" s="7"/>
      <c r="BL16" s="7"/>
      <c r="BM16" s="7"/>
      <c r="BN16" s="7"/>
      <c r="BO16" s="7"/>
      <c r="BP16" s="7"/>
      <c r="BQ16" s="7"/>
      <c r="BR16" s="7"/>
      <c r="BS16" s="7"/>
      <c r="BT16" s="89"/>
      <c r="BU16" s="89"/>
      <c r="BV16" s="89"/>
      <c r="BW16" s="89"/>
      <c r="BX16" s="89"/>
      <c r="BY16" s="89"/>
      <c r="BZ16" s="7"/>
      <c r="CA16" s="7"/>
      <c r="CB16" s="7"/>
      <c r="CC16" s="7"/>
      <c r="CD16" s="7"/>
      <c r="CE16" s="7"/>
      <c r="CF16" s="89"/>
      <c r="CG16" s="89"/>
      <c r="CH16" s="7"/>
      <c r="CI16" s="7"/>
      <c r="CJ16" s="7"/>
      <c r="CK16" s="7"/>
      <c r="CL16" s="7"/>
      <c r="CM16" s="7"/>
      <c r="CN16" s="7"/>
      <c r="CO16" s="7"/>
      <c r="CP16" s="7"/>
      <c r="CQ16" s="7"/>
      <c r="CR16" s="7"/>
      <c r="CS16" s="7"/>
      <c r="CT16" s="7"/>
      <c r="CU16" s="7"/>
      <c r="CV16" s="89"/>
      <c r="CW16" s="89"/>
      <c r="CX16" s="89"/>
      <c r="CY16" s="89"/>
      <c r="CZ16" s="89"/>
      <c r="DA16" s="89"/>
      <c r="DB16" s="7"/>
      <c r="DC16" s="7"/>
      <c r="DD16" s="7"/>
      <c r="DE16" s="7"/>
      <c r="DF16" s="7"/>
      <c r="DG16" s="7"/>
      <c r="DH16" s="89"/>
      <c r="DI16" s="89"/>
      <c r="DJ16" s="89"/>
      <c r="DK16" s="89"/>
      <c r="DL16" s="7"/>
      <c r="DM16" s="7"/>
      <c r="DN16" s="7"/>
      <c r="DO16" s="7"/>
      <c r="DP16" s="7"/>
      <c r="DQ16" s="7"/>
      <c r="DR16" s="7"/>
      <c r="DS16" s="7"/>
      <c r="DT16" s="7"/>
      <c r="DU16" s="7"/>
      <c r="DV16" s="7"/>
      <c r="DW16" s="7"/>
      <c r="DX16" s="7"/>
      <c r="DY16" s="7"/>
      <c r="DZ16" s="89"/>
      <c r="EA16" s="89"/>
      <c r="EB16" s="89"/>
      <c r="EC16" s="89"/>
      <c r="ED16" s="89"/>
      <c r="EE16" s="89"/>
      <c r="EF16" s="7"/>
      <c r="EG16" s="7"/>
      <c r="EH16" s="7"/>
      <c r="EI16" s="7"/>
      <c r="EJ16" s="7"/>
      <c r="EK16" s="7"/>
      <c r="EL16" s="89"/>
      <c r="EM16" s="89"/>
      <c r="EN16" s="7"/>
      <c r="EO16" s="7"/>
      <c r="EP16" s="89"/>
      <c r="EQ16" s="89"/>
      <c r="ER16" s="7">
        <v>96.0</v>
      </c>
      <c r="ES16" s="7">
        <v>0.0</v>
      </c>
      <c r="ET16" s="7">
        <v>30.0</v>
      </c>
      <c r="EU16" s="7">
        <v>93.0</v>
      </c>
      <c r="EV16" s="7">
        <v>20.0</v>
      </c>
      <c r="EW16" s="7">
        <v>0.0</v>
      </c>
      <c r="EX16" s="7">
        <v>4.0</v>
      </c>
      <c r="EY16" s="7">
        <v>0.0</v>
      </c>
      <c r="EZ16" s="7">
        <v>0.0</v>
      </c>
      <c r="FA16" s="7">
        <v>0.0</v>
      </c>
      <c r="FB16" s="7">
        <v>185.0</v>
      </c>
      <c r="FC16" s="7">
        <v>15.0</v>
      </c>
      <c r="FE16" s="89"/>
      <c r="FF16" s="7"/>
      <c r="FG16" s="89"/>
      <c r="FH16" s="7"/>
      <c r="FI16" s="7"/>
      <c r="FJ16" s="7"/>
      <c r="FK16" s="7"/>
      <c r="FL16" s="7"/>
      <c r="FM16" s="7"/>
      <c r="FN16" s="7"/>
      <c r="FO16" s="89"/>
      <c r="FP16" s="89"/>
      <c r="FQ16" s="89"/>
      <c r="FR16" s="7"/>
      <c r="FS16" s="7"/>
      <c r="FT16" s="7"/>
      <c r="FU16" s="89"/>
      <c r="FV16" s="7"/>
      <c r="FW16" s="89"/>
      <c r="FX16" s="7"/>
      <c r="FY16" s="7"/>
      <c r="FZ16" s="7"/>
      <c r="GA16" s="7"/>
      <c r="GB16" s="7"/>
      <c r="GC16" s="7"/>
      <c r="GD16" s="89"/>
      <c r="GE16" s="89"/>
      <c r="GF16" s="89"/>
      <c r="GG16" s="89"/>
      <c r="GH16" s="7"/>
      <c r="GI16" s="7"/>
      <c r="GJ16" s="89"/>
      <c r="GK16" s="89"/>
      <c r="GL16" s="7"/>
      <c r="GM16" s="89"/>
      <c r="GN16" s="89"/>
      <c r="GO16" s="89"/>
      <c r="GP16" s="89"/>
      <c r="GQ16" s="89"/>
      <c r="GR16" s="89">
        <v>15.0</v>
      </c>
    </row>
    <row r="17">
      <c r="A17" s="5">
        <v>45777.403344907405</v>
      </c>
      <c r="B17" s="86">
        <v>45746.0</v>
      </c>
      <c r="C17" s="86">
        <v>45747.0</v>
      </c>
      <c r="D17" s="7" t="s">
        <v>212</v>
      </c>
      <c r="E17" s="87"/>
      <c r="F17" s="88">
        <v>3.0</v>
      </c>
      <c r="G17" s="7" t="s">
        <v>70</v>
      </c>
      <c r="H17" s="7" t="s">
        <v>76</v>
      </c>
      <c r="I17" s="7"/>
      <c r="J17" s="7"/>
      <c r="K17" s="7"/>
      <c r="L17" s="7"/>
      <c r="M17" s="7"/>
      <c r="N17" s="7"/>
      <c r="O17" s="7"/>
      <c r="P17" s="7"/>
      <c r="Q17" s="7"/>
      <c r="R17" s="7"/>
      <c r="S17" s="7"/>
      <c r="T17" s="7"/>
      <c r="U17" s="7"/>
      <c r="V17" s="7"/>
      <c r="W17" s="7"/>
      <c r="X17" s="7"/>
      <c r="Y17" s="7"/>
      <c r="Z17" s="7"/>
      <c r="AA17" s="7"/>
      <c r="AB17" s="7"/>
      <c r="AC17" s="7"/>
      <c r="AD17" s="7"/>
      <c r="AE17" s="7">
        <v>0.0</v>
      </c>
      <c r="AF17" s="7"/>
      <c r="AG17" s="7"/>
      <c r="AH17" s="7">
        <v>0.0</v>
      </c>
      <c r="AI17" s="7"/>
      <c r="AJ17" s="7"/>
      <c r="AK17" s="7">
        <v>0.0</v>
      </c>
      <c r="AL17" s="7"/>
      <c r="AM17" s="7"/>
      <c r="AN17" s="7">
        <v>430.0</v>
      </c>
      <c r="AO17" s="7"/>
      <c r="AP17" s="7"/>
      <c r="AQ17" s="7">
        <v>0.0</v>
      </c>
      <c r="AR17" s="7"/>
      <c r="AS17" s="7"/>
      <c r="AT17" s="7">
        <v>0.0</v>
      </c>
      <c r="AU17" s="7"/>
      <c r="AV17" s="7"/>
      <c r="AW17" s="7">
        <v>0.0</v>
      </c>
      <c r="AX17" s="7"/>
      <c r="AY17" s="7"/>
      <c r="AZ17" s="89"/>
      <c r="BA17" s="7"/>
      <c r="BB17" s="7"/>
      <c r="BC17" s="7"/>
      <c r="BD17" s="7"/>
      <c r="BE17" s="89"/>
      <c r="BF17" s="7"/>
      <c r="BG17" s="7"/>
      <c r="BH17" s="7"/>
      <c r="BI17" s="7"/>
      <c r="BJ17" s="7"/>
      <c r="BK17" s="7"/>
      <c r="BL17" s="7"/>
      <c r="BM17" s="7"/>
      <c r="BN17" s="7"/>
      <c r="BO17" s="7"/>
      <c r="BP17" s="7"/>
      <c r="BQ17" s="7"/>
      <c r="BR17" s="7"/>
      <c r="BS17" s="7"/>
      <c r="BT17" s="89"/>
      <c r="BU17" s="89"/>
      <c r="BV17" s="89"/>
      <c r="BW17" s="89"/>
      <c r="BX17" s="89"/>
      <c r="BY17" s="89"/>
      <c r="BZ17" s="7"/>
      <c r="CA17" s="7"/>
      <c r="CB17" s="7"/>
      <c r="CC17" s="7"/>
      <c r="CD17" s="7"/>
      <c r="CE17" s="7"/>
      <c r="CF17" s="89"/>
      <c r="CG17" s="89"/>
      <c r="CH17" s="7"/>
      <c r="CI17" s="7"/>
      <c r="CJ17" s="7"/>
      <c r="CK17" s="7"/>
      <c r="CL17" s="7"/>
      <c r="CM17" s="7"/>
      <c r="CN17" s="7"/>
      <c r="CO17" s="7"/>
      <c r="CP17" s="7"/>
      <c r="CQ17" s="7"/>
      <c r="CR17" s="7"/>
      <c r="CS17" s="7"/>
      <c r="CT17" s="7"/>
      <c r="CU17" s="7"/>
      <c r="CV17" s="89"/>
      <c r="CW17" s="89"/>
      <c r="CX17" s="89"/>
      <c r="CY17" s="89"/>
      <c r="CZ17" s="89"/>
      <c r="DA17" s="89"/>
      <c r="DB17" s="7"/>
      <c r="DC17" s="7"/>
      <c r="DD17" s="7"/>
      <c r="DE17" s="7"/>
      <c r="DF17" s="7"/>
      <c r="DG17" s="7"/>
      <c r="DH17" s="89"/>
      <c r="DI17" s="89"/>
      <c r="DJ17" s="89"/>
      <c r="DK17" s="89"/>
      <c r="DL17" s="7"/>
      <c r="DM17" s="7"/>
      <c r="DN17" s="7"/>
      <c r="DO17" s="7"/>
      <c r="DP17" s="7"/>
      <c r="DQ17" s="7"/>
      <c r="DR17" s="7"/>
      <c r="DS17" s="7"/>
      <c r="DT17" s="7"/>
      <c r="DU17" s="7"/>
      <c r="DV17" s="7"/>
      <c r="DW17" s="7"/>
      <c r="DX17" s="7"/>
      <c r="DY17" s="7"/>
      <c r="DZ17" s="89"/>
      <c r="EA17" s="89"/>
      <c r="EB17" s="89"/>
      <c r="EC17" s="89"/>
      <c r="ED17" s="89"/>
      <c r="EE17" s="89"/>
      <c r="EF17" s="7"/>
      <c r="EG17" s="7"/>
      <c r="EH17" s="7"/>
      <c r="EI17" s="7"/>
      <c r="EJ17" s="7"/>
      <c r="EK17" s="7"/>
      <c r="EL17" s="89"/>
      <c r="EM17" s="89"/>
      <c r="EN17" s="7"/>
      <c r="EO17" s="7"/>
      <c r="EP17" s="89"/>
      <c r="EQ17" s="89"/>
      <c r="ER17" s="7">
        <v>32.0</v>
      </c>
      <c r="ES17" s="7">
        <v>0.0</v>
      </c>
      <c r="ET17" s="7">
        <v>10.0</v>
      </c>
      <c r="EU17" s="7">
        <v>31.0</v>
      </c>
      <c r="EV17" s="7">
        <v>6.0</v>
      </c>
      <c r="EW17" s="7">
        <v>0.0</v>
      </c>
      <c r="EX17" s="7">
        <v>0.0</v>
      </c>
      <c r="EY17" s="7">
        <v>0.0</v>
      </c>
      <c r="EZ17" s="7">
        <v>0.0</v>
      </c>
      <c r="FA17" s="7">
        <v>0.0</v>
      </c>
      <c r="FB17" s="7">
        <v>62.0</v>
      </c>
      <c r="FC17" s="7">
        <v>6.0</v>
      </c>
      <c r="FD17" s="7"/>
      <c r="FE17" s="89"/>
      <c r="FF17" s="7"/>
      <c r="FG17" s="89"/>
      <c r="FH17" s="7"/>
      <c r="FI17" s="7"/>
      <c r="FJ17" s="7"/>
      <c r="FK17" s="7"/>
      <c r="FL17" s="7"/>
      <c r="FM17" s="7"/>
      <c r="FN17" s="7"/>
      <c r="FO17" s="89"/>
      <c r="FP17" s="89"/>
      <c r="FQ17" s="89"/>
      <c r="FR17" s="7"/>
      <c r="FS17" s="7"/>
      <c r="FT17" s="7"/>
      <c r="FU17" s="89"/>
      <c r="FV17" s="7"/>
      <c r="FW17" s="89"/>
      <c r="FX17" s="7"/>
      <c r="FY17" s="7"/>
      <c r="FZ17" s="7"/>
      <c r="GA17" s="7"/>
      <c r="GB17" s="7"/>
      <c r="GC17" s="7"/>
      <c r="GD17" s="89"/>
      <c r="GE17" s="89"/>
      <c r="GF17" s="89"/>
      <c r="GG17" s="89"/>
      <c r="GH17" s="7"/>
      <c r="GI17" s="7"/>
      <c r="GJ17" s="89"/>
      <c r="GK17" s="89"/>
      <c r="GL17" s="7"/>
      <c r="GM17" s="89"/>
      <c r="GN17" s="89"/>
      <c r="GO17" s="89"/>
      <c r="GP17" s="89"/>
      <c r="GQ17" s="89"/>
      <c r="GR17" s="89">
        <v>16.0</v>
      </c>
    </row>
    <row r="18">
      <c r="A18" s="5">
        <v>45777.40346064815</v>
      </c>
      <c r="B18" s="86">
        <v>45746.0</v>
      </c>
      <c r="C18" s="86">
        <v>45747.0</v>
      </c>
      <c r="D18" s="7" t="s">
        <v>213</v>
      </c>
      <c r="E18" s="87"/>
      <c r="F18" s="88">
        <v>3.0</v>
      </c>
      <c r="G18" s="7" t="s">
        <v>70</v>
      </c>
      <c r="H18" s="7" t="s">
        <v>76</v>
      </c>
      <c r="I18" s="7"/>
      <c r="J18" s="7"/>
      <c r="K18" s="7"/>
      <c r="L18" s="7"/>
      <c r="M18" s="7"/>
      <c r="N18" s="7"/>
      <c r="O18" s="7"/>
      <c r="P18" s="7"/>
      <c r="Q18" s="7"/>
      <c r="R18" s="7"/>
      <c r="S18" s="7"/>
      <c r="T18" s="7"/>
      <c r="U18" s="7"/>
      <c r="V18" s="7"/>
      <c r="W18" s="7"/>
      <c r="X18" s="7"/>
      <c r="Y18" s="7"/>
      <c r="Z18" s="7"/>
      <c r="AA18" s="7"/>
      <c r="AB18" s="7"/>
      <c r="AC18" s="7"/>
      <c r="AD18" s="7"/>
      <c r="AE18" s="7">
        <v>0.0</v>
      </c>
      <c r="AF18" s="7"/>
      <c r="AG18" s="7"/>
      <c r="AH18" s="7">
        <v>0.0</v>
      </c>
      <c r="AI18" s="7"/>
      <c r="AJ18" s="7"/>
      <c r="AK18" s="7">
        <v>0.0</v>
      </c>
      <c r="AL18" s="7"/>
      <c r="AM18" s="7"/>
      <c r="AN18" s="7">
        <v>220.0</v>
      </c>
      <c r="AO18" s="7"/>
      <c r="AP18" s="7"/>
      <c r="AQ18" s="7">
        <v>0.0</v>
      </c>
      <c r="AR18" s="7"/>
      <c r="AS18" s="7"/>
      <c r="AT18" s="7">
        <v>0.0</v>
      </c>
      <c r="AU18" s="7"/>
      <c r="AV18" s="7"/>
      <c r="AW18" s="7">
        <v>0.0</v>
      </c>
      <c r="AX18" s="7"/>
      <c r="AY18" s="7"/>
      <c r="AZ18" s="89"/>
      <c r="BA18" s="7"/>
      <c r="BB18" s="7"/>
      <c r="BC18" s="7"/>
      <c r="BD18" s="7"/>
      <c r="BE18" s="89"/>
      <c r="BF18" s="7"/>
      <c r="BG18" s="7"/>
      <c r="BH18" s="7"/>
      <c r="BI18" s="7"/>
      <c r="BJ18" s="7"/>
      <c r="BK18" s="7"/>
      <c r="BL18" s="7"/>
      <c r="BM18" s="7"/>
      <c r="BN18" s="7"/>
      <c r="BO18" s="7"/>
      <c r="BP18" s="7"/>
      <c r="BQ18" s="7"/>
      <c r="BR18" s="7"/>
      <c r="BS18" s="7"/>
      <c r="BT18" s="89"/>
      <c r="BU18" s="89"/>
      <c r="BV18" s="89"/>
      <c r="BW18" s="89"/>
      <c r="BX18" s="89"/>
      <c r="BY18" s="89"/>
      <c r="BZ18" s="7"/>
      <c r="CA18" s="7"/>
      <c r="CB18" s="7"/>
      <c r="CC18" s="7"/>
      <c r="CD18" s="7"/>
      <c r="CE18" s="7"/>
      <c r="CF18" s="89"/>
      <c r="CG18" s="89"/>
      <c r="CH18" s="7"/>
      <c r="CI18" s="7"/>
      <c r="CJ18" s="7"/>
      <c r="CK18" s="7"/>
      <c r="CL18" s="7"/>
      <c r="CM18" s="7"/>
      <c r="CN18" s="7"/>
      <c r="CO18" s="7"/>
      <c r="CP18" s="7"/>
      <c r="CQ18" s="7"/>
      <c r="CR18" s="7"/>
      <c r="CS18" s="7"/>
      <c r="CT18" s="7"/>
      <c r="CU18" s="7"/>
      <c r="CV18" s="89"/>
      <c r="CW18" s="89"/>
      <c r="CX18" s="89"/>
      <c r="CY18" s="89"/>
      <c r="CZ18" s="89"/>
      <c r="DA18" s="89"/>
      <c r="DB18" s="7"/>
      <c r="DC18" s="7"/>
      <c r="DD18" s="7"/>
      <c r="DE18" s="7"/>
      <c r="DF18" s="7"/>
      <c r="DG18" s="7"/>
      <c r="DH18" s="89"/>
      <c r="DI18" s="89"/>
      <c r="DJ18" s="89"/>
      <c r="DK18" s="89"/>
      <c r="DL18" s="7"/>
      <c r="DM18" s="7"/>
      <c r="DN18" s="7"/>
      <c r="DO18" s="7"/>
      <c r="DP18" s="7"/>
      <c r="DQ18" s="7"/>
      <c r="DR18" s="7"/>
      <c r="DS18" s="7"/>
      <c r="DT18" s="7"/>
      <c r="DU18" s="7"/>
      <c r="DV18" s="7"/>
      <c r="DW18" s="7"/>
      <c r="DX18" s="7"/>
      <c r="DY18" s="7"/>
      <c r="DZ18" s="89"/>
      <c r="EA18" s="89"/>
      <c r="EB18" s="89"/>
      <c r="EC18" s="89"/>
      <c r="ED18" s="89"/>
      <c r="EE18" s="89"/>
      <c r="EF18" s="7"/>
      <c r="EG18" s="7"/>
      <c r="EH18" s="7"/>
      <c r="EI18" s="7"/>
      <c r="EJ18" s="7"/>
      <c r="EK18" s="7"/>
      <c r="EL18" s="89"/>
      <c r="EM18" s="89"/>
      <c r="EN18" s="7"/>
      <c r="EO18" s="7"/>
      <c r="EP18" s="89"/>
      <c r="EQ18" s="89"/>
      <c r="ER18" s="7">
        <v>32.0</v>
      </c>
      <c r="ES18" s="7">
        <v>0.0</v>
      </c>
      <c r="ET18" s="7">
        <v>10.0</v>
      </c>
      <c r="EU18" s="7">
        <v>31.0</v>
      </c>
      <c r="EV18" s="7">
        <v>6.0</v>
      </c>
      <c r="EW18" s="7">
        <v>0.0</v>
      </c>
      <c r="EX18" s="7">
        <v>0.0</v>
      </c>
      <c r="EY18" s="7">
        <v>0.0</v>
      </c>
      <c r="EZ18" s="7">
        <v>0.0</v>
      </c>
      <c r="FA18" s="7">
        <v>0.0</v>
      </c>
      <c r="FB18" s="7">
        <v>62.0</v>
      </c>
      <c r="FC18" s="7">
        <v>6.0</v>
      </c>
      <c r="FD18" s="7"/>
      <c r="FE18" s="89"/>
      <c r="FF18" s="7"/>
      <c r="FG18" s="89"/>
      <c r="FH18" s="7"/>
      <c r="FI18" s="7"/>
      <c r="FJ18" s="7"/>
      <c r="FK18" s="7"/>
      <c r="FL18" s="7"/>
      <c r="FM18" s="7"/>
      <c r="FN18" s="7"/>
      <c r="FO18" s="89"/>
      <c r="FP18" s="89"/>
      <c r="FQ18" s="89"/>
      <c r="FR18" s="7"/>
      <c r="FS18" s="7"/>
      <c r="FT18" s="7"/>
      <c r="FU18" s="89"/>
      <c r="FV18" s="7"/>
      <c r="FW18" s="89"/>
      <c r="FX18" s="7"/>
      <c r="FY18" s="7"/>
      <c r="FZ18" s="7"/>
      <c r="GA18" s="7"/>
      <c r="GB18" s="7"/>
      <c r="GC18" s="7"/>
      <c r="GD18" s="89"/>
      <c r="GE18" s="89"/>
      <c r="GF18" s="89"/>
      <c r="GG18" s="89"/>
      <c r="GH18" s="7"/>
      <c r="GI18" s="7"/>
      <c r="GJ18" s="89"/>
      <c r="GK18" s="89"/>
      <c r="GL18" s="7"/>
      <c r="GM18" s="89"/>
      <c r="GN18" s="89"/>
      <c r="GO18" s="89"/>
      <c r="GP18" s="89"/>
      <c r="GQ18" s="89"/>
      <c r="GR18" s="89">
        <v>17.0</v>
      </c>
    </row>
    <row r="19">
      <c r="A19" s="5">
        <v>45777.40357638889</v>
      </c>
      <c r="B19" s="86">
        <v>45746.0</v>
      </c>
      <c r="C19" s="86">
        <v>45747.0</v>
      </c>
      <c r="D19" s="7" t="s">
        <v>30</v>
      </c>
      <c r="E19" s="87"/>
      <c r="F19" s="88">
        <v>2.0</v>
      </c>
      <c r="G19" s="7" t="s">
        <v>70</v>
      </c>
      <c r="H19" s="7" t="s">
        <v>76</v>
      </c>
      <c r="I19" s="7"/>
      <c r="J19" s="7"/>
      <c r="K19" s="7"/>
      <c r="L19" s="7"/>
      <c r="M19" s="7"/>
      <c r="N19" s="7"/>
      <c r="O19" s="7"/>
      <c r="P19" s="7"/>
      <c r="Q19" s="7"/>
      <c r="R19" s="7"/>
      <c r="S19" s="7"/>
      <c r="T19" s="7"/>
      <c r="U19" s="7"/>
      <c r="V19" s="7"/>
      <c r="W19" s="7"/>
      <c r="X19" s="7"/>
      <c r="Y19" s="7"/>
      <c r="Z19" s="7"/>
      <c r="AA19" s="7"/>
      <c r="AB19" s="7"/>
      <c r="AC19" s="7"/>
      <c r="AD19" s="7"/>
      <c r="AE19" s="7">
        <v>0.0</v>
      </c>
      <c r="AF19" s="7"/>
      <c r="AG19" s="7"/>
      <c r="AH19" s="7">
        <v>0.0</v>
      </c>
      <c r="AI19" s="7"/>
      <c r="AJ19" s="7"/>
      <c r="AK19" s="7">
        <v>0.0</v>
      </c>
      <c r="AL19" s="7"/>
      <c r="AM19" s="7"/>
      <c r="AN19" s="7">
        <v>0.0</v>
      </c>
      <c r="AO19" s="7"/>
      <c r="AP19" s="7"/>
      <c r="AQ19" s="7">
        <v>0.0</v>
      </c>
      <c r="AR19" s="7"/>
      <c r="AS19" s="7"/>
      <c r="AT19" s="7">
        <v>0.0</v>
      </c>
      <c r="AU19" s="7"/>
      <c r="AV19" s="7"/>
      <c r="AW19" s="7">
        <v>0.0</v>
      </c>
      <c r="AX19" s="7"/>
      <c r="AY19" s="7"/>
      <c r="AZ19" s="89"/>
      <c r="BA19" s="7"/>
      <c r="BB19" s="7"/>
      <c r="BC19" s="7"/>
      <c r="BD19" s="7"/>
      <c r="BE19" s="89"/>
      <c r="BF19" s="7"/>
      <c r="BG19" s="7"/>
      <c r="BH19" s="7"/>
      <c r="BI19" s="7"/>
      <c r="BJ19" s="7"/>
      <c r="BK19" s="7"/>
      <c r="BL19" s="7"/>
      <c r="BM19" s="7"/>
      <c r="BN19" s="7"/>
      <c r="BO19" s="7"/>
      <c r="BP19" s="7"/>
      <c r="BQ19" s="7"/>
      <c r="BR19" s="7"/>
      <c r="BS19" s="7"/>
      <c r="BT19" s="89"/>
      <c r="BU19" s="89"/>
      <c r="BV19" s="89"/>
      <c r="BW19" s="89"/>
      <c r="BX19" s="89"/>
      <c r="BY19" s="89"/>
      <c r="BZ19" s="7"/>
      <c r="CA19" s="7"/>
      <c r="CB19" s="7"/>
      <c r="CC19" s="7"/>
      <c r="CD19" s="7"/>
      <c r="CE19" s="7"/>
      <c r="CF19" s="89"/>
      <c r="CG19" s="89"/>
      <c r="CH19" s="7"/>
      <c r="CI19" s="7"/>
      <c r="CJ19" s="7"/>
      <c r="CK19" s="7"/>
      <c r="CL19" s="7"/>
      <c r="CM19" s="7"/>
      <c r="CN19" s="7"/>
      <c r="CO19" s="7"/>
      <c r="CP19" s="7"/>
      <c r="CQ19" s="7"/>
      <c r="CR19" s="7"/>
      <c r="CS19" s="7"/>
      <c r="CT19" s="7"/>
      <c r="CU19" s="7"/>
      <c r="CV19" s="89"/>
      <c r="CW19" s="89"/>
      <c r="CX19" s="89"/>
      <c r="CY19" s="89"/>
      <c r="CZ19" s="89"/>
      <c r="DA19" s="89"/>
      <c r="DB19" s="7"/>
      <c r="DC19" s="7"/>
      <c r="DD19" s="7"/>
      <c r="DE19" s="7"/>
      <c r="DF19" s="7"/>
      <c r="DG19" s="7"/>
      <c r="DH19" s="89"/>
      <c r="DI19" s="89"/>
      <c r="DJ19" s="89"/>
      <c r="DK19" s="89"/>
      <c r="DL19" s="7"/>
      <c r="DM19" s="7"/>
      <c r="DN19" s="7"/>
      <c r="DO19" s="7"/>
      <c r="DP19" s="7"/>
      <c r="DQ19" s="7"/>
      <c r="DR19" s="7"/>
      <c r="DS19" s="7"/>
      <c r="DT19" s="7"/>
      <c r="DU19" s="7"/>
      <c r="DV19" s="7"/>
      <c r="DW19" s="7"/>
      <c r="DX19" s="7"/>
      <c r="DY19" s="7"/>
      <c r="DZ19" s="89"/>
      <c r="EA19" s="89"/>
      <c r="EB19" s="89"/>
      <c r="EC19" s="89"/>
      <c r="ED19" s="89"/>
      <c r="EE19" s="89"/>
      <c r="EF19" s="7"/>
      <c r="EG19" s="7"/>
      <c r="EH19" s="7"/>
      <c r="EI19" s="7"/>
      <c r="EJ19" s="7"/>
      <c r="EK19" s="7"/>
      <c r="EL19" s="89"/>
      <c r="EM19" s="89"/>
      <c r="EN19" s="7"/>
      <c r="EO19" s="7"/>
      <c r="EP19" s="89"/>
      <c r="EQ19" s="89"/>
      <c r="ES19" s="7">
        <v>0.0</v>
      </c>
      <c r="ET19" s="7">
        <v>0.0</v>
      </c>
      <c r="EU19" s="7">
        <v>0.0</v>
      </c>
      <c r="EW19" s="7">
        <v>0.0</v>
      </c>
      <c r="EX19" s="7">
        <v>0.0</v>
      </c>
      <c r="EY19" s="7">
        <v>0.0</v>
      </c>
      <c r="EZ19" s="7">
        <v>0.0</v>
      </c>
      <c r="FA19" s="7">
        <v>0.0</v>
      </c>
      <c r="FC19" s="7"/>
      <c r="FD19" s="7"/>
      <c r="FE19" s="89"/>
      <c r="FF19" s="7"/>
      <c r="FG19" s="89"/>
      <c r="FH19" s="7"/>
      <c r="FI19" s="7"/>
      <c r="FJ19" s="7"/>
      <c r="FK19" s="7"/>
      <c r="FL19" s="7"/>
      <c r="FM19" s="7"/>
      <c r="FN19" s="7"/>
      <c r="FO19" s="89"/>
      <c r="FP19" s="89"/>
      <c r="FQ19" s="89"/>
      <c r="FR19" s="7"/>
      <c r="FS19" s="7"/>
      <c r="FT19" s="7"/>
      <c r="FU19" s="89"/>
      <c r="FV19" s="7"/>
      <c r="FW19" s="89"/>
      <c r="FX19" s="7"/>
      <c r="FY19" s="7"/>
      <c r="FZ19" s="7"/>
      <c r="GA19" s="7"/>
      <c r="GB19" s="7"/>
      <c r="GC19" s="7"/>
      <c r="GD19" s="89"/>
      <c r="GE19" s="89"/>
      <c r="GF19" s="89"/>
      <c r="GG19" s="89"/>
      <c r="GH19" s="7"/>
      <c r="GI19" s="7"/>
      <c r="GJ19" s="89"/>
      <c r="GK19" s="89"/>
      <c r="GL19" s="7"/>
      <c r="GM19" s="89"/>
      <c r="GN19" s="89"/>
      <c r="GO19" s="89"/>
      <c r="GP19" s="89"/>
      <c r="GQ19" s="89"/>
      <c r="GR19" s="89">
        <v>18.0</v>
      </c>
    </row>
    <row r="20">
      <c r="A20" s="5">
        <v>45777.40369212963</v>
      </c>
      <c r="B20" s="86">
        <v>45746.0</v>
      </c>
      <c r="C20" s="86">
        <v>45747.0</v>
      </c>
      <c r="D20" s="7" t="s">
        <v>25</v>
      </c>
      <c r="E20" s="87"/>
      <c r="F20" s="88">
        <v>2.0</v>
      </c>
      <c r="G20" s="7" t="s">
        <v>70</v>
      </c>
      <c r="H20" s="7" t="s">
        <v>76</v>
      </c>
      <c r="I20" s="7"/>
      <c r="J20" s="7"/>
      <c r="K20" s="7"/>
      <c r="L20" s="7"/>
      <c r="M20" s="7"/>
      <c r="N20" s="7"/>
      <c r="O20" s="7"/>
      <c r="P20" s="7"/>
      <c r="Q20" s="7"/>
      <c r="R20" s="7"/>
      <c r="S20" s="7"/>
      <c r="T20" s="7"/>
      <c r="U20" s="7"/>
      <c r="V20" s="7"/>
      <c r="W20" s="7"/>
      <c r="X20" s="7"/>
      <c r="Y20" s="7"/>
      <c r="Z20" s="7"/>
      <c r="AA20" s="7"/>
      <c r="AB20" s="7"/>
      <c r="AC20" s="7"/>
      <c r="AD20" s="7"/>
      <c r="AE20" s="7">
        <v>0.0</v>
      </c>
      <c r="AF20" s="7"/>
      <c r="AG20" s="7"/>
      <c r="AH20" s="7">
        <v>0.0</v>
      </c>
      <c r="AI20" s="7"/>
      <c r="AJ20" s="7"/>
      <c r="AK20" s="7">
        <v>0.0</v>
      </c>
      <c r="AL20" s="7"/>
      <c r="AM20" s="7"/>
      <c r="AN20" s="7">
        <v>200.0</v>
      </c>
      <c r="AO20" s="7"/>
      <c r="AP20" s="7"/>
      <c r="AQ20" s="7">
        <v>0.0</v>
      </c>
      <c r="AR20" s="7"/>
      <c r="AS20" s="7"/>
      <c r="AT20" s="7">
        <v>0.0</v>
      </c>
      <c r="AU20" s="7"/>
      <c r="AV20" s="7"/>
      <c r="AW20" s="7">
        <v>0.0</v>
      </c>
      <c r="AX20" s="7"/>
      <c r="AY20" s="7"/>
      <c r="AZ20" s="89"/>
      <c r="BA20" s="7"/>
      <c r="BB20" s="7"/>
      <c r="BC20" s="7"/>
      <c r="BD20" s="7"/>
      <c r="BE20" s="89"/>
      <c r="BF20" s="7"/>
      <c r="BG20" s="7"/>
      <c r="BH20" s="7"/>
      <c r="BI20" s="7"/>
      <c r="BJ20" s="7"/>
      <c r="BK20" s="7"/>
      <c r="BL20" s="7"/>
      <c r="BM20" s="7"/>
      <c r="BN20" s="7"/>
      <c r="BO20" s="7"/>
      <c r="BP20" s="7"/>
      <c r="BQ20" s="7"/>
      <c r="BR20" s="7"/>
      <c r="BS20" s="7"/>
      <c r="BT20" s="89"/>
      <c r="BU20" s="89"/>
      <c r="BV20" s="89"/>
      <c r="BW20" s="89"/>
      <c r="BX20" s="89"/>
      <c r="BY20" s="89"/>
      <c r="BZ20" s="7"/>
      <c r="CA20" s="7"/>
      <c r="CB20" s="7"/>
      <c r="CC20" s="7"/>
      <c r="CD20" s="7"/>
      <c r="CE20" s="7"/>
      <c r="CF20" s="89"/>
      <c r="CG20" s="89"/>
      <c r="CH20" s="7"/>
      <c r="CI20" s="7"/>
      <c r="CJ20" s="7"/>
      <c r="CK20" s="7"/>
      <c r="CL20" s="7"/>
      <c r="CM20" s="7"/>
      <c r="CN20" s="7"/>
      <c r="CO20" s="7"/>
      <c r="CP20" s="7"/>
      <c r="CQ20" s="7"/>
      <c r="CR20" s="7"/>
      <c r="CS20" s="7"/>
      <c r="CT20" s="7"/>
      <c r="CU20" s="7"/>
      <c r="CV20" s="89"/>
      <c r="CW20" s="89"/>
      <c r="CX20" s="89"/>
      <c r="CY20" s="89"/>
      <c r="CZ20" s="89"/>
      <c r="DA20" s="89"/>
      <c r="DB20" s="7"/>
      <c r="DC20" s="7"/>
      <c r="DD20" s="7"/>
      <c r="DE20" s="7"/>
      <c r="DF20" s="7"/>
      <c r="DG20" s="7"/>
      <c r="DH20" s="89"/>
      <c r="DI20" s="89"/>
      <c r="DJ20" s="89"/>
      <c r="DK20" s="89"/>
      <c r="DL20" s="7"/>
      <c r="DM20" s="7"/>
      <c r="DN20" s="7"/>
      <c r="DO20" s="7"/>
      <c r="DP20" s="7"/>
      <c r="DQ20" s="7"/>
      <c r="DR20" s="7"/>
      <c r="DS20" s="7"/>
      <c r="DT20" s="7"/>
      <c r="DU20" s="7"/>
      <c r="DV20" s="7"/>
      <c r="DW20" s="7"/>
      <c r="DX20" s="7"/>
      <c r="DY20" s="7"/>
      <c r="DZ20" s="89"/>
      <c r="EA20" s="89"/>
      <c r="EB20" s="89"/>
      <c r="EC20" s="89"/>
      <c r="ED20" s="89"/>
      <c r="EE20" s="89"/>
      <c r="EF20" s="7"/>
      <c r="EG20" s="7"/>
      <c r="EH20" s="7"/>
      <c r="EI20" s="7"/>
      <c r="EJ20" s="7"/>
      <c r="EK20" s="7"/>
      <c r="EL20" s="89"/>
      <c r="EM20" s="89"/>
      <c r="EN20" s="7"/>
      <c r="EO20" s="7"/>
      <c r="EP20" s="89"/>
      <c r="EQ20" s="89"/>
      <c r="ES20" s="7">
        <v>0.0</v>
      </c>
      <c r="ET20" s="7">
        <v>0.0</v>
      </c>
      <c r="EU20" s="7">
        <v>0.0</v>
      </c>
      <c r="EW20" s="7">
        <v>0.0</v>
      </c>
      <c r="EX20" s="7">
        <v>0.0</v>
      </c>
      <c r="EY20" s="7">
        <v>0.0</v>
      </c>
      <c r="EZ20" s="7">
        <v>0.0</v>
      </c>
      <c r="FA20" s="7">
        <v>0.0</v>
      </c>
      <c r="FC20" s="7"/>
      <c r="FD20" s="7"/>
      <c r="FE20" s="89"/>
      <c r="FF20" s="7"/>
      <c r="FG20" s="89"/>
      <c r="FH20" s="7"/>
      <c r="FI20" s="7"/>
      <c r="FJ20" s="7"/>
      <c r="FK20" s="7"/>
      <c r="FL20" s="7"/>
      <c r="FM20" s="7"/>
      <c r="FN20" s="7"/>
      <c r="FO20" s="89"/>
      <c r="FP20" s="89"/>
      <c r="FQ20" s="89"/>
      <c r="FR20" s="7"/>
      <c r="FS20" s="7"/>
      <c r="FT20" s="7"/>
      <c r="FU20" s="89"/>
      <c r="FV20" s="7"/>
      <c r="FW20" s="89"/>
      <c r="FX20" s="7"/>
      <c r="FY20" s="7"/>
      <c r="FZ20" s="7"/>
      <c r="GA20" s="7"/>
      <c r="GB20" s="7"/>
      <c r="GC20" s="7"/>
      <c r="GD20" s="89"/>
      <c r="GE20" s="89"/>
      <c r="GF20" s="89"/>
      <c r="GG20" s="89"/>
      <c r="GH20" s="7"/>
      <c r="GI20" s="7"/>
      <c r="GJ20" s="89"/>
      <c r="GK20" s="89"/>
      <c r="GL20" s="7"/>
      <c r="GM20" s="89"/>
      <c r="GN20" s="89"/>
      <c r="GO20" s="89"/>
      <c r="GP20" s="89"/>
      <c r="GQ20" s="89"/>
      <c r="GR20" s="89">
        <v>19.0</v>
      </c>
    </row>
    <row r="21">
      <c r="A21" s="5">
        <v>45777.40380787037</v>
      </c>
      <c r="B21" s="86">
        <v>45746.0</v>
      </c>
      <c r="C21" s="86">
        <v>45747.0</v>
      </c>
      <c r="D21" s="7" t="s">
        <v>41</v>
      </c>
      <c r="E21" s="87"/>
      <c r="F21" s="88">
        <v>2.0</v>
      </c>
      <c r="G21" s="7" t="s">
        <v>70</v>
      </c>
      <c r="H21" s="7" t="s">
        <v>76</v>
      </c>
      <c r="I21" s="7"/>
      <c r="J21" s="7"/>
      <c r="K21" s="7"/>
      <c r="L21" s="7"/>
      <c r="M21" s="7"/>
      <c r="N21" s="7"/>
      <c r="O21" s="7"/>
      <c r="P21" s="7"/>
      <c r="Q21" s="7"/>
      <c r="R21" s="7"/>
      <c r="S21" s="7"/>
      <c r="T21" s="7"/>
      <c r="U21" s="7"/>
      <c r="V21" s="7"/>
      <c r="W21" s="7"/>
      <c r="X21" s="7"/>
      <c r="Y21" s="7"/>
      <c r="Z21" s="7"/>
      <c r="AA21" s="7"/>
      <c r="AB21" s="7"/>
      <c r="AC21" s="7"/>
      <c r="AD21" s="7"/>
      <c r="AE21" s="7">
        <v>0.0</v>
      </c>
      <c r="AF21" s="7"/>
      <c r="AG21" s="7"/>
      <c r="AH21" s="7">
        <v>0.0</v>
      </c>
      <c r="AI21" s="7"/>
      <c r="AJ21" s="7"/>
      <c r="AK21" s="7">
        <v>0.0</v>
      </c>
      <c r="AL21" s="7"/>
      <c r="AM21" s="7"/>
      <c r="AN21" s="7">
        <v>350.0</v>
      </c>
      <c r="AO21" s="7"/>
      <c r="AP21" s="7"/>
      <c r="AQ21" s="7">
        <v>0.0</v>
      </c>
      <c r="AR21" s="7"/>
      <c r="AS21" s="7"/>
      <c r="AT21" s="7">
        <v>0.0</v>
      </c>
      <c r="AU21" s="7"/>
      <c r="AV21" s="7"/>
      <c r="AW21" s="7">
        <v>0.0</v>
      </c>
      <c r="AX21" s="7"/>
      <c r="AY21" s="7"/>
      <c r="AZ21" s="89"/>
      <c r="BA21" s="7"/>
      <c r="BB21" s="7"/>
      <c r="BC21" s="7"/>
      <c r="BD21" s="7"/>
      <c r="BE21" s="89"/>
      <c r="BF21" s="7"/>
      <c r="BG21" s="7"/>
      <c r="BH21" s="7"/>
      <c r="BI21" s="7"/>
      <c r="BJ21" s="7"/>
      <c r="BK21" s="7"/>
      <c r="BL21" s="7"/>
      <c r="BM21" s="7"/>
      <c r="BN21" s="7"/>
      <c r="BO21" s="7"/>
      <c r="BP21" s="7"/>
      <c r="BQ21" s="7"/>
      <c r="BR21" s="7"/>
      <c r="BS21" s="7"/>
      <c r="BT21" s="89"/>
      <c r="BU21" s="89"/>
      <c r="BV21" s="89"/>
      <c r="BW21" s="89"/>
      <c r="BX21" s="89"/>
      <c r="BY21" s="89"/>
      <c r="BZ21" s="7"/>
      <c r="CA21" s="7"/>
      <c r="CB21" s="7"/>
      <c r="CC21" s="7"/>
      <c r="CD21" s="7"/>
      <c r="CE21" s="7"/>
      <c r="CF21" s="89"/>
      <c r="CG21" s="89"/>
      <c r="CH21" s="7"/>
      <c r="CI21" s="7"/>
      <c r="CJ21" s="7"/>
      <c r="CK21" s="7"/>
      <c r="CL21" s="7"/>
      <c r="CM21" s="7"/>
      <c r="CN21" s="7"/>
      <c r="CO21" s="7"/>
      <c r="CP21" s="7"/>
      <c r="CQ21" s="7"/>
      <c r="CR21" s="7"/>
      <c r="CS21" s="7"/>
      <c r="CT21" s="7"/>
      <c r="CU21" s="7"/>
      <c r="CV21" s="89"/>
      <c r="CW21" s="89"/>
      <c r="CX21" s="89"/>
      <c r="CY21" s="89"/>
      <c r="CZ21" s="89"/>
      <c r="DA21" s="89"/>
      <c r="DB21" s="7"/>
      <c r="DC21" s="7"/>
      <c r="DD21" s="7"/>
      <c r="DE21" s="7"/>
      <c r="DF21" s="7"/>
      <c r="DG21" s="7"/>
      <c r="DH21" s="89"/>
      <c r="DI21" s="89"/>
      <c r="DJ21" s="89"/>
      <c r="DK21" s="89"/>
      <c r="DL21" s="7"/>
      <c r="DM21" s="7"/>
      <c r="DN21" s="7"/>
      <c r="DO21" s="7"/>
      <c r="DP21" s="7"/>
      <c r="DQ21" s="7"/>
      <c r="DR21" s="7"/>
      <c r="DS21" s="7"/>
      <c r="DT21" s="7"/>
      <c r="DU21" s="7"/>
      <c r="DV21" s="7"/>
      <c r="DW21" s="7"/>
      <c r="DX21" s="7"/>
      <c r="DY21" s="7"/>
      <c r="DZ21" s="89"/>
      <c r="EA21" s="89"/>
      <c r="EB21" s="89"/>
      <c r="EC21" s="89"/>
      <c r="ED21" s="89"/>
      <c r="EE21" s="89"/>
      <c r="EF21" s="7"/>
      <c r="EG21" s="7"/>
      <c r="EH21" s="7"/>
      <c r="EI21" s="7"/>
      <c r="EJ21" s="7"/>
      <c r="EK21" s="7"/>
      <c r="EL21" s="89"/>
      <c r="EM21" s="89"/>
      <c r="EN21" s="7"/>
      <c r="EO21" s="7"/>
      <c r="EP21" s="89"/>
      <c r="EQ21" s="89"/>
      <c r="ER21" s="7">
        <v>64.0</v>
      </c>
      <c r="ES21" s="7">
        <v>0.0</v>
      </c>
      <c r="ET21" s="7">
        <v>20.0</v>
      </c>
      <c r="EU21" s="7">
        <v>62.0</v>
      </c>
      <c r="EV21" s="7">
        <v>12.0</v>
      </c>
      <c r="EW21" s="7">
        <v>0.0</v>
      </c>
      <c r="EX21" s="7">
        <v>0.0</v>
      </c>
      <c r="EY21" s="7">
        <v>0.0</v>
      </c>
      <c r="EZ21" s="7">
        <v>0.0</v>
      </c>
      <c r="FA21" s="7">
        <v>0.0</v>
      </c>
      <c r="FB21" s="7">
        <v>122.0</v>
      </c>
      <c r="FC21" s="7">
        <v>12.0</v>
      </c>
      <c r="FD21" s="7"/>
      <c r="FE21" s="89"/>
      <c r="FF21" s="7"/>
      <c r="FG21" s="89"/>
      <c r="FH21" s="7"/>
      <c r="FI21" s="7"/>
      <c r="FJ21" s="7"/>
      <c r="FK21" s="7"/>
      <c r="FL21" s="7"/>
      <c r="FM21" s="7"/>
      <c r="FN21" s="7"/>
      <c r="FO21" s="89"/>
      <c r="FP21" s="89"/>
      <c r="FQ21" s="89"/>
      <c r="FR21" s="7"/>
      <c r="FS21" s="7"/>
      <c r="FT21" s="7"/>
      <c r="FU21" s="89"/>
      <c r="FV21" s="7"/>
      <c r="FW21" s="89"/>
      <c r="FX21" s="7"/>
      <c r="FY21" s="7"/>
      <c r="FZ21" s="7"/>
      <c r="GA21" s="7"/>
      <c r="GB21" s="7"/>
      <c r="GC21" s="7"/>
      <c r="GD21" s="89"/>
      <c r="GE21" s="89"/>
      <c r="GF21" s="89"/>
      <c r="GG21" s="89"/>
      <c r="GH21" s="7"/>
      <c r="GI21" s="7"/>
      <c r="GJ21" s="89"/>
      <c r="GK21" s="89"/>
      <c r="GL21" s="7"/>
      <c r="GM21" s="89"/>
      <c r="GN21" s="89"/>
      <c r="GO21" s="89"/>
      <c r="GP21" s="89"/>
      <c r="GQ21" s="89"/>
      <c r="GR21" s="89">
        <v>20.0</v>
      </c>
    </row>
    <row r="22">
      <c r="A22" s="5">
        <v>45777.40392361111</v>
      </c>
      <c r="B22" s="86">
        <v>45746.0</v>
      </c>
      <c r="C22" s="86">
        <v>45747.0</v>
      </c>
      <c r="D22" s="7" t="s">
        <v>258</v>
      </c>
      <c r="E22" s="87"/>
      <c r="F22" s="88">
        <v>2.0</v>
      </c>
      <c r="G22" s="7" t="s">
        <v>70</v>
      </c>
      <c r="H22" s="7" t="s">
        <v>76</v>
      </c>
      <c r="I22" s="7"/>
      <c r="J22" s="7"/>
      <c r="K22" s="7"/>
      <c r="L22" s="7"/>
      <c r="M22" s="7"/>
      <c r="N22" s="7"/>
      <c r="O22" s="7"/>
      <c r="P22" s="7"/>
      <c r="Q22" s="7"/>
      <c r="R22" s="7"/>
      <c r="S22" s="7"/>
      <c r="T22" s="7"/>
      <c r="U22" s="7"/>
      <c r="V22" s="7"/>
      <c r="W22" s="7"/>
      <c r="X22" s="7"/>
      <c r="Y22" s="7"/>
      <c r="Z22" s="7"/>
      <c r="AA22" s="7"/>
      <c r="AB22" s="7"/>
      <c r="AC22" s="7"/>
      <c r="AD22" s="7"/>
      <c r="AE22" s="7">
        <v>0.0</v>
      </c>
      <c r="AF22" s="7"/>
      <c r="AG22" s="7"/>
      <c r="AH22" s="7">
        <v>0.0</v>
      </c>
      <c r="AI22" s="7"/>
      <c r="AJ22" s="7"/>
      <c r="AK22" s="7">
        <v>0.0</v>
      </c>
      <c r="AL22" s="7"/>
      <c r="AM22" s="7"/>
      <c r="AN22" s="7">
        <v>340.0</v>
      </c>
      <c r="AO22" s="7"/>
      <c r="AP22" s="7"/>
      <c r="AQ22" s="7">
        <v>0.0</v>
      </c>
      <c r="AR22" s="7"/>
      <c r="AS22" s="7"/>
      <c r="AT22" s="7">
        <v>0.0</v>
      </c>
      <c r="AU22" s="7"/>
      <c r="AV22" s="7"/>
      <c r="AW22" s="7">
        <v>0.0</v>
      </c>
      <c r="AX22" s="7"/>
      <c r="AY22" s="7"/>
      <c r="AZ22" s="89"/>
      <c r="BA22" s="7"/>
      <c r="BB22" s="7"/>
      <c r="BC22" s="7"/>
      <c r="BD22" s="7"/>
      <c r="BE22" s="89"/>
      <c r="BF22" s="7"/>
      <c r="BG22" s="7"/>
      <c r="BH22" s="7"/>
      <c r="BI22" s="7"/>
      <c r="BJ22" s="7"/>
      <c r="BK22" s="7"/>
      <c r="BL22" s="7"/>
      <c r="BM22" s="7"/>
      <c r="BN22" s="7"/>
      <c r="BO22" s="7"/>
      <c r="BP22" s="7"/>
      <c r="BQ22" s="7"/>
      <c r="BR22" s="7"/>
      <c r="BS22" s="7"/>
      <c r="BT22" s="89"/>
      <c r="BU22" s="89"/>
      <c r="BV22" s="89"/>
      <c r="BW22" s="89"/>
      <c r="BX22" s="89"/>
      <c r="BY22" s="89"/>
      <c r="BZ22" s="7"/>
      <c r="CA22" s="7"/>
      <c r="CB22" s="7"/>
      <c r="CC22" s="7"/>
      <c r="CD22" s="7"/>
      <c r="CE22" s="7"/>
      <c r="CF22" s="89"/>
      <c r="CG22" s="89"/>
      <c r="CH22" s="7"/>
      <c r="CI22" s="7"/>
      <c r="CJ22" s="7"/>
      <c r="CK22" s="7"/>
      <c r="CL22" s="7"/>
      <c r="CM22" s="7"/>
      <c r="CN22" s="7"/>
      <c r="CO22" s="7"/>
      <c r="CP22" s="7"/>
      <c r="CQ22" s="7"/>
      <c r="CR22" s="7"/>
      <c r="CS22" s="7"/>
      <c r="CT22" s="7"/>
      <c r="CU22" s="7"/>
      <c r="CV22" s="89"/>
      <c r="CW22" s="89"/>
      <c r="CX22" s="89"/>
      <c r="CY22" s="89"/>
      <c r="CZ22" s="89"/>
      <c r="DA22" s="89"/>
      <c r="DB22" s="7"/>
      <c r="DC22" s="7"/>
      <c r="DD22" s="7"/>
      <c r="DE22" s="7"/>
      <c r="DF22" s="7"/>
      <c r="DG22" s="7"/>
      <c r="DH22" s="89"/>
      <c r="DI22" s="89"/>
      <c r="DJ22" s="89"/>
      <c r="DK22" s="89"/>
      <c r="DL22" s="7"/>
      <c r="DM22" s="7"/>
      <c r="DN22" s="7"/>
      <c r="DO22" s="7"/>
      <c r="DP22" s="7"/>
      <c r="DQ22" s="7"/>
      <c r="DR22" s="7"/>
      <c r="DS22" s="7"/>
      <c r="DT22" s="7"/>
      <c r="DU22" s="7"/>
      <c r="DV22" s="7"/>
      <c r="DW22" s="7"/>
      <c r="DX22" s="7"/>
      <c r="DY22" s="7"/>
      <c r="DZ22" s="89"/>
      <c r="EA22" s="89"/>
      <c r="EB22" s="89"/>
      <c r="EC22" s="89"/>
      <c r="ED22" s="89"/>
      <c r="EE22" s="89"/>
      <c r="EF22" s="7"/>
      <c r="EG22" s="7"/>
      <c r="EH22" s="7"/>
      <c r="EI22" s="7"/>
      <c r="EJ22" s="7"/>
      <c r="EK22" s="7"/>
      <c r="EL22" s="89"/>
      <c r="EM22" s="89"/>
      <c r="EN22" s="7"/>
      <c r="EO22" s="7"/>
      <c r="EP22" s="89"/>
      <c r="EQ22" s="89"/>
      <c r="ES22" s="7">
        <v>0.0</v>
      </c>
      <c r="ET22" s="7">
        <v>0.0</v>
      </c>
      <c r="EU22" s="7">
        <v>0.0</v>
      </c>
      <c r="EW22" s="7">
        <v>0.0</v>
      </c>
      <c r="EX22" s="7">
        <v>0.0</v>
      </c>
      <c r="EY22" s="7">
        <v>0.0</v>
      </c>
      <c r="EZ22" s="7">
        <v>0.0</v>
      </c>
      <c r="FA22" s="7">
        <v>0.0</v>
      </c>
      <c r="FB22" s="7">
        <v>0.0</v>
      </c>
      <c r="FC22" s="7"/>
      <c r="FD22" s="7"/>
      <c r="FE22" s="89"/>
      <c r="FF22" s="7"/>
      <c r="FG22" s="89"/>
      <c r="FH22" s="7"/>
      <c r="FI22" s="7"/>
      <c r="FJ22" s="7"/>
      <c r="FK22" s="7"/>
      <c r="FL22" s="7"/>
      <c r="FM22" s="7"/>
      <c r="FN22" s="7"/>
      <c r="FO22" s="89"/>
      <c r="FP22" s="89"/>
      <c r="FQ22" s="89"/>
      <c r="FR22" s="7"/>
      <c r="FS22" s="7"/>
      <c r="FT22" s="7"/>
      <c r="FU22" s="89"/>
      <c r="FV22" s="7"/>
      <c r="FW22" s="89"/>
      <c r="FX22" s="7"/>
      <c r="FY22" s="7"/>
      <c r="FZ22" s="7"/>
      <c r="GA22" s="7"/>
      <c r="GB22" s="7"/>
      <c r="GC22" s="7"/>
      <c r="GD22" s="89"/>
      <c r="GE22" s="89"/>
      <c r="GF22" s="89"/>
      <c r="GG22" s="89"/>
      <c r="GH22" s="7"/>
      <c r="GI22" s="7"/>
      <c r="GJ22" s="89"/>
      <c r="GK22" s="89"/>
      <c r="GL22" s="7"/>
      <c r="GM22" s="89"/>
      <c r="GN22" s="89"/>
      <c r="GO22" s="89"/>
      <c r="GP22" s="89"/>
      <c r="GQ22" s="89"/>
      <c r="GR22" s="89">
        <v>21.0</v>
      </c>
    </row>
    <row r="23">
      <c r="A23" s="5">
        <v>45777.40403935185</v>
      </c>
      <c r="B23" s="86">
        <v>45746.0</v>
      </c>
      <c r="C23" s="86">
        <v>45747.0</v>
      </c>
      <c r="D23" s="7" t="s">
        <v>269</v>
      </c>
      <c r="E23" s="87"/>
      <c r="F23" s="88">
        <v>2.0</v>
      </c>
      <c r="G23" s="7" t="s">
        <v>70</v>
      </c>
      <c r="H23" s="7" t="s">
        <v>76</v>
      </c>
      <c r="I23" s="7"/>
      <c r="J23" s="7"/>
      <c r="K23" s="7"/>
      <c r="L23" s="7"/>
      <c r="M23" s="7"/>
      <c r="N23" s="7"/>
      <c r="O23" s="7"/>
      <c r="P23" s="7"/>
      <c r="Q23" s="7"/>
      <c r="R23" s="7"/>
      <c r="S23" s="7"/>
      <c r="T23" s="7"/>
      <c r="U23" s="7"/>
      <c r="V23" s="7"/>
      <c r="W23" s="7"/>
      <c r="X23" s="7"/>
      <c r="Y23" s="7"/>
      <c r="Z23" s="7"/>
      <c r="AA23" s="7"/>
      <c r="AB23" s="7"/>
      <c r="AC23" s="7"/>
      <c r="AD23" s="7"/>
      <c r="AE23" s="7">
        <v>0.0</v>
      </c>
      <c r="AF23" s="7"/>
      <c r="AG23" s="7"/>
      <c r="AH23" s="7">
        <v>0.0</v>
      </c>
      <c r="AI23" s="7"/>
      <c r="AJ23" s="7"/>
      <c r="AK23" s="7">
        <v>0.0</v>
      </c>
      <c r="AL23" s="7"/>
      <c r="AM23" s="7"/>
      <c r="AN23" s="7">
        <v>430.0</v>
      </c>
      <c r="AO23" s="7"/>
      <c r="AP23" s="7"/>
      <c r="AQ23" s="7">
        <v>0.0</v>
      </c>
      <c r="AR23" s="7"/>
      <c r="AS23" s="7"/>
      <c r="AT23" s="7">
        <v>0.0</v>
      </c>
      <c r="AU23" s="7"/>
      <c r="AV23" s="7"/>
      <c r="AW23" s="7">
        <v>0.0</v>
      </c>
      <c r="AX23" s="7"/>
      <c r="AY23" s="7"/>
      <c r="AZ23" s="89"/>
      <c r="BA23" s="7"/>
      <c r="BB23" s="7"/>
      <c r="BC23" s="7"/>
      <c r="BD23" s="7"/>
      <c r="BE23" s="89"/>
      <c r="BF23" s="7"/>
      <c r="BG23" s="7"/>
      <c r="BH23" s="7"/>
      <c r="BI23" s="7"/>
      <c r="BJ23" s="7"/>
      <c r="BK23" s="7"/>
      <c r="BL23" s="7"/>
      <c r="BM23" s="7"/>
      <c r="BN23" s="7"/>
      <c r="BO23" s="7"/>
      <c r="BP23" s="7"/>
      <c r="BQ23" s="7"/>
      <c r="BR23" s="7"/>
      <c r="BS23" s="7"/>
      <c r="BT23" s="89"/>
      <c r="BU23" s="89"/>
      <c r="BV23" s="89"/>
      <c r="BW23" s="89"/>
      <c r="BX23" s="89"/>
      <c r="BY23" s="89"/>
      <c r="BZ23" s="7"/>
      <c r="CA23" s="7"/>
      <c r="CB23" s="7"/>
      <c r="CC23" s="7"/>
      <c r="CD23" s="7"/>
      <c r="CE23" s="7"/>
      <c r="CF23" s="89"/>
      <c r="CG23" s="89"/>
      <c r="CH23" s="7"/>
      <c r="CI23" s="7"/>
      <c r="CJ23" s="7"/>
      <c r="CK23" s="7"/>
      <c r="CL23" s="7"/>
      <c r="CM23" s="7"/>
      <c r="CN23" s="7"/>
      <c r="CO23" s="7"/>
      <c r="CP23" s="7"/>
      <c r="CQ23" s="7"/>
      <c r="CR23" s="7"/>
      <c r="CS23" s="7"/>
      <c r="CT23" s="7"/>
      <c r="CU23" s="7"/>
      <c r="CV23" s="89"/>
      <c r="CW23" s="89"/>
      <c r="CX23" s="89"/>
      <c r="CY23" s="89"/>
      <c r="CZ23" s="89"/>
      <c r="DA23" s="89"/>
      <c r="DB23" s="7"/>
      <c r="DC23" s="7"/>
      <c r="DD23" s="7"/>
      <c r="DE23" s="7"/>
      <c r="DF23" s="7"/>
      <c r="DG23" s="7"/>
      <c r="DH23" s="89"/>
      <c r="DI23" s="89"/>
      <c r="DJ23" s="89"/>
      <c r="DK23" s="89"/>
      <c r="DL23" s="7"/>
      <c r="DM23" s="7"/>
      <c r="DN23" s="7"/>
      <c r="DO23" s="7"/>
      <c r="DP23" s="7"/>
      <c r="DQ23" s="7"/>
      <c r="DR23" s="7"/>
      <c r="DS23" s="7"/>
      <c r="DT23" s="7"/>
      <c r="DU23" s="7"/>
      <c r="DV23" s="7"/>
      <c r="DW23" s="7"/>
      <c r="DX23" s="7"/>
      <c r="DY23" s="7"/>
      <c r="DZ23" s="89"/>
      <c r="EA23" s="89"/>
      <c r="EB23" s="89"/>
      <c r="EC23" s="89"/>
      <c r="ED23" s="89"/>
      <c r="EE23" s="89"/>
      <c r="EF23" s="7"/>
      <c r="EG23" s="7"/>
      <c r="EH23" s="7"/>
      <c r="EI23" s="7"/>
      <c r="EJ23" s="7"/>
      <c r="EK23" s="7"/>
      <c r="EL23" s="89"/>
      <c r="EM23" s="89"/>
      <c r="EN23" s="7"/>
      <c r="EO23" s="7"/>
      <c r="EP23" s="89"/>
      <c r="EQ23" s="89"/>
      <c r="ES23" s="7">
        <v>0.0</v>
      </c>
      <c r="ET23" s="7">
        <v>0.0</v>
      </c>
      <c r="EU23" s="7">
        <v>0.0</v>
      </c>
      <c r="EW23" s="7">
        <v>0.0</v>
      </c>
      <c r="EX23" s="7">
        <v>0.0</v>
      </c>
      <c r="EY23" s="7">
        <v>0.0</v>
      </c>
      <c r="EZ23" s="7">
        <v>0.0</v>
      </c>
      <c r="FA23" s="7">
        <v>0.0</v>
      </c>
      <c r="FB23" s="7">
        <v>0.0</v>
      </c>
      <c r="FC23" s="7"/>
      <c r="FD23" s="7"/>
      <c r="FE23" s="89"/>
      <c r="FF23" s="7"/>
      <c r="FG23" s="89"/>
      <c r="FH23" s="7"/>
      <c r="FI23" s="7"/>
      <c r="FJ23" s="7"/>
      <c r="FK23" s="7"/>
      <c r="FL23" s="7"/>
      <c r="FM23" s="7"/>
      <c r="FN23" s="7"/>
      <c r="FO23" s="89"/>
      <c r="FP23" s="89"/>
      <c r="FQ23" s="89"/>
      <c r="FR23" s="7"/>
      <c r="FS23" s="7"/>
      <c r="FT23" s="7"/>
      <c r="FU23" s="89"/>
      <c r="FV23" s="7"/>
      <c r="FW23" s="89"/>
      <c r="FX23" s="7"/>
      <c r="FY23" s="7"/>
      <c r="FZ23" s="7"/>
      <c r="GA23" s="7"/>
      <c r="GB23" s="7"/>
      <c r="GC23" s="7"/>
      <c r="GD23" s="89"/>
      <c r="GE23" s="89"/>
      <c r="GF23" s="89"/>
      <c r="GG23" s="89"/>
      <c r="GH23" s="7"/>
      <c r="GI23" s="7"/>
      <c r="GJ23" s="89"/>
      <c r="GK23" s="89"/>
      <c r="GL23" s="7"/>
      <c r="GM23" s="89"/>
      <c r="GN23" s="89"/>
      <c r="GO23" s="89"/>
      <c r="GP23" s="89"/>
      <c r="GQ23" s="89"/>
      <c r="GR23" s="89">
        <v>22.0</v>
      </c>
    </row>
    <row r="24">
      <c r="A24" s="5">
        <v>45777.40415509259</v>
      </c>
      <c r="B24" s="86">
        <v>45746.0</v>
      </c>
      <c r="C24" s="86">
        <v>45747.0</v>
      </c>
      <c r="D24" s="7" t="s">
        <v>42</v>
      </c>
      <c r="E24" s="87"/>
      <c r="F24" s="88">
        <v>2.0</v>
      </c>
      <c r="G24" s="7" t="s">
        <v>70</v>
      </c>
      <c r="H24" s="7" t="s">
        <v>76</v>
      </c>
      <c r="I24" s="7"/>
      <c r="J24" s="7"/>
      <c r="K24" s="7"/>
      <c r="L24" s="7"/>
      <c r="M24" s="7"/>
      <c r="N24" s="7"/>
      <c r="O24" s="7"/>
      <c r="P24" s="7"/>
      <c r="Q24" s="7"/>
      <c r="R24" s="7"/>
      <c r="S24" s="7"/>
      <c r="T24" s="7"/>
      <c r="U24" s="7"/>
      <c r="V24" s="7"/>
      <c r="W24" s="7"/>
      <c r="X24" s="7"/>
      <c r="Y24" s="7"/>
      <c r="Z24" s="7"/>
      <c r="AA24" s="7"/>
      <c r="AB24" s="7"/>
      <c r="AC24" s="7"/>
      <c r="AD24" s="7"/>
      <c r="AE24" s="7">
        <v>0.0</v>
      </c>
      <c r="AF24" s="7"/>
      <c r="AG24" s="7"/>
      <c r="AH24" s="7">
        <v>0.0</v>
      </c>
      <c r="AI24" s="7"/>
      <c r="AJ24" s="7"/>
      <c r="AK24" s="7">
        <v>0.0</v>
      </c>
      <c r="AL24" s="7"/>
      <c r="AM24" s="7"/>
      <c r="AN24" s="7">
        <v>330.0</v>
      </c>
      <c r="AO24" s="7"/>
      <c r="AP24" s="7"/>
      <c r="AQ24" s="7">
        <v>0.0</v>
      </c>
      <c r="AR24" s="7"/>
      <c r="AS24" s="7"/>
      <c r="AT24" s="7">
        <v>0.0</v>
      </c>
      <c r="AU24" s="7"/>
      <c r="AV24" s="7"/>
      <c r="AW24" s="7">
        <v>0.0</v>
      </c>
      <c r="AX24" s="7"/>
      <c r="AY24" s="7"/>
      <c r="AZ24" s="89"/>
      <c r="BA24" s="7"/>
      <c r="BB24" s="7"/>
      <c r="BC24" s="7"/>
      <c r="BD24" s="7"/>
      <c r="BE24" s="89"/>
      <c r="BF24" s="7"/>
      <c r="BG24" s="7"/>
      <c r="BH24" s="7"/>
      <c r="BI24" s="7"/>
      <c r="BJ24" s="7"/>
      <c r="BK24" s="7"/>
      <c r="BL24" s="7"/>
      <c r="BM24" s="7"/>
      <c r="BN24" s="7"/>
      <c r="BO24" s="7"/>
      <c r="BP24" s="7"/>
      <c r="BQ24" s="7"/>
      <c r="BR24" s="7"/>
      <c r="BS24" s="7"/>
      <c r="BT24" s="89"/>
      <c r="BU24" s="89"/>
      <c r="BV24" s="89"/>
      <c r="BW24" s="89"/>
      <c r="BX24" s="89"/>
      <c r="BY24" s="89"/>
      <c r="BZ24" s="7"/>
      <c r="CA24" s="7"/>
      <c r="CB24" s="7"/>
      <c r="CC24" s="7"/>
      <c r="CD24" s="7"/>
      <c r="CE24" s="7"/>
      <c r="CF24" s="89"/>
      <c r="CG24" s="89"/>
      <c r="CH24" s="7"/>
      <c r="CI24" s="7"/>
      <c r="CJ24" s="7"/>
      <c r="CK24" s="7"/>
      <c r="CL24" s="7"/>
      <c r="CM24" s="7"/>
      <c r="CN24" s="7"/>
      <c r="CO24" s="7"/>
      <c r="CP24" s="7"/>
      <c r="CQ24" s="7"/>
      <c r="CR24" s="7"/>
      <c r="CS24" s="7"/>
      <c r="CT24" s="7"/>
      <c r="CU24" s="7"/>
      <c r="CV24" s="89"/>
      <c r="CW24" s="89"/>
      <c r="CX24" s="89"/>
      <c r="CY24" s="89"/>
      <c r="CZ24" s="89"/>
      <c r="DA24" s="89"/>
      <c r="DB24" s="7"/>
      <c r="DC24" s="7"/>
      <c r="DD24" s="7"/>
      <c r="DE24" s="7"/>
      <c r="DF24" s="7"/>
      <c r="DG24" s="7"/>
      <c r="DH24" s="89"/>
      <c r="DI24" s="89"/>
      <c r="DJ24" s="89"/>
      <c r="DK24" s="89"/>
      <c r="DL24" s="7"/>
      <c r="DM24" s="7"/>
      <c r="DN24" s="7"/>
      <c r="DO24" s="7"/>
      <c r="DP24" s="7"/>
      <c r="DQ24" s="7"/>
      <c r="DR24" s="7"/>
      <c r="DS24" s="7"/>
      <c r="DT24" s="7"/>
      <c r="DU24" s="7"/>
      <c r="DV24" s="7"/>
      <c r="DW24" s="7"/>
      <c r="DX24" s="7"/>
      <c r="DY24" s="7"/>
      <c r="DZ24" s="89"/>
      <c r="EA24" s="89"/>
      <c r="EB24" s="89"/>
      <c r="EC24" s="89"/>
      <c r="ED24" s="89"/>
      <c r="EE24" s="89"/>
      <c r="EF24" s="7"/>
      <c r="EG24" s="7"/>
      <c r="EH24" s="7"/>
      <c r="EI24" s="7"/>
      <c r="EJ24" s="7"/>
      <c r="EK24" s="7"/>
      <c r="EL24" s="89"/>
      <c r="EM24" s="89"/>
      <c r="EN24" s="7"/>
      <c r="EO24" s="7"/>
      <c r="EP24" s="89"/>
      <c r="EQ24" s="89"/>
      <c r="ES24" s="7">
        <v>0.0</v>
      </c>
      <c r="ET24" s="7">
        <v>0.0</v>
      </c>
      <c r="EU24" s="7">
        <v>0.0</v>
      </c>
      <c r="EW24" s="7">
        <v>0.0</v>
      </c>
      <c r="EX24" s="7">
        <v>0.0</v>
      </c>
      <c r="EY24" s="7">
        <v>0.0</v>
      </c>
      <c r="EZ24" s="7">
        <v>0.0</v>
      </c>
      <c r="FA24" s="7">
        <v>0.0</v>
      </c>
      <c r="FB24" s="7">
        <v>0.0</v>
      </c>
      <c r="FC24" s="7"/>
      <c r="FD24" s="7"/>
      <c r="FE24" s="89"/>
      <c r="FF24" s="7"/>
      <c r="FG24" s="89"/>
      <c r="FH24" s="7"/>
      <c r="FI24" s="7"/>
      <c r="FJ24" s="7"/>
      <c r="FK24" s="7"/>
      <c r="FL24" s="7"/>
      <c r="FM24" s="7"/>
      <c r="FN24" s="7"/>
      <c r="FO24" s="89"/>
      <c r="FP24" s="89"/>
      <c r="FQ24" s="89"/>
      <c r="FR24" s="7"/>
      <c r="FS24" s="7"/>
      <c r="FT24" s="7"/>
      <c r="FU24" s="89"/>
      <c r="FV24" s="7"/>
      <c r="FW24" s="89"/>
      <c r="FX24" s="7"/>
      <c r="FY24" s="7"/>
      <c r="FZ24" s="7"/>
      <c r="GA24" s="7"/>
      <c r="GB24" s="7"/>
      <c r="GC24" s="7"/>
      <c r="GD24" s="89"/>
      <c r="GE24" s="89"/>
      <c r="GF24" s="89"/>
      <c r="GG24" s="89"/>
      <c r="GH24" s="7"/>
      <c r="GI24" s="7"/>
      <c r="GJ24" s="89"/>
      <c r="GK24" s="89"/>
      <c r="GL24" s="7"/>
      <c r="GM24" s="89"/>
      <c r="GN24" s="89"/>
      <c r="GO24" s="89"/>
      <c r="GP24" s="89"/>
      <c r="GQ24" s="89"/>
      <c r="GR24" s="89">
        <v>23.0</v>
      </c>
    </row>
    <row r="25">
      <c r="A25" s="5">
        <v>45777.403229166666</v>
      </c>
      <c r="B25" s="86">
        <v>45746.0</v>
      </c>
      <c r="C25" s="86">
        <v>45747.0</v>
      </c>
      <c r="D25" s="7" t="s">
        <v>211</v>
      </c>
      <c r="E25" s="87"/>
      <c r="F25" s="88">
        <v>3.0</v>
      </c>
      <c r="G25" s="7" t="s">
        <v>70</v>
      </c>
      <c r="H25" s="7" t="s">
        <v>76</v>
      </c>
      <c r="I25" s="7"/>
      <c r="J25" s="7"/>
      <c r="K25" s="7"/>
      <c r="L25" s="7"/>
      <c r="M25" s="7"/>
      <c r="N25" s="7"/>
      <c r="O25" s="7"/>
      <c r="P25" s="7"/>
      <c r="Q25" s="7"/>
      <c r="R25" s="7"/>
      <c r="S25" s="7"/>
      <c r="T25" s="7"/>
      <c r="U25" s="7"/>
      <c r="V25" s="7"/>
      <c r="W25" s="7"/>
      <c r="X25" s="7"/>
      <c r="Y25" s="7"/>
      <c r="Z25" s="7"/>
      <c r="AA25" s="7"/>
      <c r="AB25" s="7"/>
      <c r="AC25" s="7"/>
      <c r="AD25" s="7"/>
      <c r="AE25" s="7">
        <v>0.0</v>
      </c>
      <c r="AF25" s="7"/>
      <c r="AG25" s="7"/>
      <c r="AH25" s="7">
        <v>0.0</v>
      </c>
      <c r="AI25" s="7"/>
      <c r="AJ25" s="7"/>
      <c r="AK25" s="7">
        <v>0.0</v>
      </c>
      <c r="AL25" s="7"/>
      <c r="AM25" s="7"/>
      <c r="AN25" s="7">
        <v>0.0</v>
      </c>
      <c r="AO25" s="7"/>
      <c r="AP25" s="7"/>
      <c r="AQ25" s="7">
        <v>0.0</v>
      </c>
      <c r="AR25" s="7"/>
      <c r="AS25" s="7"/>
      <c r="AT25" s="7">
        <v>0.0</v>
      </c>
      <c r="AU25" s="7"/>
      <c r="AV25" s="7"/>
      <c r="AW25" s="7">
        <v>0.0</v>
      </c>
      <c r="AX25" s="7"/>
      <c r="AY25" s="7"/>
      <c r="AZ25" s="89"/>
      <c r="BA25" s="7"/>
      <c r="BB25" s="7"/>
      <c r="BC25" s="7"/>
      <c r="BD25" s="7"/>
      <c r="BE25" s="89"/>
      <c r="BF25" s="7"/>
      <c r="BG25" s="7"/>
      <c r="BH25" s="7"/>
      <c r="BI25" s="7"/>
      <c r="BJ25" s="7"/>
      <c r="BK25" s="7"/>
      <c r="BL25" s="7"/>
      <c r="BM25" s="7"/>
      <c r="BN25" s="7"/>
      <c r="BO25" s="7"/>
      <c r="BP25" s="7"/>
      <c r="BQ25" s="7"/>
      <c r="BR25" s="7"/>
      <c r="BS25" s="7"/>
      <c r="BT25" s="89"/>
      <c r="BU25" s="89"/>
      <c r="BV25" s="89"/>
      <c r="BW25" s="89"/>
      <c r="BX25" s="89"/>
      <c r="BY25" s="89"/>
      <c r="BZ25" s="7"/>
      <c r="CA25" s="7"/>
      <c r="CB25" s="7"/>
      <c r="CC25" s="7"/>
      <c r="CD25" s="7"/>
      <c r="CE25" s="7"/>
      <c r="CF25" s="89"/>
      <c r="CG25" s="89"/>
      <c r="CH25" s="7"/>
      <c r="CI25" s="7"/>
      <c r="CJ25" s="7"/>
      <c r="CK25" s="7"/>
      <c r="CL25" s="7"/>
      <c r="CM25" s="7"/>
      <c r="CN25" s="7"/>
      <c r="CO25" s="7"/>
      <c r="CP25" s="7"/>
      <c r="CQ25" s="7"/>
      <c r="CR25" s="7"/>
      <c r="CS25" s="7"/>
      <c r="CT25" s="7"/>
      <c r="CU25" s="7"/>
      <c r="CV25" s="89"/>
      <c r="CW25" s="89"/>
      <c r="CX25" s="89"/>
      <c r="CY25" s="89"/>
      <c r="CZ25" s="89"/>
      <c r="DA25" s="89"/>
      <c r="DB25" s="7"/>
      <c r="DC25" s="7"/>
      <c r="DD25" s="7"/>
      <c r="DE25" s="7"/>
      <c r="DF25" s="7"/>
      <c r="DG25" s="7"/>
      <c r="DH25" s="89"/>
      <c r="DI25" s="89"/>
      <c r="DJ25" s="89"/>
      <c r="DK25" s="89"/>
      <c r="DL25" s="7"/>
      <c r="DM25" s="7"/>
      <c r="DN25" s="7"/>
      <c r="DO25" s="7"/>
      <c r="DP25" s="7"/>
      <c r="DQ25" s="7"/>
      <c r="DR25" s="7"/>
      <c r="DS25" s="7"/>
      <c r="DT25" s="7"/>
      <c r="DU25" s="7"/>
      <c r="DV25" s="7"/>
      <c r="DW25" s="7"/>
      <c r="DX25" s="7"/>
      <c r="DY25" s="7"/>
      <c r="DZ25" s="89"/>
      <c r="EA25" s="89"/>
      <c r="EB25" s="89"/>
      <c r="EC25" s="89"/>
      <c r="ED25" s="89"/>
      <c r="EE25" s="89"/>
      <c r="EF25" s="7"/>
      <c r="EG25" s="7"/>
      <c r="EH25" s="7"/>
      <c r="EI25" s="7"/>
      <c r="EJ25" s="7"/>
      <c r="EK25" s="7"/>
      <c r="EL25" s="89"/>
      <c r="EM25" s="89"/>
      <c r="EN25" s="7"/>
      <c r="EO25" s="7"/>
      <c r="EP25" s="89"/>
      <c r="EQ25" s="89"/>
      <c r="ES25" s="7">
        <v>0.0</v>
      </c>
      <c r="ET25" s="7">
        <v>0.0</v>
      </c>
      <c r="EU25" s="7">
        <v>15.0</v>
      </c>
      <c r="EW25" s="7">
        <v>0.0</v>
      </c>
      <c r="EX25" s="7">
        <v>0.0</v>
      </c>
      <c r="EY25" s="7">
        <v>0.0</v>
      </c>
      <c r="EZ25" s="7">
        <v>0.0</v>
      </c>
      <c r="FA25" s="7">
        <v>0.0</v>
      </c>
      <c r="FC25" s="7"/>
      <c r="FD25" s="7"/>
      <c r="FE25" s="89"/>
      <c r="FF25" s="7"/>
      <c r="FG25" s="89"/>
      <c r="FH25" s="7"/>
      <c r="FI25" s="7"/>
      <c r="FJ25" s="7"/>
      <c r="FK25" s="7"/>
      <c r="FL25" s="7"/>
      <c r="FM25" s="7"/>
      <c r="FN25" s="7"/>
      <c r="FO25" s="89"/>
      <c r="FP25" s="89"/>
      <c r="FQ25" s="89"/>
      <c r="FR25" s="7"/>
      <c r="FS25" s="7"/>
      <c r="FT25" s="7"/>
      <c r="FU25" s="89"/>
      <c r="FV25" s="7"/>
      <c r="FW25" s="89"/>
      <c r="FX25" s="7"/>
      <c r="FY25" s="7"/>
      <c r="FZ25" s="7"/>
      <c r="GA25" s="7"/>
      <c r="GB25" s="7"/>
      <c r="GC25" s="7"/>
      <c r="GD25" s="89"/>
      <c r="GE25" s="89"/>
      <c r="GF25" s="89"/>
      <c r="GG25" s="89"/>
      <c r="GH25" s="7"/>
      <c r="GI25" s="7"/>
      <c r="GJ25" s="89"/>
      <c r="GK25" s="89"/>
      <c r="GL25" s="7"/>
      <c r="GM25" s="89"/>
      <c r="GN25" s="89"/>
      <c r="GO25" s="89"/>
      <c r="GP25" s="89"/>
      <c r="GQ25" s="89"/>
      <c r="GR25" s="89">
        <v>24.0</v>
      </c>
    </row>
    <row r="26">
      <c r="A26" s="5">
        <v>45777.40230324074</v>
      </c>
      <c r="B26" s="86">
        <v>45746.0</v>
      </c>
      <c r="C26" s="86">
        <v>45747.0</v>
      </c>
      <c r="D26" s="7" t="s">
        <v>33</v>
      </c>
      <c r="E26" s="87"/>
      <c r="F26" s="88">
        <v>3.0</v>
      </c>
      <c r="G26" s="7" t="s">
        <v>70</v>
      </c>
      <c r="H26" s="7" t="s">
        <v>76</v>
      </c>
      <c r="I26" s="7"/>
      <c r="J26" s="7"/>
      <c r="K26" s="7"/>
      <c r="L26" s="7"/>
      <c r="M26" s="7"/>
      <c r="N26" s="7"/>
      <c r="O26" s="7"/>
      <c r="P26" s="7"/>
      <c r="Q26" s="7"/>
      <c r="R26" s="7"/>
      <c r="S26" s="7"/>
      <c r="T26" s="7"/>
      <c r="U26" s="7"/>
      <c r="V26" s="7"/>
      <c r="W26" s="7"/>
      <c r="X26" s="7"/>
      <c r="Y26" s="7"/>
      <c r="Z26" s="7"/>
      <c r="AA26" s="7"/>
      <c r="AB26" s="7"/>
      <c r="AC26" s="7"/>
      <c r="AD26" s="7"/>
      <c r="AE26" s="7">
        <v>0.0</v>
      </c>
      <c r="AF26" s="7"/>
      <c r="AG26" s="7"/>
      <c r="AH26" s="7">
        <v>0.0</v>
      </c>
      <c r="AI26" s="7"/>
      <c r="AJ26" s="7"/>
      <c r="AK26" s="7">
        <v>0.0</v>
      </c>
      <c r="AL26" s="7"/>
      <c r="AM26" s="7"/>
      <c r="AN26" s="7">
        <v>120.0</v>
      </c>
      <c r="AO26" s="7"/>
      <c r="AP26" s="7"/>
      <c r="AQ26" s="7">
        <v>0.0</v>
      </c>
      <c r="AR26" s="7"/>
      <c r="AS26" s="7"/>
      <c r="AT26" s="7">
        <v>0.0</v>
      </c>
      <c r="AU26" s="7"/>
      <c r="AV26" s="7"/>
      <c r="AW26" s="7">
        <v>0.0</v>
      </c>
      <c r="AX26" s="7"/>
      <c r="AY26" s="7"/>
      <c r="AZ26" s="89"/>
      <c r="BA26" s="7"/>
      <c r="BB26" s="7"/>
      <c r="BC26" s="7"/>
      <c r="BD26" s="7"/>
      <c r="BE26" s="89"/>
      <c r="BF26" s="7"/>
      <c r="BG26" s="7"/>
      <c r="BH26" s="7"/>
      <c r="BI26" s="7"/>
      <c r="BJ26" s="7"/>
      <c r="BK26" s="7"/>
      <c r="BL26" s="7"/>
      <c r="BM26" s="7"/>
      <c r="BN26" s="7"/>
      <c r="BO26" s="7"/>
      <c r="BP26" s="7"/>
      <c r="BQ26" s="7"/>
      <c r="BR26" s="7"/>
      <c r="BS26" s="7"/>
      <c r="BT26" s="89"/>
      <c r="BU26" s="89"/>
      <c r="BV26" s="89"/>
      <c r="BW26" s="89"/>
      <c r="BX26" s="89"/>
      <c r="BY26" s="89"/>
      <c r="BZ26" s="7"/>
      <c r="CA26" s="7"/>
      <c r="CB26" s="7"/>
      <c r="CC26" s="7"/>
      <c r="CD26" s="7"/>
      <c r="CE26" s="7"/>
      <c r="CF26" s="89"/>
      <c r="CG26" s="89"/>
      <c r="CH26" s="7"/>
      <c r="CI26" s="7"/>
      <c r="CJ26" s="7"/>
      <c r="CK26" s="7"/>
      <c r="CL26" s="7"/>
      <c r="CM26" s="7"/>
      <c r="CN26" s="7"/>
      <c r="CO26" s="7"/>
      <c r="CP26" s="7"/>
      <c r="CQ26" s="7"/>
      <c r="CR26" s="7"/>
      <c r="CS26" s="7"/>
      <c r="CT26" s="7"/>
      <c r="CU26" s="7"/>
      <c r="CV26" s="89"/>
      <c r="CW26" s="89"/>
      <c r="CX26" s="89"/>
      <c r="CY26" s="89"/>
      <c r="CZ26" s="89"/>
      <c r="DA26" s="89"/>
      <c r="DB26" s="7"/>
      <c r="DC26" s="7"/>
      <c r="DD26" s="7"/>
      <c r="DE26" s="7"/>
      <c r="DF26" s="7"/>
      <c r="DG26" s="7"/>
      <c r="DH26" s="89"/>
      <c r="DI26" s="89"/>
      <c r="DJ26" s="89"/>
      <c r="DK26" s="89"/>
      <c r="DL26" s="7"/>
      <c r="DM26" s="7"/>
      <c r="DN26" s="7"/>
      <c r="DO26" s="7"/>
      <c r="DP26" s="7"/>
      <c r="DQ26" s="7"/>
      <c r="DR26" s="7"/>
      <c r="DS26" s="7"/>
      <c r="DT26" s="7"/>
      <c r="DU26" s="7"/>
      <c r="DV26" s="7"/>
      <c r="DW26" s="7"/>
      <c r="DX26" s="7"/>
      <c r="DY26" s="7"/>
      <c r="DZ26" s="89"/>
      <c r="EA26" s="89"/>
      <c r="EB26" s="89"/>
      <c r="EC26" s="89"/>
      <c r="ED26" s="89"/>
      <c r="EE26" s="89"/>
      <c r="EF26" s="7"/>
      <c r="EG26" s="7"/>
      <c r="EH26" s="7"/>
      <c r="EI26" s="7"/>
      <c r="EJ26" s="7"/>
      <c r="EK26" s="7"/>
      <c r="EL26" s="89"/>
      <c r="EM26" s="89"/>
      <c r="EN26" s="7"/>
      <c r="EO26" s="7"/>
      <c r="EP26" s="89"/>
      <c r="EQ26" s="89"/>
      <c r="ES26" s="7">
        <v>0.0</v>
      </c>
      <c r="ET26" s="7">
        <v>0.0</v>
      </c>
      <c r="EU26" s="7">
        <v>0.0</v>
      </c>
      <c r="EV26" s="7">
        <v>35.0</v>
      </c>
      <c r="EW26" s="7">
        <v>0.0</v>
      </c>
      <c r="EX26" s="7">
        <v>0.0</v>
      </c>
      <c r="EY26" s="7">
        <v>0.0</v>
      </c>
      <c r="EZ26" s="7">
        <v>0.0</v>
      </c>
      <c r="FA26" s="7">
        <v>0.0</v>
      </c>
      <c r="FB26" s="7">
        <v>14.0</v>
      </c>
      <c r="FC26" s="7">
        <v>15.0</v>
      </c>
      <c r="FD26" s="7"/>
      <c r="FE26" s="89"/>
      <c r="FF26" s="7"/>
      <c r="FG26" s="89"/>
      <c r="FH26" s="7"/>
      <c r="FI26" s="7"/>
      <c r="FJ26" s="7"/>
      <c r="FK26" s="7"/>
      <c r="FL26" s="7"/>
      <c r="FM26" s="7"/>
      <c r="FN26" s="7"/>
      <c r="FO26" s="89"/>
      <c r="FP26" s="89"/>
      <c r="FQ26" s="89"/>
      <c r="FR26" s="7"/>
      <c r="FS26" s="7"/>
      <c r="FT26" s="7"/>
      <c r="FU26" s="89"/>
      <c r="FV26" s="7"/>
      <c r="FW26" s="89"/>
      <c r="FX26" s="7"/>
      <c r="FY26" s="7"/>
      <c r="FZ26" s="7"/>
      <c r="GA26" s="7"/>
      <c r="GB26" s="7"/>
      <c r="GC26" s="7"/>
      <c r="GD26" s="89"/>
      <c r="GE26" s="89"/>
      <c r="GF26" s="89"/>
      <c r="GG26" s="89"/>
      <c r="GH26" s="7"/>
      <c r="GI26" s="7"/>
      <c r="GJ26" s="89"/>
      <c r="GK26" s="89"/>
      <c r="GL26" s="7"/>
      <c r="GM26" s="89"/>
      <c r="GN26" s="89"/>
      <c r="GO26" s="89"/>
      <c r="GP26" s="89"/>
      <c r="GQ26" s="89"/>
      <c r="GR26" s="89">
        <v>25.0</v>
      </c>
    </row>
    <row r="27">
      <c r="A27" s="5">
        <v>45777.404270833336</v>
      </c>
      <c r="B27" s="86">
        <v>45746.0</v>
      </c>
      <c r="C27" s="86">
        <v>45747.0</v>
      </c>
      <c r="D27" s="7" t="s">
        <v>35</v>
      </c>
      <c r="E27" s="87"/>
      <c r="F27" s="88">
        <v>2.0</v>
      </c>
      <c r="G27" s="7" t="s">
        <v>70</v>
      </c>
      <c r="H27" s="7" t="s">
        <v>76</v>
      </c>
      <c r="I27" s="7"/>
      <c r="J27" s="7"/>
      <c r="K27" s="7"/>
      <c r="L27" s="7"/>
      <c r="M27" s="7"/>
      <c r="N27" s="7"/>
      <c r="O27" s="7"/>
      <c r="P27" s="7"/>
      <c r="Q27" s="7"/>
      <c r="R27" s="7"/>
      <c r="S27" s="7"/>
      <c r="T27" s="7"/>
      <c r="U27" s="7"/>
      <c r="V27" s="7"/>
      <c r="W27" s="7"/>
      <c r="X27" s="7"/>
      <c r="Y27" s="7"/>
      <c r="Z27" s="7"/>
      <c r="AA27" s="7"/>
      <c r="AB27" s="7"/>
      <c r="AC27" s="7"/>
      <c r="AD27" s="7"/>
      <c r="AE27" s="7">
        <v>0.0</v>
      </c>
      <c r="AF27" s="7"/>
      <c r="AG27" s="7"/>
      <c r="AH27" s="7">
        <v>0.0</v>
      </c>
      <c r="AI27" s="7"/>
      <c r="AJ27" s="7"/>
      <c r="AK27" s="7">
        <v>0.0</v>
      </c>
      <c r="AL27" s="7"/>
      <c r="AM27" s="7"/>
      <c r="AN27" s="7">
        <v>500.0</v>
      </c>
      <c r="AO27" s="7"/>
      <c r="AP27" s="7"/>
      <c r="AQ27" s="7">
        <v>0.0</v>
      </c>
      <c r="AR27" s="7"/>
      <c r="AS27" s="7"/>
      <c r="AT27" s="7">
        <v>0.0</v>
      </c>
      <c r="AU27" s="7"/>
      <c r="AV27" s="7"/>
      <c r="AW27" s="7">
        <v>0.0</v>
      </c>
      <c r="AX27" s="7"/>
      <c r="AY27" s="7"/>
      <c r="AZ27" s="89"/>
      <c r="BA27" s="7"/>
      <c r="BB27" s="7"/>
      <c r="BC27" s="7"/>
      <c r="BD27" s="7"/>
      <c r="BE27" s="89"/>
      <c r="BF27" s="7"/>
      <c r="BG27" s="7"/>
      <c r="BH27" s="7"/>
      <c r="BI27" s="7"/>
      <c r="BJ27" s="7"/>
      <c r="BK27" s="7"/>
      <c r="BL27" s="7"/>
      <c r="BM27" s="7"/>
      <c r="BN27" s="7"/>
      <c r="BO27" s="7"/>
      <c r="BP27" s="7"/>
      <c r="BQ27" s="7"/>
      <c r="BR27" s="7"/>
      <c r="BS27" s="7"/>
      <c r="BT27" s="89"/>
      <c r="BU27" s="89"/>
      <c r="BV27" s="89"/>
      <c r="BW27" s="89"/>
      <c r="BX27" s="89"/>
      <c r="BY27" s="89"/>
      <c r="BZ27" s="7"/>
      <c r="CA27" s="7"/>
      <c r="CB27" s="7"/>
      <c r="CC27" s="7"/>
      <c r="CD27" s="7"/>
      <c r="CE27" s="7"/>
      <c r="CF27" s="89"/>
      <c r="CG27" s="89"/>
      <c r="CH27" s="7"/>
      <c r="CI27" s="7"/>
      <c r="CJ27" s="7"/>
      <c r="CK27" s="7"/>
      <c r="CL27" s="7"/>
      <c r="CM27" s="7"/>
      <c r="CN27" s="7"/>
      <c r="CO27" s="7"/>
      <c r="CP27" s="7"/>
      <c r="CQ27" s="7"/>
      <c r="CR27" s="7"/>
      <c r="CS27" s="7"/>
      <c r="CT27" s="7"/>
      <c r="CU27" s="7"/>
      <c r="CV27" s="89"/>
      <c r="CW27" s="89"/>
      <c r="CX27" s="89"/>
      <c r="CY27" s="89"/>
      <c r="CZ27" s="89"/>
      <c r="DA27" s="89"/>
      <c r="DB27" s="7"/>
      <c r="DC27" s="7"/>
      <c r="DD27" s="7"/>
      <c r="DE27" s="7"/>
      <c r="DF27" s="7"/>
      <c r="DG27" s="7"/>
      <c r="DH27" s="89"/>
      <c r="DI27" s="89"/>
      <c r="DJ27" s="89"/>
      <c r="DK27" s="89"/>
      <c r="DL27" s="7"/>
      <c r="DM27" s="7"/>
      <c r="DN27" s="7"/>
      <c r="DO27" s="7"/>
      <c r="DP27" s="7"/>
      <c r="DQ27" s="7"/>
      <c r="DR27" s="7"/>
      <c r="DS27" s="7"/>
      <c r="DT27" s="7"/>
      <c r="DU27" s="7"/>
      <c r="DV27" s="7"/>
      <c r="DW27" s="7"/>
      <c r="DX27" s="7"/>
      <c r="DY27" s="7"/>
      <c r="DZ27" s="89"/>
      <c r="EA27" s="89"/>
      <c r="EB27" s="89"/>
      <c r="EC27" s="89"/>
      <c r="ED27" s="89"/>
      <c r="EE27" s="89"/>
      <c r="EF27" s="7"/>
      <c r="EG27" s="7"/>
      <c r="EH27" s="7"/>
      <c r="EI27" s="7"/>
      <c r="EJ27" s="7"/>
      <c r="EK27" s="7"/>
      <c r="EL27" s="89"/>
      <c r="EM27" s="89"/>
      <c r="EN27" s="7"/>
      <c r="EO27" s="7"/>
      <c r="EP27" s="89"/>
      <c r="EQ27" s="89"/>
      <c r="ES27" s="7">
        <v>0.0</v>
      </c>
      <c r="ET27" s="7">
        <v>0.0</v>
      </c>
      <c r="EU27" s="7">
        <v>0.0</v>
      </c>
      <c r="EW27" s="7">
        <v>0.0</v>
      </c>
      <c r="EX27" s="7">
        <v>0.0</v>
      </c>
      <c r="EY27" s="7">
        <v>0.0</v>
      </c>
      <c r="EZ27" s="7">
        <v>0.0</v>
      </c>
      <c r="FA27" s="7">
        <v>0.0</v>
      </c>
      <c r="FB27" s="7">
        <v>0.0</v>
      </c>
      <c r="FC27" s="7"/>
      <c r="FD27" s="7">
        <v>10.0</v>
      </c>
      <c r="FE27" s="89"/>
      <c r="FF27" s="7"/>
      <c r="FG27" s="89"/>
      <c r="FH27" s="7"/>
      <c r="FI27" s="7"/>
      <c r="FJ27" s="7"/>
      <c r="FK27" s="7"/>
      <c r="FL27" s="7"/>
      <c r="FM27" s="7"/>
      <c r="FN27" s="7"/>
      <c r="FO27" s="89"/>
      <c r="FP27" s="89"/>
      <c r="FQ27" s="89"/>
      <c r="FR27" s="7"/>
      <c r="FS27" s="7"/>
      <c r="FT27" s="7"/>
      <c r="FU27" s="89"/>
      <c r="FV27" s="7"/>
      <c r="FW27" s="89"/>
      <c r="FX27" s="7"/>
      <c r="FY27" s="7"/>
      <c r="FZ27" s="7"/>
      <c r="GA27" s="7"/>
      <c r="GB27" s="7"/>
      <c r="GC27" s="7"/>
      <c r="GD27" s="89"/>
      <c r="GE27" s="89"/>
      <c r="GF27" s="89"/>
      <c r="GG27" s="89"/>
      <c r="GH27" s="7"/>
      <c r="GI27" s="7"/>
      <c r="GJ27" s="89"/>
      <c r="GK27" s="89"/>
      <c r="GL27" s="7"/>
      <c r="GM27" s="89"/>
      <c r="GN27" s="89"/>
      <c r="GO27" s="89"/>
      <c r="GP27" s="89"/>
      <c r="GQ27" s="89"/>
      <c r="GR27" s="89">
        <v>26.0</v>
      </c>
    </row>
    <row r="28">
      <c r="A28" s="5">
        <v>45777.40450446759</v>
      </c>
      <c r="B28" s="6">
        <v>45748.0</v>
      </c>
      <c r="C28" s="6">
        <v>45772.0</v>
      </c>
      <c r="D28" s="7" t="s">
        <v>27</v>
      </c>
      <c r="E28" s="7" t="s">
        <v>120</v>
      </c>
      <c r="F28" s="7">
        <v>2.0</v>
      </c>
      <c r="G28" s="7" t="s">
        <v>70</v>
      </c>
      <c r="H28" s="7" t="s">
        <v>76</v>
      </c>
      <c r="J28" s="7">
        <v>54.0</v>
      </c>
      <c r="AH28" s="7">
        <v>3200.0</v>
      </c>
      <c r="AI28" s="7">
        <v>1600.0</v>
      </c>
      <c r="AJ28" s="7">
        <v>1600.0</v>
      </c>
      <c r="BZ28" s="7">
        <v>15.0</v>
      </c>
      <c r="CA28" s="7">
        <v>12.0</v>
      </c>
      <c r="CB28" s="7">
        <v>15.0</v>
      </c>
      <c r="CC28" s="7">
        <v>11.0</v>
      </c>
      <c r="FB28" s="7">
        <v>15.0</v>
      </c>
      <c r="FC28" s="7">
        <v>15.0</v>
      </c>
      <c r="GR28" s="87">
        <v>27.0</v>
      </c>
    </row>
    <row r="29">
      <c r="A29" s="5">
        <v>45777.43989947917</v>
      </c>
      <c r="B29" s="6">
        <v>45748.0</v>
      </c>
      <c r="C29" s="6">
        <v>45772.0</v>
      </c>
      <c r="D29" s="7" t="s">
        <v>269</v>
      </c>
      <c r="E29" s="7" t="s">
        <v>267</v>
      </c>
      <c r="F29" s="7">
        <v>2.0</v>
      </c>
      <c r="G29" s="7" t="s">
        <v>70</v>
      </c>
      <c r="H29" s="7" t="s">
        <v>76</v>
      </c>
      <c r="J29" s="7">
        <v>70.0</v>
      </c>
      <c r="N29" s="7">
        <v>30.0</v>
      </c>
      <c r="AH29" s="7">
        <v>4000.0</v>
      </c>
      <c r="AI29" s="7">
        <v>1600.0</v>
      </c>
      <c r="AJ29" s="7">
        <v>1600.0</v>
      </c>
      <c r="CP29" s="7">
        <v>26.0</v>
      </c>
      <c r="CQ29" s="7">
        <v>16.0</v>
      </c>
      <c r="DB29" s="7">
        <v>27.0</v>
      </c>
      <c r="DC29" s="7">
        <v>15.0</v>
      </c>
      <c r="DN29" s="7">
        <v>3.0</v>
      </c>
      <c r="DO29" s="7">
        <v>5.0</v>
      </c>
      <c r="EF29" s="7">
        <v>4.0</v>
      </c>
      <c r="EG29" s="7">
        <v>6.0</v>
      </c>
      <c r="GR29" s="87">
        <v>28.0</v>
      </c>
    </row>
    <row r="30">
      <c r="A30" s="5">
        <v>45777.44170984953</v>
      </c>
      <c r="B30" s="6">
        <v>45748.0</v>
      </c>
      <c r="C30" s="6">
        <v>45772.0</v>
      </c>
      <c r="D30" s="7" t="s">
        <v>39</v>
      </c>
      <c r="E30" s="7" t="s">
        <v>179</v>
      </c>
      <c r="F30" s="7">
        <v>4.0</v>
      </c>
      <c r="G30" s="7" t="s">
        <v>70</v>
      </c>
      <c r="H30" s="7" t="s">
        <v>76</v>
      </c>
      <c r="BL30" s="7">
        <v>15.0</v>
      </c>
      <c r="BM30" s="7">
        <v>11.0</v>
      </c>
      <c r="BZ30" s="7">
        <v>15.0</v>
      </c>
      <c r="CA30" s="7">
        <v>12.0</v>
      </c>
      <c r="CB30" s="7">
        <v>15.0</v>
      </c>
      <c r="CC30" s="7">
        <v>11.0</v>
      </c>
      <c r="CP30" s="7">
        <v>20.0</v>
      </c>
      <c r="CQ30" s="7">
        <v>12.0</v>
      </c>
      <c r="DB30" s="7">
        <v>19.0</v>
      </c>
      <c r="DC30" s="7">
        <v>14.0</v>
      </c>
      <c r="DD30" s="7">
        <v>17.0</v>
      </c>
      <c r="DE30" s="7">
        <v>12.0</v>
      </c>
      <c r="EU30" s="7">
        <v>15.0</v>
      </c>
      <c r="FB30" s="7">
        <v>15.0</v>
      </c>
      <c r="FC30" s="7">
        <v>15.0</v>
      </c>
      <c r="GR30" s="87">
        <v>29.0</v>
      </c>
    </row>
    <row r="31">
      <c r="A31" s="5">
        <v>45777.443594490745</v>
      </c>
      <c r="B31" s="6">
        <v>45748.0</v>
      </c>
      <c r="C31" s="6">
        <v>45772.0</v>
      </c>
      <c r="D31" s="7" t="s">
        <v>36</v>
      </c>
      <c r="E31" s="7" t="s">
        <v>183</v>
      </c>
      <c r="F31" s="7">
        <v>3.0</v>
      </c>
      <c r="G31" s="7" t="s">
        <v>70</v>
      </c>
      <c r="H31" s="7" t="s">
        <v>76</v>
      </c>
      <c r="J31" s="7">
        <v>40.0</v>
      </c>
      <c r="N31" s="7">
        <v>38.0</v>
      </c>
      <c r="T31" s="7">
        <v>20.0</v>
      </c>
      <c r="AH31" s="7">
        <v>2250.0</v>
      </c>
      <c r="AI31" s="7">
        <v>2250.0</v>
      </c>
      <c r="AJ31" s="7">
        <v>2250.0</v>
      </c>
      <c r="BZ31" s="7">
        <v>15.0</v>
      </c>
      <c r="CA31" s="7">
        <v>15.0</v>
      </c>
      <c r="CH31" s="7">
        <v>2.0</v>
      </c>
      <c r="CI31" s="7">
        <v>1.0</v>
      </c>
      <c r="CP31" s="7">
        <v>6.0</v>
      </c>
      <c r="CQ31" s="7">
        <v>2.0</v>
      </c>
      <c r="DB31" s="7">
        <v>10.0</v>
      </c>
      <c r="DC31" s="7">
        <v>6.0</v>
      </c>
      <c r="DD31" s="7">
        <v>18.0</v>
      </c>
      <c r="DE31" s="7">
        <v>9.0</v>
      </c>
      <c r="DL31" s="7">
        <v>2.0</v>
      </c>
      <c r="DM31" s="7">
        <v>1.0</v>
      </c>
      <c r="DR31" s="7">
        <v>1.0</v>
      </c>
      <c r="DS31" s="7">
        <v>2.0</v>
      </c>
      <c r="EF31" s="7">
        <v>12.0</v>
      </c>
      <c r="EG31" s="7">
        <v>6.0</v>
      </c>
      <c r="EH31" s="7">
        <v>3.0</v>
      </c>
      <c r="EI31" s="7">
        <v>9.0</v>
      </c>
      <c r="EX31" s="7">
        <v>10.0</v>
      </c>
      <c r="FB31" s="7">
        <v>15.0</v>
      </c>
      <c r="GR31" s="87">
        <v>30.0</v>
      </c>
    </row>
    <row r="32">
      <c r="A32" s="5">
        <v>45777.46441638889</v>
      </c>
      <c r="B32" s="6">
        <v>45748.0</v>
      </c>
      <c r="C32" s="6">
        <v>45772.0</v>
      </c>
      <c r="D32" s="7" t="s">
        <v>23</v>
      </c>
      <c r="E32" s="7" t="s">
        <v>92</v>
      </c>
      <c r="F32" s="7">
        <v>3.0</v>
      </c>
      <c r="G32" s="7" t="s">
        <v>70</v>
      </c>
      <c r="H32" s="7" t="s">
        <v>76</v>
      </c>
      <c r="J32" s="7">
        <v>64.0</v>
      </c>
      <c r="K32" s="7">
        <v>5.0</v>
      </c>
      <c r="L32" s="7">
        <v>1.0</v>
      </c>
      <c r="N32" s="7">
        <v>2.0</v>
      </c>
      <c r="O32" s="7">
        <v>5.0</v>
      </c>
      <c r="U32" s="7">
        <v>2.0</v>
      </c>
      <c r="AH32" s="7">
        <v>1500.0</v>
      </c>
      <c r="AI32" s="7">
        <v>700.0</v>
      </c>
      <c r="AJ32" s="7">
        <v>700.0</v>
      </c>
      <c r="BZ32" s="7">
        <v>15.0</v>
      </c>
      <c r="CA32" s="7">
        <v>15.0</v>
      </c>
      <c r="CN32" s="7">
        <v>45.0</v>
      </c>
      <c r="CO32" s="7">
        <v>32.0</v>
      </c>
      <c r="DB32" s="7">
        <v>30.0</v>
      </c>
      <c r="DC32" s="7">
        <v>20.0</v>
      </c>
      <c r="DR32" s="7">
        <v>10.0</v>
      </c>
      <c r="DS32" s="7">
        <v>12.0</v>
      </c>
      <c r="EF32" s="7">
        <v>5.0</v>
      </c>
      <c r="EG32" s="7">
        <v>3.0</v>
      </c>
      <c r="FB32" s="7">
        <v>15.0</v>
      </c>
      <c r="GR32" s="87">
        <v>31.0</v>
      </c>
    </row>
    <row r="33">
      <c r="A33" s="5">
        <v>45777.47170900463</v>
      </c>
      <c r="B33" s="6">
        <v>45748.0</v>
      </c>
      <c r="C33" s="6">
        <v>45772.0</v>
      </c>
      <c r="D33" s="7" t="s">
        <v>211</v>
      </c>
      <c r="E33" s="7" t="s">
        <v>223</v>
      </c>
      <c r="F33" s="7">
        <v>4.0</v>
      </c>
      <c r="G33" s="7" t="s">
        <v>70</v>
      </c>
      <c r="H33" s="7" t="s">
        <v>76</v>
      </c>
      <c r="BL33" s="7">
        <v>15.0</v>
      </c>
      <c r="BM33" s="7">
        <v>9.0</v>
      </c>
      <c r="BN33" s="7">
        <v>30.0</v>
      </c>
      <c r="BO33" s="7">
        <v>21.0</v>
      </c>
      <c r="EV33" s="7">
        <v>30.0</v>
      </c>
      <c r="GR33" s="87">
        <v>32.0</v>
      </c>
    </row>
    <row r="34">
      <c r="A34" s="5">
        <v>45777.477733472224</v>
      </c>
      <c r="B34" s="6">
        <v>45748.0</v>
      </c>
      <c r="C34" s="6">
        <v>45772.0</v>
      </c>
      <c r="D34" s="7" t="s">
        <v>37</v>
      </c>
      <c r="E34" s="7" t="s">
        <v>87</v>
      </c>
      <c r="F34" s="7">
        <v>3.0</v>
      </c>
      <c r="G34" s="7" t="s">
        <v>70</v>
      </c>
      <c r="H34" s="7" t="s">
        <v>76</v>
      </c>
      <c r="J34" s="7">
        <v>55.0</v>
      </c>
      <c r="K34" s="7">
        <v>6.0</v>
      </c>
      <c r="N34" s="7">
        <v>12.0</v>
      </c>
      <c r="O34" s="7">
        <v>3.0</v>
      </c>
      <c r="AH34" s="7">
        <v>1750.0</v>
      </c>
      <c r="AI34" s="7">
        <v>800.0</v>
      </c>
      <c r="AJ34" s="7">
        <v>800.0</v>
      </c>
      <c r="BR34" s="7">
        <v>2.0</v>
      </c>
      <c r="BS34" s="7">
        <v>2.0</v>
      </c>
      <c r="CH34" s="7">
        <v>3.0</v>
      </c>
      <c r="CI34" s="7">
        <v>2.0</v>
      </c>
      <c r="CN34" s="7">
        <v>3.0</v>
      </c>
      <c r="CO34" s="7">
        <v>2.0</v>
      </c>
      <c r="CP34" s="7">
        <v>19.0</v>
      </c>
      <c r="CQ34" s="7">
        <v>14.0</v>
      </c>
      <c r="DB34" s="7">
        <v>45.0</v>
      </c>
      <c r="DC34" s="7">
        <v>31.0</v>
      </c>
      <c r="DD34" s="7">
        <v>13.0</v>
      </c>
      <c r="DE34" s="7">
        <v>9.0</v>
      </c>
      <c r="DR34" s="7">
        <v>4.0</v>
      </c>
      <c r="DS34" s="7">
        <v>4.0</v>
      </c>
      <c r="EF34" s="7">
        <v>4.0</v>
      </c>
      <c r="EG34" s="7">
        <v>4.0</v>
      </c>
      <c r="EX34" s="7">
        <v>10.0</v>
      </c>
      <c r="GR34" s="87">
        <v>33.0</v>
      </c>
    </row>
    <row r="35">
      <c r="A35" s="5">
        <v>45777.48343853009</v>
      </c>
      <c r="B35" s="6">
        <v>45748.0</v>
      </c>
      <c r="C35" s="6">
        <v>45772.0</v>
      </c>
      <c r="D35" s="7" t="s">
        <v>30</v>
      </c>
      <c r="E35" s="7" t="s">
        <v>237</v>
      </c>
      <c r="F35" s="7">
        <v>2.0</v>
      </c>
      <c r="G35" s="7" t="s">
        <v>70</v>
      </c>
      <c r="H35" s="7" t="s">
        <v>76</v>
      </c>
      <c r="J35" s="7">
        <v>28.0</v>
      </c>
      <c r="K35" s="7">
        <v>2.0</v>
      </c>
      <c r="N35" s="7">
        <v>10.0</v>
      </c>
      <c r="O35" s="7">
        <v>1.0</v>
      </c>
      <c r="AH35" s="7">
        <v>4600.0</v>
      </c>
      <c r="AI35" s="7">
        <v>1100.0</v>
      </c>
      <c r="AJ35" s="7">
        <v>1100.0</v>
      </c>
      <c r="CH35" s="7">
        <v>2.0</v>
      </c>
      <c r="DB35" s="7">
        <v>3.0</v>
      </c>
      <c r="DC35" s="7">
        <v>1.0</v>
      </c>
      <c r="DL35" s="7">
        <v>1.0</v>
      </c>
      <c r="EF35" s="7">
        <v>1.0</v>
      </c>
      <c r="EG35" s="7">
        <v>2.0</v>
      </c>
      <c r="GR35" s="87">
        <v>34.0</v>
      </c>
    </row>
    <row r="36">
      <c r="A36" s="5">
        <v>45777.484491979165</v>
      </c>
      <c r="B36" s="6">
        <v>45748.0</v>
      </c>
      <c r="C36" s="6">
        <v>45772.0</v>
      </c>
      <c r="D36" s="7" t="s">
        <v>35</v>
      </c>
      <c r="E36" s="7" t="s">
        <v>283</v>
      </c>
      <c r="F36" s="7">
        <v>2.0</v>
      </c>
      <c r="G36" s="7" t="s">
        <v>70</v>
      </c>
      <c r="H36" s="7" t="s">
        <v>76</v>
      </c>
      <c r="J36" s="7">
        <v>50.0</v>
      </c>
      <c r="N36" s="7">
        <v>50.0</v>
      </c>
      <c r="AH36" s="7">
        <v>4600.0</v>
      </c>
      <c r="AI36" s="7">
        <v>1150.0</v>
      </c>
      <c r="AJ36" s="7">
        <v>1150.0</v>
      </c>
      <c r="CD36" s="7">
        <v>10.0</v>
      </c>
      <c r="CE36" s="7">
        <v>8.0</v>
      </c>
      <c r="GR36" s="87">
        <v>35.0</v>
      </c>
    </row>
    <row r="37">
      <c r="A37" s="5">
        <v>45777.487265613425</v>
      </c>
      <c r="B37" s="6">
        <v>45748.0</v>
      </c>
      <c r="C37" s="6">
        <v>45772.0</v>
      </c>
      <c r="D37" s="7" t="s">
        <v>201</v>
      </c>
      <c r="E37" s="7" t="s">
        <v>199</v>
      </c>
      <c r="F37" s="7">
        <v>2.0</v>
      </c>
      <c r="G37" s="7" t="s">
        <v>70</v>
      </c>
      <c r="H37" s="7" t="s">
        <v>76</v>
      </c>
      <c r="J37" s="7">
        <v>72.0</v>
      </c>
      <c r="N37" s="7">
        <v>36.0</v>
      </c>
      <c r="AH37" s="7">
        <v>4200.0</v>
      </c>
      <c r="AI37" s="7">
        <v>1000.0</v>
      </c>
      <c r="AJ37" s="7">
        <v>1000.0</v>
      </c>
      <c r="BL37" s="7">
        <v>15.0</v>
      </c>
      <c r="BM37" s="7">
        <v>11.0</v>
      </c>
      <c r="BN37" s="7">
        <v>45.0</v>
      </c>
      <c r="BO37" s="7">
        <v>32.0</v>
      </c>
      <c r="BR37" s="7">
        <v>4.0</v>
      </c>
      <c r="BS37" s="7">
        <v>3.0</v>
      </c>
      <c r="CH37" s="7">
        <v>5.0</v>
      </c>
      <c r="CI37" s="7">
        <v>3.0</v>
      </c>
      <c r="CP37" s="7">
        <v>11.0</v>
      </c>
      <c r="CQ37" s="7">
        <v>6.0</v>
      </c>
      <c r="CT37" s="7">
        <v>6.0</v>
      </c>
      <c r="DF37" s="7">
        <v>5.0</v>
      </c>
      <c r="DL37" s="7">
        <v>2.0</v>
      </c>
      <c r="DM37" s="7">
        <v>2.0</v>
      </c>
      <c r="DP37" s="7">
        <v>2.0</v>
      </c>
      <c r="DQ37" s="7">
        <v>2.0</v>
      </c>
      <c r="DR37" s="7">
        <v>2.0</v>
      </c>
      <c r="DS37" s="7">
        <v>1.0</v>
      </c>
      <c r="DT37" s="7">
        <v>1.0</v>
      </c>
      <c r="DU37" s="7">
        <v>2.0</v>
      </c>
      <c r="DW37" s="7">
        <v>1.0</v>
      </c>
      <c r="EF37" s="7">
        <v>2.0</v>
      </c>
      <c r="EG37" s="7">
        <v>2.0</v>
      </c>
      <c r="EU37" s="7">
        <v>15.0</v>
      </c>
      <c r="EV37" s="7">
        <v>45.0</v>
      </c>
      <c r="EX37" s="7">
        <v>10.0</v>
      </c>
      <c r="GR37" s="87">
        <v>36.0</v>
      </c>
    </row>
    <row r="38">
      <c r="A38" s="5">
        <v>45777.49661782407</v>
      </c>
      <c r="B38" s="6">
        <v>45748.0</v>
      </c>
      <c r="C38" s="6">
        <v>45772.0</v>
      </c>
      <c r="D38" s="7" t="s">
        <v>212</v>
      </c>
      <c r="E38" s="7" t="s">
        <v>227</v>
      </c>
      <c r="F38" s="7">
        <v>3.0</v>
      </c>
      <c r="G38" s="7" t="s">
        <v>70</v>
      </c>
      <c r="H38" s="7" t="s">
        <v>76</v>
      </c>
      <c r="J38" s="7">
        <v>45.0</v>
      </c>
      <c r="N38" s="7">
        <v>30.0</v>
      </c>
      <c r="T38" s="7">
        <v>25.0</v>
      </c>
      <c r="AH38" s="7">
        <v>4600.0</v>
      </c>
      <c r="AI38" s="7">
        <v>2000.0</v>
      </c>
      <c r="AJ38" s="7">
        <v>2000.0</v>
      </c>
      <c r="BF38" s="7">
        <v>15.0</v>
      </c>
      <c r="BG38" s="7">
        <v>11.0</v>
      </c>
      <c r="BZ38" s="7">
        <v>15.0</v>
      </c>
      <c r="CA38" s="7">
        <v>12.0</v>
      </c>
      <c r="CH38" s="7">
        <v>15.0</v>
      </c>
      <c r="CI38" s="7">
        <v>7.0</v>
      </c>
      <c r="CP38" s="7">
        <v>30.0</v>
      </c>
      <c r="CQ38" s="7">
        <v>13.0</v>
      </c>
      <c r="DB38" s="7">
        <v>15.0</v>
      </c>
      <c r="DC38" s="7">
        <v>7.0</v>
      </c>
      <c r="DP38" s="7">
        <v>3.0</v>
      </c>
      <c r="DQ38" s="7">
        <v>4.0</v>
      </c>
      <c r="DR38" s="7">
        <v>4.0</v>
      </c>
      <c r="DS38" s="7">
        <v>4.0</v>
      </c>
      <c r="EF38" s="7">
        <v>7.0</v>
      </c>
      <c r="EG38" s="7">
        <v>7.0</v>
      </c>
      <c r="ER38" s="7">
        <v>15.0</v>
      </c>
      <c r="FB38" s="7">
        <v>15.0</v>
      </c>
      <c r="GR38" s="87">
        <v>37.0</v>
      </c>
    </row>
    <row r="39">
      <c r="A39" s="5">
        <v>45777.504177442126</v>
      </c>
      <c r="B39" s="6">
        <v>45748.0</v>
      </c>
      <c r="C39" s="6">
        <v>45772.0</v>
      </c>
      <c r="D39" s="7" t="s">
        <v>25</v>
      </c>
      <c r="E39" s="7" t="s">
        <v>246</v>
      </c>
      <c r="F39" s="7">
        <v>2.0</v>
      </c>
      <c r="G39" s="7" t="s">
        <v>70</v>
      </c>
      <c r="H39" s="7" t="s">
        <v>76</v>
      </c>
      <c r="J39" s="7">
        <v>50.0</v>
      </c>
      <c r="N39" s="7">
        <v>21.0</v>
      </c>
      <c r="AH39" s="7">
        <v>2000.0</v>
      </c>
      <c r="AI39" s="7">
        <v>850.0</v>
      </c>
      <c r="AJ39" s="7">
        <v>850.0</v>
      </c>
      <c r="CP39" s="7">
        <v>5.0</v>
      </c>
      <c r="CQ39" s="7">
        <v>2.0</v>
      </c>
      <c r="DL39" s="7">
        <v>2.0</v>
      </c>
      <c r="DM39" s="7">
        <v>1.0</v>
      </c>
      <c r="EF39" s="7">
        <v>2.0</v>
      </c>
      <c r="EG39" s="7">
        <v>1.0</v>
      </c>
      <c r="GR39" s="87">
        <v>38.0</v>
      </c>
    </row>
    <row r="40">
      <c r="A40" s="5">
        <v>45777.50824944444</v>
      </c>
      <c r="B40" s="6">
        <v>45748.0</v>
      </c>
      <c r="C40" s="6">
        <v>45772.0</v>
      </c>
      <c r="D40" s="7" t="s">
        <v>213</v>
      </c>
      <c r="E40" s="7" t="s">
        <v>231</v>
      </c>
      <c r="F40" s="7">
        <v>3.0</v>
      </c>
      <c r="G40" s="7" t="s">
        <v>70</v>
      </c>
      <c r="H40" s="7" t="s">
        <v>76</v>
      </c>
      <c r="J40" s="7">
        <v>52.0</v>
      </c>
      <c r="N40" s="7">
        <v>35.0</v>
      </c>
      <c r="W40" s="7">
        <v>3.0</v>
      </c>
      <c r="AH40" s="7">
        <v>3100.0</v>
      </c>
      <c r="AI40" s="7">
        <v>1500.0</v>
      </c>
      <c r="AJ40" s="7">
        <v>1500.0</v>
      </c>
      <c r="BR40" s="7">
        <v>2.0</v>
      </c>
      <c r="BS40" s="7">
        <v>2.0</v>
      </c>
      <c r="BZ40" s="7">
        <v>15.0</v>
      </c>
      <c r="CA40" s="7">
        <v>15.0</v>
      </c>
      <c r="DB40" s="7">
        <v>30.0</v>
      </c>
      <c r="DC40" s="7">
        <v>15.0</v>
      </c>
      <c r="EF40" s="7">
        <v>30.0</v>
      </c>
      <c r="EG40" s="7">
        <v>23.0</v>
      </c>
      <c r="EX40" s="7">
        <v>5.0</v>
      </c>
      <c r="FB40" s="7">
        <v>15.0</v>
      </c>
      <c r="GR40" s="87">
        <v>39.0</v>
      </c>
    </row>
    <row r="41">
      <c r="A41" s="5">
        <v>45777.51357596065</v>
      </c>
      <c r="B41" s="6">
        <v>45748.0</v>
      </c>
      <c r="C41" s="6">
        <v>45772.0</v>
      </c>
      <c r="D41" s="7" t="s">
        <v>207</v>
      </c>
      <c r="E41" s="7" t="s">
        <v>205</v>
      </c>
      <c r="F41" s="7">
        <v>2.0</v>
      </c>
      <c r="G41" s="7" t="s">
        <v>70</v>
      </c>
      <c r="H41" s="7" t="s">
        <v>76</v>
      </c>
      <c r="J41" s="7">
        <v>95.0</v>
      </c>
      <c r="N41" s="7">
        <v>40.0</v>
      </c>
      <c r="T41" s="7">
        <v>50.0</v>
      </c>
      <c r="Y41" s="7">
        <v>7.0</v>
      </c>
      <c r="AH41" s="7">
        <v>5000.0</v>
      </c>
      <c r="AI41" s="7">
        <v>1600.0</v>
      </c>
      <c r="AJ41" s="7">
        <v>1600.0</v>
      </c>
      <c r="BN41" s="7">
        <v>14.0</v>
      </c>
      <c r="BR41" s="7">
        <v>6.0</v>
      </c>
      <c r="BS41" s="7">
        <v>4.0</v>
      </c>
      <c r="CT41" s="7">
        <v>5.0</v>
      </c>
      <c r="CZ41" s="7">
        <v>3.0</v>
      </c>
      <c r="DB41" s="7">
        <v>30.0</v>
      </c>
      <c r="DC41" s="7">
        <v>15.0</v>
      </c>
      <c r="DL41" s="7">
        <v>4.0</v>
      </c>
      <c r="DM41" s="7">
        <v>4.0</v>
      </c>
      <c r="DN41" s="7">
        <v>4.0</v>
      </c>
      <c r="DO41" s="7">
        <v>4.0</v>
      </c>
      <c r="EV41" s="7">
        <v>44.0</v>
      </c>
      <c r="EX41" s="7">
        <v>2.0</v>
      </c>
      <c r="FL41" s="7">
        <v>30.0</v>
      </c>
      <c r="GR41" s="87">
        <v>40.0</v>
      </c>
    </row>
    <row r="42">
      <c r="A42" s="5">
        <v>45777.5609484375</v>
      </c>
      <c r="B42" s="6">
        <v>45748.0</v>
      </c>
      <c r="C42" s="6">
        <v>45772.0</v>
      </c>
      <c r="D42" s="7" t="s">
        <v>31</v>
      </c>
      <c r="E42" s="7" t="s">
        <v>140</v>
      </c>
      <c r="F42" s="7">
        <v>3.0</v>
      </c>
      <c r="G42" s="7" t="s">
        <v>70</v>
      </c>
      <c r="H42" s="7" t="s">
        <v>76</v>
      </c>
      <c r="J42" s="7">
        <v>52.0</v>
      </c>
      <c r="N42" s="7">
        <v>11.0</v>
      </c>
      <c r="Q42" s="7">
        <v>1.0</v>
      </c>
      <c r="R42" s="7">
        <v>432.0</v>
      </c>
      <c r="S42" s="7">
        <v>1405.0</v>
      </c>
      <c r="AH42" s="7">
        <v>1900.0</v>
      </c>
      <c r="AI42" s="7">
        <v>1100.0</v>
      </c>
      <c r="AJ42" s="7">
        <v>1100.0</v>
      </c>
      <c r="AO42" s="7">
        <v>140.0</v>
      </c>
      <c r="AP42" s="7">
        <v>140.0</v>
      </c>
      <c r="BR42" s="7">
        <v>4.0</v>
      </c>
      <c r="BS42" s="7">
        <v>4.0</v>
      </c>
      <c r="CB42" s="7">
        <v>15.0</v>
      </c>
      <c r="CC42" s="7">
        <v>15.0</v>
      </c>
      <c r="CH42" s="7">
        <v>8.0</v>
      </c>
      <c r="CI42" s="7">
        <v>5.0</v>
      </c>
      <c r="CJ42" s="7">
        <v>4.0</v>
      </c>
      <c r="CK42" s="7">
        <v>4.0</v>
      </c>
      <c r="CL42" s="7">
        <v>6.0</v>
      </c>
      <c r="CM42" s="7">
        <v>2.0</v>
      </c>
      <c r="CN42" s="7">
        <v>18.0</v>
      </c>
      <c r="CO42" s="7">
        <v>11.0</v>
      </c>
      <c r="CP42" s="7">
        <v>5.0</v>
      </c>
      <c r="CQ42" s="7">
        <v>3.0</v>
      </c>
      <c r="CR42" s="7">
        <v>4.0</v>
      </c>
      <c r="CS42" s="7">
        <v>2.0</v>
      </c>
      <c r="DB42" s="7">
        <v>22.0</v>
      </c>
      <c r="DC42" s="7">
        <v>12.0</v>
      </c>
      <c r="DD42" s="7">
        <v>12.0</v>
      </c>
      <c r="DE42" s="7">
        <v>8.0</v>
      </c>
      <c r="DL42" s="7">
        <v>2.0</v>
      </c>
      <c r="DM42" s="7">
        <v>4.0</v>
      </c>
      <c r="DN42" s="7">
        <v>2.0</v>
      </c>
      <c r="DO42" s="7">
        <v>2.0</v>
      </c>
      <c r="DP42" s="7">
        <v>3.0</v>
      </c>
      <c r="DQ42" s="7">
        <v>4.0</v>
      </c>
      <c r="DR42" s="7">
        <v>4.0</v>
      </c>
      <c r="DS42" s="7">
        <v>8.0</v>
      </c>
      <c r="DT42" s="7">
        <v>1.0</v>
      </c>
      <c r="DU42" s="7">
        <v>3.0</v>
      </c>
      <c r="DV42" s="7">
        <v>1.0</v>
      </c>
      <c r="DW42" s="7">
        <v>2.0</v>
      </c>
      <c r="EF42" s="7">
        <v>8.0</v>
      </c>
      <c r="EG42" s="7">
        <v>12.0</v>
      </c>
      <c r="EH42" s="7">
        <v>3.0</v>
      </c>
      <c r="EI42" s="7">
        <v>2.0</v>
      </c>
      <c r="EX42" s="7">
        <v>20.0</v>
      </c>
      <c r="FC42" s="7">
        <v>15.0</v>
      </c>
      <c r="GR42" s="87">
        <v>41.0</v>
      </c>
    </row>
    <row r="43">
      <c r="A43" s="5">
        <v>45777.564217245366</v>
      </c>
      <c r="B43" s="6">
        <v>45748.0</v>
      </c>
      <c r="C43" s="6">
        <v>45772.0</v>
      </c>
      <c r="D43" s="7" t="s">
        <v>26</v>
      </c>
      <c r="E43" s="7" t="s">
        <v>104</v>
      </c>
      <c r="F43" s="7">
        <v>3.0</v>
      </c>
      <c r="G43" s="7" t="s">
        <v>70</v>
      </c>
      <c r="H43" s="7" t="s">
        <v>76</v>
      </c>
      <c r="J43" s="7">
        <v>40.0</v>
      </c>
      <c r="N43" s="7">
        <v>7.0</v>
      </c>
      <c r="AH43" s="7">
        <v>3050.0</v>
      </c>
      <c r="AI43" s="7">
        <v>2000.0</v>
      </c>
      <c r="AJ43" s="7">
        <v>2000.0</v>
      </c>
      <c r="AO43" s="7">
        <v>330.0</v>
      </c>
      <c r="AP43" s="7">
        <v>330.0</v>
      </c>
      <c r="BZ43" s="7">
        <v>15.0</v>
      </c>
      <c r="CA43" s="7">
        <v>15.0</v>
      </c>
      <c r="DB43" s="7">
        <v>10.0</v>
      </c>
      <c r="DC43" s="7">
        <v>7.0</v>
      </c>
      <c r="DD43" s="7">
        <v>15.0</v>
      </c>
      <c r="DE43" s="7">
        <v>10.0</v>
      </c>
      <c r="DR43" s="7">
        <v>8.0</v>
      </c>
      <c r="DS43" s="7">
        <v>5.0</v>
      </c>
      <c r="EF43" s="7">
        <v>5.0</v>
      </c>
      <c r="EG43" s="7">
        <v>3.0</v>
      </c>
      <c r="EH43" s="7">
        <v>5.0</v>
      </c>
      <c r="EI43" s="7">
        <v>2.0</v>
      </c>
      <c r="EX43" s="7">
        <v>10.0</v>
      </c>
      <c r="FB43" s="7">
        <v>15.0</v>
      </c>
      <c r="FC43" s="7">
        <v>15.0</v>
      </c>
      <c r="GR43" s="87">
        <v>42.0</v>
      </c>
    </row>
    <row r="44">
      <c r="A44" s="5">
        <v>45777.67664543982</v>
      </c>
      <c r="B44" s="6">
        <v>45748.0</v>
      </c>
      <c r="C44" s="6">
        <v>45772.0</v>
      </c>
      <c r="D44" s="7" t="s">
        <v>127</v>
      </c>
      <c r="E44" s="7" t="s">
        <v>145</v>
      </c>
      <c r="F44" s="7">
        <v>4.0</v>
      </c>
      <c r="G44" s="7" t="s">
        <v>70</v>
      </c>
      <c r="H44" s="7" t="s">
        <v>76</v>
      </c>
      <c r="CB44" s="7">
        <v>15.0</v>
      </c>
      <c r="CC44" s="7">
        <v>12.0</v>
      </c>
      <c r="DB44" s="7">
        <v>6.0</v>
      </c>
      <c r="DC44" s="7">
        <v>3.0</v>
      </c>
      <c r="FC44" s="7">
        <v>15.0</v>
      </c>
      <c r="GR44" s="87">
        <v>43.0</v>
      </c>
    </row>
    <row r="45">
      <c r="A45" s="5">
        <v>45778.43866542824</v>
      </c>
      <c r="B45" s="6">
        <v>45748.0</v>
      </c>
      <c r="C45" s="6">
        <v>45772.0</v>
      </c>
      <c r="D45" s="7" t="s">
        <v>32</v>
      </c>
      <c r="E45" s="7" t="s">
        <v>134</v>
      </c>
      <c r="F45" s="7">
        <v>3.0</v>
      </c>
      <c r="G45" s="7" t="s">
        <v>70</v>
      </c>
      <c r="H45" s="7" t="s">
        <v>76</v>
      </c>
      <c r="J45" s="7">
        <v>50.0</v>
      </c>
      <c r="N45" s="7">
        <v>3.0</v>
      </c>
      <c r="Q45" s="7">
        <v>1.0</v>
      </c>
      <c r="R45" s="7">
        <v>400.0</v>
      </c>
      <c r="S45" s="7">
        <v>2040.0</v>
      </c>
      <c r="AH45" s="7">
        <v>2600.0</v>
      </c>
      <c r="AI45" s="7">
        <v>2000.0</v>
      </c>
      <c r="AJ45" s="7">
        <v>2000.0</v>
      </c>
      <c r="AO45" s="7">
        <v>200.0</v>
      </c>
      <c r="AP45" s="7">
        <v>200.0</v>
      </c>
      <c r="BR45" s="7">
        <v>3.0</v>
      </c>
      <c r="BS45" s="7">
        <v>3.0</v>
      </c>
      <c r="BZ45" s="7">
        <v>8.0</v>
      </c>
      <c r="CA45" s="7">
        <v>8.0</v>
      </c>
      <c r="CB45" s="7">
        <v>5.0</v>
      </c>
      <c r="CC45" s="7">
        <v>5.0</v>
      </c>
      <c r="CH45" s="7">
        <v>20.0</v>
      </c>
      <c r="CI45" s="7">
        <v>14.0</v>
      </c>
      <c r="CN45" s="7">
        <v>10.0</v>
      </c>
      <c r="CO45" s="7">
        <v>6.0</v>
      </c>
      <c r="DB45" s="7">
        <v>40.0</v>
      </c>
      <c r="DC45" s="7">
        <v>31.0</v>
      </c>
      <c r="DD45" s="7">
        <v>20.0</v>
      </c>
      <c r="DE45" s="7">
        <v>12.0</v>
      </c>
      <c r="DL45" s="7">
        <v>5.0</v>
      </c>
      <c r="DM45" s="7">
        <v>8.0</v>
      </c>
      <c r="DR45" s="7">
        <v>5.0</v>
      </c>
      <c r="DS45" s="7">
        <v>12.0</v>
      </c>
      <c r="EF45" s="7">
        <v>12.0</v>
      </c>
      <c r="EG45" s="7">
        <v>22.0</v>
      </c>
      <c r="EH45" s="7">
        <v>10.0</v>
      </c>
      <c r="EI45" s="7">
        <v>18.0</v>
      </c>
      <c r="EX45" s="7">
        <v>15.0</v>
      </c>
      <c r="FB45" s="7">
        <v>15.0</v>
      </c>
      <c r="FC45" s="7">
        <v>30.0</v>
      </c>
      <c r="FS45" s="7">
        <v>15.0</v>
      </c>
      <c r="GR45" s="87">
        <v>44.0</v>
      </c>
    </row>
    <row r="46">
      <c r="A46" s="5">
        <v>45778.79048327546</v>
      </c>
      <c r="B46" s="6">
        <v>45748.0</v>
      </c>
      <c r="C46" s="6">
        <v>45772.0</v>
      </c>
      <c r="D46" s="7" t="s">
        <v>24</v>
      </c>
      <c r="E46" s="7" t="s">
        <v>158</v>
      </c>
      <c r="F46" s="7">
        <v>3.0</v>
      </c>
      <c r="G46" s="7" t="s">
        <v>70</v>
      </c>
      <c r="H46" s="7" t="s">
        <v>76</v>
      </c>
      <c r="J46" s="7">
        <v>27.0</v>
      </c>
      <c r="K46" s="7">
        <v>7.0</v>
      </c>
      <c r="N46" s="7">
        <v>6.0</v>
      </c>
      <c r="O46" s="7">
        <v>4.0</v>
      </c>
      <c r="Q46" s="7">
        <v>1.0</v>
      </c>
      <c r="R46" s="7">
        <v>340.0</v>
      </c>
      <c r="S46" s="7">
        <v>1140.0</v>
      </c>
      <c r="AH46" s="7">
        <v>1500.0</v>
      </c>
      <c r="AI46" s="7">
        <v>1500.0</v>
      </c>
      <c r="AJ46" s="7">
        <v>1500.0</v>
      </c>
      <c r="CP46" s="7">
        <v>60.0</v>
      </c>
      <c r="CQ46" s="7">
        <v>42.0</v>
      </c>
      <c r="DB46" s="7">
        <v>45.0</v>
      </c>
      <c r="DC46" s="7">
        <v>32.0</v>
      </c>
      <c r="DD46" s="7">
        <v>9.0</v>
      </c>
      <c r="DE46" s="7">
        <v>6.0</v>
      </c>
      <c r="DL46" s="7">
        <v>1.0</v>
      </c>
      <c r="DM46" s="7">
        <v>4.0</v>
      </c>
      <c r="DT46" s="7">
        <v>2.0</v>
      </c>
      <c r="DU46" s="7">
        <v>1.0</v>
      </c>
      <c r="EF46" s="7">
        <v>3.0</v>
      </c>
      <c r="EG46" s="7">
        <v>2.0</v>
      </c>
      <c r="GR46" s="87">
        <v>45.0</v>
      </c>
    </row>
    <row r="47">
      <c r="A47" s="5">
        <v>45779.44657017361</v>
      </c>
      <c r="B47" s="6">
        <v>45748.0</v>
      </c>
      <c r="C47" s="6">
        <v>45772.0</v>
      </c>
      <c r="D47" s="7" t="s">
        <v>41</v>
      </c>
      <c r="E47" s="7" t="s">
        <v>251</v>
      </c>
      <c r="F47" s="7">
        <v>2.0</v>
      </c>
      <c r="G47" s="7" t="s">
        <v>70</v>
      </c>
      <c r="H47" s="7" t="s">
        <v>76</v>
      </c>
      <c r="J47" s="7">
        <v>72.0</v>
      </c>
      <c r="Q47" s="7">
        <v>1.0</v>
      </c>
      <c r="R47" s="7">
        <v>28.0</v>
      </c>
      <c r="S47" s="7">
        <v>40.0</v>
      </c>
      <c r="AH47" s="7">
        <v>3300.0</v>
      </c>
      <c r="AI47" s="7">
        <v>1400.0</v>
      </c>
      <c r="AJ47" s="7">
        <v>1400.0</v>
      </c>
      <c r="EX47" s="7">
        <v>10.0</v>
      </c>
      <c r="GR47" s="87">
        <v>46.0</v>
      </c>
    </row>
    <row r="48">
      <c r="A48" s="5">
        <v>45779.44733556713</v>
      </c>
      <c r="B48" s="6">
        <v>45748.0</v>
      </c>
      <c r="C48" s="6">
        <v>45772.0</v>
      </c>
      <c r="D48" s="7" t="s">
        <v>38</v>
      </c>
      <c r="E48" s="7" t="s">
        <v>188</v>
      </c>
      <c r="F48" s="7">
        <v>2.0</v>
      </c>
      <c r="G48" s="7" t="s">
        <v>70</v>
      </c>
      <c r="H48" s="7" t="s">
        <v>76</v>
      </c>
      <c r="J48" s="7">
        <v>50.0</v>
      </c>
      <c r="N48" s="7">
        <v>25.0</v>
      </c>
      <c r="AH48" s="7">
        <v>2750.0</v>
      </c>
      <c r="AI48" s="7">
        <v>1600.0</v>
      </c>
      <c r="AJ48" s="7">
        <v>1600.0</v>
      </c>
      <c r="GR48" s="87">
        <v>47.0</v>
      </c>
    </row>
    <row r="49">
      <c r="A49" s="5">
        <v>45779.45049180556</v>
      </c>
      <c r="B49" s="6">
        <v>45748.0</v>
      </c>
      <c r="C49" s="6">
        <v>45772.0</v>
      </c>
      <c r="D49" s="7" t="s">
        <v>258</v>
      </c>
      <c r="E49" s="7" t="s">
        <v>256</v>
      </c>
      <c r="F49" s="7">
        <v>2.0</v>
      </c>
      <c r="G49" s="7" t="s">
        <v>70</v>
      </c>
      <c r="H49" s="7" t="s">
        <v>76</v>
      </c>
      <c r="AH49" s="7">
        <v>3200.0</v>
      </c>
      <c r="GR49" s="87">
        <v>48.0</v>
      </c>
    </row>
    <row r="50">
      <c r="A50" s="5">
        <v>45779.46666248843</v>
      </c>
      <c r="B50" s="6">
        <v>45748.0</v>
      </c>
      <c r="C50" s="6">
        <v>45772.0</v>
      </c>
      <c r="D50" s="7" t="s">
        <v>33</v>
      </c>
      <c r="E50" s="7" t="s">
        <v>151</v>
      </c>
      <c r="F50" s="7">
        <v>2.0</v>
      </c>
      <c r="G50" s="7" t="s">
        <v>70</v>
      </c>
      <c r="H50" s="7" t="s">
        <v>76</v>
      </c>
      <c r="J50" s="7">
        <v>25.0</v>
      </c>
      <c r="N50" s="7">
        <v>11.0</v>
      </c>
      <c r="AH50" s="7">
        <v>4650.0</v>
      </c>
      <c r="AI50" s="7">
        <v>800.0</v>
      </c>
      <c r="AJ50" s="7">
        <v>800.0</v>
      </c>
      <c r="BN50" s="7">
        <v>10.0</v>
      </c>
      <c r="BO50" s="7">
        <v>5.0</v>
      </c>
      <c r="BZ50" s="7">
        <v>10.0</v>
      </c>
      <c r="CA50" s="7">
        <v>5.0</v>
      </c>
      <c r="CN50" s="7">
        <v>1.0</v>
      </c>
      <c r="CZ50" s="7">
        <v>2.0</v>
      </c>
      <c r="DA50" s="7">
        <v>1.0</v>
      </c>
      <c r="DB50" s="7">
        <v>5.0</v>
      </c>
      <c r="DC50" s="7">
        <v>4.0</v>
      </c>
      <c r="DF50" s="7">
        <v>1.0</v>
      </c>
      <c r="DG50" s="7">
        <v>1.0</v>
      </c>
      <c r="DL50" s="7">
        <v>3.0</v>
      </c>
      <c r="FB50" s="7">
        <v>15.0</v>
      </c>
      <c r="GR50" s="87">
        <v>49.0</v>
      </c>
    </row>
    <row r="51">
      <c r="A51" s="5">
        <v>45782.62466208333</v>
      </c>
      <c r="B51" s="6">
        <v>45748.0</v>
      </c>
      <c r="C51" s="6">
        <v>45772.0</v>
      </c>
      <c r="D51" s="7" t="s">
        <v>29</v>
      </c>
      <c r="E51" s="7" t="s">
        <v>110</v>
      </c>
      <c r="F51" s="7">
        <v>3.0</v>
      </c>
      <c r="G51" s="7" t="s">
        <v>70</v>
      </c>
      <c r="H51" s="7" t="s">
        <v>76</v>
      </c>
      <c r="J51" s="7">
        <v>40.0</v>
      </c>
      <c r="N51" s="7">
        <v>16.0</v>
      </c>
      <c r="Q51" s="7">
        <v>1.0</v>
      </c>
      <c r="R51" s="7">
        <v>415.0</v>
      </c>
      <c r="S51" s="7">
        <v>1160.0</v>
      </c>
      <c r="AH51" s="7">
        <v>2150.0</v>
      </c>
      <c r="AI51" s="7">
        <v>600.0</v>
      </c>
      <c r="AJ51" s="7">
        <v>600.0</v>
      </c>
      <c r="GR51" s="87">
        <v>50.0</v>
      </c>
    </row>
    <row r="52">
      <c r="A52" s="5">
        <v>45783.43323996528</v>
      </c>
      <c r="B52" s="6">
        <v>45748.0</v>
      </c>
      <c r="C52" s="6">
        <v>45772.0</v>
      </c>
      <c r="D52" s="7" t="s">
        <v>40</v>
      </c>
      <c r="E52" s="7" t="s">
        <v>174</v>
      </c>
      <c r="F52" s="7">
        <v>4.0</v>
      </c>
      <c r="G52" s="7" t="s">
        <v>70</v>
      </c>
      <c r="H52" s="7" t="s">
        <v>76</v>
      </c>
      <c r="BL52" s="7">
        <v>15.0</v>
      </c>
      <c r="BM52" s="7">
        <v>10.0</v>
      </c>
      <c r="BZ52" s="7">
        <v>15.0</v>
      </c>
      <c r="CA52" s="7">
        <v>10.0</v>
      </c>
      <c r="CP52" s="7">
        <v>10.0</v>
      </c>
      <c r="CQ52" s="7">
        <v>6.0</v>
      </c>
      <c r="DB52" s="7">
        <v>10.0</v>
      </c>
      <c r="DC52" s="7">
        <v>7.0</v>
      </c>
      <c r="EU52" s="7">
        <v>15.0</v>
      </c>
      <c r="FB52" s="7">
        <v>15.0</v>
      </c>
      <c r="GR52" s="87">
        <v>51.0</v>
      </c>
    </row>
    <row r="53">
      <c r="A53" s="5">
        <v>45783.45291108797</v>
      </c>
      <c r="B53" s="6">
        <v>45748.0</v>
      </c>
      <c r="C53" s="6">
        <v>45772.0</v>
      </c>
      <c r="D53" s="7" t="s">
        <v>20</v>
      </c>
      <c r="E53" s="7" t="s">
        <v>77</v>
      </c>
      <c r="F53" s="7">
        <v>1.0</v>
      </c>
      <c r="G53" s="7" t="s">
        <v>70</v>
      </c>
      <c r="H53" s="7" t="s">
        <v>76</v>
      </c>
      <c r="J53" s="7">
        <v>9.0</v>
      </c>
      <c r="K53" s="7">
        <v>13.0</v>
      </c>
      <c r="L53" s="7">
        <v>54.0</v>
      </c>
      <c r="N53" s="7">
        <v>5.0</v>
      </c>
      <c r="O53" s="7">
        <v>6.0</v>
      </c>
      <c r="P53" s="7">
        <v>20.0</v>
      </c>
      <c r="AH53" s="7">
        <v>3700.0</v>
      </c>
      <c r="AI53" s="7">
        <v>2200.0</v>
      </c>
      <c r="AJ53" s="7">
        <v>2200.0</v>
      </c>
      <c r="CH53" s="7">
        <v>12.0</v>
      </c>
      <c r="CI53" s="7">
        <v>5.0</v>
      </c>
      <c r="CL53" s="7">
        <v>25.0</v>
      </c>
      <c r="CM53" s="7">
        <v>12.0</v>
      </c>
      <c r="DB53" s="7">
        <v>25.0</v>
      </c>
      <c r="DC53" s="7">
        <v>11.0</v>
      </c>
      <c r="DR53" s="7">
        <v>3.0</v>
      </c>
      <c r="DS53" s="7">
        <v>4.0</v>
      </c>
      <c r="GN53" s="7">
        <v>2.0</v>
      </c>
      <c r="GO53" s="7">
        <v>2.0</v>
      </c>
      <c r="GQ53" s="7">
        <v>20.0</v>
      </c>
      <c r="GR53" s="87">
        <v>52.0</v>
      </c>
    </row>
    <row r="54">
      <c r="A54" s="5">
        <v>45783.45590199074</v>
      </c>
      <c r="B54" s="6">
        <v>45748.0</v>
      </c>
      <c r="C54" s="6">
        <v>45772.0</v>
      </c>
      <c r="D54" s="7" t="s">
        <v>34</v>
      </c>
      <c r="E54" s="7" t="s">
        <v>169</v>
      </c>
      <c r="F54" s="7">
        <v>1.0</v>
      </c>
      <c r="G54" s="7" t="s">
        <v>70</v>
      </c>
      <c r="H54" s="7" t="s">
        <v>76</v>
      </c>
      <c r="J54" s="7">
        <v>50.0</v>
      </c>
      <c r="N54" s="7">
        <v>30.0</v>
      </c>
      <c r="T54" s="7">
        <v>30.0</v>
      </c>
      <c r="AH54" s="7">
        <v>2900.0</v>
      </c>
      <c r="AI54" s="7">
        <v>1000.0</v>
      </c>
      <c r="AJ54" s="7">
        <v>1000.0</v>
      </c>
      <c r="BJ54" s="7">
        <v>15.0</v>
      </c>
      <c r="BK54" s="7">
        <v>12.0</v>
      </c>
      <c r="BL54" s="7">
        <v>15.0</v>
      </c>
      <c r="BM54" s="7">
        <v>12.0</v>
      </c>
      <c r="BX54" s="7">
        <v>4.0</v>
      </c>
      <c r="BY54" s="7">
        <v>4.0</v>
      </c>
      <c r="CB54" s="7">
        <v>15.0</v>
      </c>
      <c r="CC54" s="7">
        <v>13.0</v>
      </c>
      <c r="CD54" s="7">
        <v>10.0</v>
      </c>
      <c r="CE54" s="7">
        <v>10.0</v>
      </c>
      <c r="CP54" s="7">
        <v>50.0</v>
      </c>
      <c r="CQ54" s="7">
        <v>30.0</v>
      </c>
      <c r="DB54" s="7">
        <v>30.0</v>
      </c>
      <c r="DC54" s="7">
        <v>20.0</v>
      </c>
      <c r="DN54" s="7">
        <v>3.0</v>
      </c>
      <c r="DO54" s="7">
        <v>2.0</v>
      </c>
      <c r="DR54" s="7">
        <v>2.0</v>
      </c>
      <c r="DS54" s="7">
        <v>3.0</v>
      </c>
      <c r="EF54" s="7">
        <v>3.0</v>
      </c>
      <c r="EG54" s="7">
        <v>3.0</v>
      </c>
      <c r="ET54" s="7">
        <v>15.0</v>
      </c>
      <c r="EU54" s="7">
        <v>45.0</v>
      </c>
      <c r="FB54" s="7">
        <v>30.0</v>
      </c>
      <c r="FC54" s="7">
        <v>30.0</v>
      </c>
      <c r="FK54" s="7">
        <v>30.0</v>
      </c>
      <c r="FR54" s="7">
        <v>30.0</v>
      </c>
      <c r="FS54" s="7">
        <v>15.0</v>
      </c>
      <c r="GR54" s="87">
        <v>53.0</v>
      </c>
    </row>
    <row r="55">
      <c r="A55" s="5">
        <v>45783.4578981713</v>
      </c>
      <c r="B55" s="6">
        <v>45748.0</v>
      </c>
      <c r="C55" s="6">
        <v>45772.0</v>
      </c>
      <c r="D55" s="7" t="s">
        <v>42</v>
      </c>
      <c r="E55" s="7" t="s">
        <v>279</v>
      </c>
      <c r="F55" s="7">
        <v>2.0</v>
      </c>
      <c r="G55" s="7" t="s">
        <v>70</v>
      </c>
      <c r="H55" s="7" t="s">
        <v>76</v>
      </c>
      <c r="AH55" s="7">
        <v>3050.0</v>
      </c>
      <c r="AI55" s="7">
        <v>1200.0</v>
      </c>
      <c r="AJ55" s="7">
        <v>1200.0</v>
      </c>
      <c r="GR55" s="87">
        <v>54.0</v>
      </c>
    </row>
    <row r="56">
      <c r="A56" s="5">
        <v>45803.383578796296</v>
      </c>
      <c r="B56" s="6">
        <v>45773.0</v>
      </c>
      <c r="C56" s="6">
        <v>45802.0</v>
      </c>
      <c r="D56" s="7" t="s">
        <v>39</v>
      </c>
      <c r="E56" s="7" t="s">
        <v>179</v>
      </c>
      <c r="F56" s="7">
        <v>4.0</v>
      </c>
      <c r="G56" s="7" t="s">
        <v>70</v>
      </c>
      <c r="H56" s="7" t="s">
        <v>76</v>
      </c>
      <c r="BL56" s="7">
        <v>45.0</v>
      </c>
      <c r="BM56" s="7">
        <v>35.0</v>
      </c>
      <c r="BZ56" s="7">
        <v>15.0</v>
      </c>
      <c r="CA56" s="7">
        <v>11.0</v>
      </c>
      <c r="CN56" s="7">
        <v>18.0</v>
      </c>
      <c r="CO56" s="7">
        <v>12.0</v>
      </c>
      <c r="CP56" s="7">
        <v>8.0</v>
      </c>
      <c r="CQ56" s="7">
        <v>5.0</v>
      </c>
      <c r="DB56" s="7">
        <v>30.0</v>
      </c>
      <c r="DC56" s="7">
        <v>23.0</v>
      </c>
      <c r="DD56" s="7">
        <v>10.0</v>
      </c>
      <c r="DE56" s="7">
        <v>7.0</v>
      </c>
      <c r="EU56" s="7">
        <v>45.0</v>
      </c>
      <c r="FB56" s="7">
        <v>15.0</v>
      </c>
      <c r="GR56" s="87">
        <v>55.0</v>
      </c>
    </row>
    <row r="57">
      <c r="A57" s="5">
        <v>45803.42059439815</v>
      </c>
      <c r="B57" s="6">
        <v>45773.0</v>
      </c>
      <c r="C57" s="6">
        <v>45802.0</v>
      </c>
      <c r="D57" s="7" t="s">
        <v>23</v>
      </c>
      <c r="E57" s="7" t="s">
        <v>92</v>
      </c>
      <c r="F57" s="7">
        <v>3.0</v>
      </c>
      <c r="G57" s="7" t="s">
        <v>70</v>
      </c>
      <c r="H57" s="7" t="s">
        <v>76</v>
      </c>
      <c r="J57" s="7">
        <v>97.0</v>
      </c>
      <c r="K57" s="7">
        <v>1.0</v>
      </c>
      <c r="Q57" s="7">
        <v>4.0</v>
      </c>
      <c r="R57" s="7">
        <v>300.0</v>
      </c>
      <c r="S57" s="7">
        <v>1360.0</v>
      </c>
      <c r="U57" s="7">
        <v>2.0</v>
      </c>
      <c r="AH57" s="7">
        <v>250.0</v>
      </c>
      <c r="AI57" s="7">
        <v>800.0</v>
      </c>
      <c r="AJ57" s="7">
        <v>800.0</v>
      </c>
      <c r="BJ57" s="7">
        <v>15.0</v>
      </c>
      <c r="BK57" s="7">
        <v>15.0</v>
      </c>
      <c r="BL57" s="7">
        <v>15.0</v>
      </c>
      <c r="BM57" s="7">
        <v>15.0</v>
      </c>
      <c r="BZ57" s="7">
        <v>15.0</v>
      </c>
      <c r="CA57" s="7">
        <v>15.0</v>
      </c>
      <c r="CL57" s="7">
        <v>14.0</v>
      </c>
      <c r="CM57" s="7">
        <v>8.0</v>
      </c>
      <c r="CN57" s="7">
        <v>15.0</v>
      </c>
      <c r="CO57" s="7">
        <v>9.0</v>
      </c>
      <c r="DB57" s="7">
        <v>27.0</v>
      </c>
      <c r="DC57" s="7">
        <v>20.0</v>
      </c>
      <c r="DR57" s="7">
        <v>10.0</v>
      </c>
      <c r="DS57" s="7">
        <v>12.0</v>
      </c>
      <c r="EH57" s="7">
        <v>5.0</v>
      </c>
      <c r="EI57" s="7">
        <v>3.0</v>
      </c>
      <c r="ET57" s="7">
        <v>15.0</v>
      </c>
      <c r="EU57" s="7">
        <v>15.0</v>
      </c>
      <c r="FB57" s="7">
        <v>15.0</v>
      </c>
      <c r="GR57" s="87">
        <v>56.0</v>
      </c>
    </row>
    <row r="58">
      <c r="A58" s="5">
        <v>45803.5011266088</v>
      </c>
      <c r="B58" s="6">
        <v>45773.0</v>
      </c>
      <c r="C58" s="6">
        <v>45802.0</v>
      </c>
      <c r="D58" s="7" t="s">
        <v>213</v>
      </c>
      <c r="E58" s="7" t="s">
        <v>231</v>
      </c>
      <c r="F58" s="7">
        <v>3.0</v>
      </c>
      <c r="G58" s="7" t="s">
        <v>70</v>
      </c>
      <c r="H58" s="7" t="s">
        <v>76</v>
      </c>
      <c r="J58" s="7">
        <v>63.0</v>
      </c>
      <c r="N58" s="7">
        <v>35.0</v>
      </c>
      <c r="AH58" s="7">
        <v>-750.0</v>
      </c>
      <c r="AI58" s="7">
        <v>200.0</v>
      </c>
      <c r="AJ58" s="7">
        <v>200.0</v>
      </c>
      <c r="BF58" s="7">
        <v>15.0</v>
      </c>
      <c r="BG58" s="7">
        <v>15.0</v>
      </c>
      <c r="BH58" s="7">
        <v>15.0</v>
      </c>
      <c r="BI58" s="7">
        <v>15.0</v>
      </c>
      <c r="BL58" s="7">
        <v>15.0</v>
      </c>
      <c r="BM58" s="7">
        <v>15.0</v>
      </c>
      <c r="BZ58" s="7">
        <v>15.0</v>
      </c>
      <c r="CA58" s="7">
        <v>15.0</v>
      </c>
      <c r="CN58" s="7">
        <v>7.0</v>
      </c>
      <c r="CO58" s="7">
        <v>4.0</v>
      </c>
      <c r="DB58" s="7">
        <v>30.0</v>
      </c>
      <c r="DC58" s="7">
        <v>15.0</v>
      </c>
      <c r="DR58" s="7">
        <v>13.0</v>
      </c>
      <c r="DS58" s="7">
        <v>15.0</v>
      </c>
      <c r="EF58" s="7">
        <v>4.0</v>
      </c>
      <c r="EG58" s="7">
        <v>4.0</v>
      </c>
      <c r="ER58" s="7">
        <v>15.0</v>
      </c>
      <c r="ES58" s="7">
        <v>45.0</v>
      </c>
      <c r="EU58" s="7">
        <v>15.0</v>
      </c>
      <c r="FB58" s="7">
        <v>15.0</v>
      </c>
      <c r="GR58" s="87">
        <v>57.0</v>
      </c>
    </row>
    <row r="59">
      <c r="A59" s="5">
        <v>45803.51118876158</v>
      </c>
      <c r="B59" s="6">
        <v>45773.0</v>
      </c>
      <c r="C59" s="6">
        <v>45802.0</v>
      </c>
      <c r="D59" s="7" t="s">
        <v>38</v>
      </c>
      <c r="E59" s="7" t="s">
        <v>188</v>
      </c>
      <c r="F59" s="7">
        <v>2.0</v>
      </c>
      <c r="G59" s="7" t="s">
        <v>70</v>
      </c>
      <c r="H59" s="7" t="s">
        <v>76</v>
      </c>
      <c r="J59" s="7">
        <v>50.0</v>
      </c>
      <c r="N59" s="7">
        <v>25.0</v>
      </c>
      <c r="AI59" s="7">
        <v>850.0</v>
      </c>
      <c r="AJ59" s="7">
        <v>850.0</v>
      </c>
      <c r="BL59" s="7">
        <v>30.0</v>
      </c>
      <c r="BM59" s="7">
        <v>15.0</v>
      </c>
      <c r="BZ59" s="7">
        <v>15.0</v>
      </c>
      <c r="CA59" s="7">
        <v>8.0</v>
      </c>
      <c r="EU59" s="7">
        <v>30.0</v>
      </c>
      <c r="FB59" s="7">
        <v>15.0</v>
      </c>
      <c r="GR59" s="87">
        <v>58.0</v>
      </c>
    </row>
    <row r="60">
      <c r="A60" s="5">
        <v>45803.51316767361</v>
      </c>
      <c r="B60" s="6">
        <v>45773.0</v>
      </c>
      <c r="C60" s="6">
        <v>45802.0</v>
      </c>
      <c r="D60" s="7" t="s">
        <v>26</v>
      </c>
      <c r="E60" s="7" t="s">
        <v>104</v>
      </c>
      <c r="F60" s="7">
        <v>3.0</v>
      </c>
      <c r="G60" s="7" t="s">
        <v>70</v>
      </c>
      <c r="H60" s="7" t="s">
        <v>76</v>
      </c>
      <c r="J60" s="7">
        <v>18.0</v>
      </c>
      <c r="K60" s="7">
        <v>37.0</v>
      </c>
      <c r="N60" s="7">
        <v>6.0</v>
      </c>
      <c r="O60" s="7">
        <v>39.0</v>
      </c>
      <c r="Q60" s="7">
        <v>2.0</v>
      </c>
      <c r="R60" s="7">
        <v>425.0</v>
      </c>
      <c r="S60" s="7">
        <v>2250.0</v>
      </c>
      <c r="AI60" s="7">
        <v>950.0</v>
      </c>
      <c r="AJ60" s="7">
        <v>950.0</v>
      </c>
      <c r="BJ60" s="7">
        <v>20.0</v>
      </c>
      <c r="BK60" s="7">
        <v>14.0</v>
      </c>
      <c r="BL60" s="7">
        <v>20.0</v>
      </c>
      <c r="BM60" s="7">
        <v>14.0</v>
      </c>
      <c r="CB60" s="7">
        <v>15.0</v>
      </c>
      <c r="CC60" s="7">
        <v>11.0</v>
      </c>
      <c r="CP60" s="7">
        <v>7.0</v>
      </c>
      <c r="CQ60" s="7">
        <v>4.0</v>
      </c>
      <c r="DB60" s="7">
        <v>12.0</v>
      </c>
      <c r="DC60" s="7">
        <v>8.0</v>
      </c>
      <c r="DR60" s="7">
        <v>2.0</v>
      </c>
      <c r="DS60" s="7">
        <v>1.0</v>
      </c>
      <c r="EF60" s="7">
        <v>4.0</v>
      </c>
      <c r="EG60" s="7">
        <v>2.0</v>
      </c>
      <c r="EH60" s="7">
        <v>2.0</v>
      </c>
      <c r="EI60" s="7">
        <v>1.0</v>
      </c>
      <c r="ET60" s="7">
        <v>30.0</v>
      </c>
      <c r="EU60" s="7">
        <v>30.0</v>
      </c>
      <c r="FC60" s="7">
        <v>0.0</v>
      </c>
      <c r="GR60" s="87">
        <v>59.0</v>
      </c>
    </row>
    <row r="61">
      <c r="A61" s="5">
        <v>45803.5178060301</v>
      </c>
      <c r="B61" s="6">
        <v>45773.0</v>
      </c>
      <c r="C61" s="6">
        <v>45802.0</v>
      </c>
      <c r="D61" s="7" t="s">
        <v>25</v>
      </c>
      <c r="E61" s="7" t="s">
        <v>246</v>
      </c>
      <c r="F61" s="7">
        <v>2.0</v>
      </c>
      <c r="G61" s="7" t="s">
        <v>70</v>
      </c>
      <c r="H61" s="7" t="s">
        <v>76</v>
      </c>
      <c r="J61" s="7">
        <v>60.0</v>
      </c>
      <c r="N61" s="7">
        <v>30.0</v>
      </c>
      <c r="AH61" s="7">
        <v>0.0</v>
      </c>
      <c r="AI61" s="7">
        <v>1000.0</v>
      </c>
      <c r="AJ61" s="7">
        <v>1000.0</v>
      </c>
      <c r="BZ61" s="7">
        <v>10.0</v>
      </c>
      <c r="CA61" s="7">
        <v>5.0</v>
      </c>
      <c r="CB61" s="7">
        <v>10.0</v>
      </c>
      <c r="CC61" s="7">
        <v>5.0</v>
      </c>
      <c r="CN61" s="7">
        <v>5.0</v>
      </c>
      <c r="CO61" s="7">
        <v>3.0</v>
      </c>
      <c r="CP61" s="7">
        <v>10.0</v>
      </c>
      <c r="CQ61" s="7">
        <v>5.0</v>
      </c>
      <c r="DB61" s="7">
        <v>10.0</v>
      </c>
      <c r="DC61" s="7">
        <v>5.0</v>
      </c>
      <c r="DL61" s="7">
        <v>2.0</v>
      </c>
      <c r="DM61" s="7">
        <v>1.0</v>
      </c>
      <c r="EJ61" s="7">
        <v>1.0</v>
      </c>
      <c r="EK61" s="7">
        <v>1.0</v>
      </c>
      <c r="FB61" s="7">
        <v>15.0</v>
      </c>
      <c r="FC61" s="7">
        <v>15.0</v>
      </c>
      <c r="GR61" s="87">
        <v>60.0</v>
      </c>
    </row>
    <row r="62">
      <c r="A62" s="5">
        <v>45803.52505067129</v>
      </c>
      <c r="B62" s="6">
        <v>45773.0</v>
      </c>
      <c r="C62" s="6">
        <v>45802.0</v>
      </c>
      <c r="D62" s="7" t="s">
        <v>24</v>
      </c>
      <c r="E62" s="7" t="s">
        <v>158</v>
      </c>
      <c r="F62" s="7">
        <v>3.0</v>
      </c>
      <c r="G62" s="7" t="s">
        <v>70</v>
      </c>
      <c r="H62" s="7" t="s">
        <v>76</v>
      </c>
      <c r="J62" s="7">
        <v>52.0</v>
      </c>
      <c r="N62" s="7">
        <v>13.0</v>
      </c>
      <c r="AH62" s="7">
        <v>150.0</v>
      </c>
      <c r="AI62" s="7">
        <v>150.0</v>
      </c>
      <c r="AJ62" s="7">
        <v>150.0</v>
      </c>
      <c r="BF62" s="7">
        <v>30.0</v>
      </c>
      <c r="BG62" s="7">
        <v>25.0</v>
      </c>
      <c r="BH62" s="7">
        <v>15.0</v>
      </c>
      <c r="BI62" s="7">
        <v>12.0</v>
      </c>
      <c r="BJ62" s="7">
        <v>15.0</v>
      </c>
      <c r="BK62" s="7">
        <v>10.0</v>
      </c>
      <c r="BL62" s="7">
        <v>60.0</v>
      </c>
      <c r="BM62" s="7">
        <v>45.0</v>
      </c>
      <c r="BZ62" s="7">
        <v>15.0</v>
      </c>
      <c r="CA62" s="7">
        <v>10.0</v>
      </c>
      <c r="CL62" s="7">
        <v>18.0</v>
      </c>
      <c r="CM62" s="7">
        <v>15.0</v>
      </c>
      <c r="CP62" s="7">
        <v>28.0</v>
      </c>
      <c r="CQ62" s="7">
        <v>25.0</v>
      </c>
      <c r="DB62" s="7">
        <v>25.0</v>
      </c>
      <c r="DC62" s="7">
        <v>22.0</v>
      </c>
      <c r="DL62" s="7">
        <v>3.0</v>
      </c>
      <c r="DM62" s="7">
        <v>4.0</v>
      </c>
      <c r="DR62" s="7">
        <v>3.0</v>
      </c>
      <c r="DS62" s="7">
        <v>5.0</v>
      </c>
      <c r="ER62" s="7">
        <v>30.0</v>
      </c>
      <c r="ES62" s="7">
        <v>15.0</v>
      </c>
      <c r="ET62" s="7">
        <v>15.0</v>
      </c>
      <c r="EU62" s="7">
        <v>60.0</v>
      </c>
      <c r="EX62" s="7">
        <v>10.0</v>
      </c>
      <c r="FB62" s="7">
        <v>45.0</v>
      </c>
      <c r="FC62" s="7">
        <v>30.0</v>
      </c>
      <c r="GR62" s="87">
        <v>61.0</v>
      </c>
    </row>
    <row r="63">
      <c r="A63" s="5">
        <v>45803.52839741898</v>
      </c>
      <c r="B63" s="6">
        <v>45773.0</v>
      </c>
      <c r="C63" s="6">
        <v>45802.0</v>
      </c>
      <c r="D63" s="7" t="s">
        <v>212</v>
      </c>
      <c r="E63" s="7" t="s">
        <v>227</v>
      </c>
      <c r="F63" s="7">
        <v>3.0</v>
      </c>
      <c r="G63" s="7" t="s">
        <v>70</v>
      </c>
      <c r="H63" s="7" t="s">
        <v>76</v>
      </c>
      <c r="J63" s="7">
        <v>46.0</v>
      </c>
      <c r="N63" s="7">
        <v>35.0</v>
      </c>
      <c r="T63" s="7">
        <v>7.0</v>
      </c>
      <c r="AH63" s="7">
        <v>-900.0</v>
      </c>
      <c r="AI63" s="7">
        <v>900.0</v>
      </c>
      <c r="AJ63" s="7">
        <v>900.0</v>
      </c>
      <c r="CB63" s="7">
        <v>30.0</v>
      </c>
      <c r="CC63" s="7">
        <v>28.0</v>
      </c>
      <c r="CH63" s="7">
        <v>5.0</v>
      </c>
      <c r="CI63" s="7">
        <v>3.0</v>
      </c>
      <c r="CN63" s="7">
        <v>6.0</v>
      </c>
      <c r="CO63" s="7">
        <v>4.0</v>
      </c>
      <c r="CP63" s="7">
        <v>5.0</v>
      </c>
      <c r="CQ63" s="7">
        <v>4.0</v>
      </c>
      <c r="DB63" s="7">
        <v>7.0</v>
      </c>
      <c r="DC63" s="7">
        <v>4.0</v>
      </c>
      <c r="DD63" s="7">
        <v>6.0</v>
      </c>
      <c r="DE63" s="7">
        <v>3.0</v>
      </c>
      <c r="DL63" s="7">
        <v>2.0</v>
      </c>
      <c r="DM63" s="7">
        <v>1.0</v>
      </c>
      <c r="DT63" s="7">
        <v>2.0</v>
      </c>
      <c r="DU63" s="7">
        <v>1.0</v>
      </c>
      <c r="EF63" s="7">
        <v>6.0</v>
      </c>
      <c r="EG63" s="7">
        <v>3.0</v>
      </c>
      <c r="FB63" s="7">
        <v>30.0</v>
      </c>
      <c r="FC63" s="7">
        <v>30.0</v>
      </c>
      <c r="GR63" s="87">
        <v>62.0</v>
      </c>
    </row>
    <row r="64">
      <c r="A64" s="5">
        <v>45803.540864490744</v>
      </c>
      <c r="B64" s="6">
        <v>45773.0</v>
      </c>
      <c r="C64" s="6">
        <v>45802.0</v>
      </c>
      <c r="D64" s="7" t="s">
        <v>33</v>
      </c>
      <c r="E64" s="7" t="s">
        <v>151</v>
      </c>
      <c r="F64" s="7">
        <v>2.0</v>
      </c>
      <c r="G64" s="7" t="s">
        <v>70</v>
      </c>
      <c r="H64" s="7" t="s">
        <v>76</v>
      </c>
      <c r="J64" s="7">
        <v>28.0</v>
      </c>
      <c r="K64" s="7">
        <v>2.0</v>
      </c>
      <c r="N64" s="7">
        <v>14.0</v>
      </c>
      <c r="Y64" s="7">
        <v>2.0</v>
      </c>
      <c r="AI64" s="7">
        <v>3300.0</v>
      </c>
      <c r="AJ64" s="7">
        <v>3300.0</v>
      </c>
      <c r="BN64" s="7">
        <v>7.0</v>
      </c>
      <c r="BO64" s="7">
        <v>4.0</v>
      </c>
      <c r="BZ64" s="7">
        <v>19.0</v>
      </c>
      <c r="CA64" s="7">
        <v>10.0</v>
      </c>
      <c r="CB64" s="7">
        <v>15.0</v>
      </c>
      <c r="CC64" s="7">
        <v>8.0</v>
      </c>
      <c r="CH64" s="7">
        <v>5.0</v>
      </c>
      <c r="CI64" s="7">
        <v>3.0</v>
      </c>
      <c r="CN64" s="7">
        <v>2.0</v>
      </c>
      <c r="CO64" s="7">
        <v>1.0</v>
      </c>
      <c r="CT64" s="7">
        <v>2.0</v>
      </c>
      <c r="CU64" s="7">
        <v>1.0</v>
      </c>
      <c r="DB64" s="7">
        <v>8.0</v>
      </c>
      <c r="DC64" s="7">
        <v>4.0</v>
      </c>
      <c r="FB64" s="7">
        <v>15.0</v>
      </c>
      <c r="GR64" s="87">
        <v>63.0</v>
      </c>
    </row>
    <row r="65">
      <c r="A65" s="5">
        <v>45803.547419386574</v>
      </c>
      <c r="B65" s="6">
        <v>45773.0</v>
      </c>
      <c r="C65" s="6">
        <v>45802.0</v>
      </c>
      <c r="D65" s="7" t="s">
        <v>29</v>
      </c>
      <c r="E65" s="7" t="s">
        <v>110</v>
      </c>
      <c r="F65" s="7">
        <v>3.0</v>
      </c>
      <c r="G65" s="7" t="s">
        <v>70</v>
      </c>
      <c r="H65" s="7" t="s">
        <v>76</v>
      </c>
      <c r="J65" s="7">
        <v>51.0</v>
      </c>
      <c r="N65" s="7">
        <v>9.0</v>
      </c>
      <c r="AH65" s="7">
        <v>250.0</v>
      </c>
      <c r="AI65" s="7">
        <v>1550.0</v>
      </c>
      <c r="AJ65" s="7">
        <v>1550.0</v>
      </c>
      <c r="BH65" s="7">
        <v>15.0</v>
      </c>
      <c r="BI65" s="7">
        <v>15.0</v>
      </c>
      <c r="BL65" s="7">
        <v>15.0</v>
      </c>
      <c r="BM65" s="7">
        <v>15.0</v>
      </c>
      <c r="BZ65" s="7">
        <v>15.0</v>
      </c>
      <c r="CA65" s="7">
        <v>15.0</v>
      </c>
      <c r="CH65" s="7">
        <v>5.0</v>
      </c>
      <c r="CI65" s="7">
        <v>2.0</v>
      </c>
      <c r="CN65" s="7">
        <v>15.0</v>
      </c>
      <c r="CO65" s="7">
        <v>7.0</v>
      </c>
      <c r="CP65" s="7">
        <v>25.0</v>
      </c>
      <c r="CQ65" s="7">
        <v>13.0</v>
      </c>
      <c r="DB65" s="7">
        <v>35.0</v>
      </c>
      <c r="DC65" s="7">
        <v>16.0</v>
      </c>
      <c r="DD65" s="7">
        <v>5.0</v>
      </c>
      <c r="DE65" s="7">
        <v>2.0</v>
      </c>
      <c r="DL65" s="7">
        <v>3.0</v>
      </c>
      <c r="DM65" s="7">
        <v>3.0</v>
      </c>
      <c r="DN65" s="7">
        <v>3.0</v>
      </c>
      <c r="DO65" s="7">
        <v>3.0</v>
      </c>
      <c r="DR65" s="7">
        <v>4.0</v>
      </c>
      <c r="DS65" s="7">
        <v>5.0</v>
      </c>
      <c r="EF65" s="7">
        <v>6.0</v>
      </c>
      <c r="EG65" s="7">
        <v>8.0</v>
      </c>
      <c r="ES65" s="7">
        <v>15.0</v>
      </c>
      <c r="EU65" s="7">
        <v>15.0</v>
      </c>
      <c r="EX65" s="7">
        <v>10.0</v>
      </c>
      <c r="FB65" s="7">
        <v>15.0</v>
      </c>
      <c r="GR65" s="87">
        <v>64.0</v>
      </c>
    </row>
    <row r="66">
      <c r="A66" s="5">
        <v>45803.55672001158</v>
      </c>
      <c r="B66" s="6">
        <v>45773.0</v>
      </c>
      <c r="C66" s="6">
        <v>45802.0</v>
      </c>
      <c r="D66" s="7" t="s">
        <v>269</v>
      </c>
      <c r="E66" s="7" t="s">
        <v>267</v>
      </c>
      <c r="F66" s="7">
        <v>2.0</v>
      </c>
      <c r="G66" s="7" t="s">
        <v>70</v>
      </c>
      <c r="H66" s="7" t="s">
        <v>76</v>
      </c>
      <c r="J66" s="7">
        <v>90.0</v>
      </c>
      <c r="N66" s="7">
        <v>47.0</v>
      </c>
      <c r="AI66" s="7">
        <v>2400.0</v>
      </c>
      <c r="AJ66" s="7">
        <v>2400.0</v>
      </c>
      <c r="BJ66" s="7">
        <v>15.0</v>
      </c>
      <c r="BK66" s="7">
        <v>15.0</v>
      </c>
      <c r="BL66" s="7">
        <v>15.0</v>
      </c>
      <c r="BM66" s="7">
        <v>15.0</v>
      </c>
      <c r="BZ66" s="7">
        <v>30.0</v>
      </c>
      <c r="CA66" s="7">
        <v>30.0</v>
      </c>
      <c r="CH66" s="7">
        <v>13.0</v>
      </c>
      <c r="CI66" s="7">
        <v>9.0</v>
      </c>
      <c r="CP66" s="7">
        <v>12.0</v>
      </c>
      <c r="CQ66" s="7">
        <v>8.0</v>
      </c>
      <c r="DB66" s="7">
        <v>26.0</v>
      </c>
      <c r="DC66" s="7">
        <v>17.0</v>
      </c>
      <c r="DL66" s="7">
        <v>6.0</v>
      </c>
      <c r="DM66" s="7">
        <v>6.0</v>
      </c>
      <c r="EF66" s="7">
        <v>5.0</v>
      </c>
      <c r="EG66" s="7">
        <v>5.0</v>
      </c>
      <c r="ET66" s="7">
        <v>15.0</v>
      </c>
      <c r="EU66" s="7">
        <v>15.0</v>
      </c>
      <c r="FB66" s="7">
        <v>60.0</v>
      </c>
      <c r="FC66" s="7">
        <v>15.0</v>
      </c>
      <c r="GR66" s="87">
        <v>65.0</v>
      </c>
    </row>
    <row r="67">
      <c r="A67" s="5">
        <v>45803.55678300926</v>
      </c>
      <c r="B67" s="6">
        <v>45773.0</v>
      </c>
      <c r="C67" s="6">
        <v>45802.0</v>
      </c>
      <c r="D67" s="7" t="s">
        <v>207</v>
      </c>
      <c r="E67" s="7" t="s">
        <v>205</v>
      </c>
      <c r="F67" s="7">
        <v>2.0</v>
      </c>
      <c r="G67" s="7" t="s">
        <v>70</v>
      </c>
      <c r="H67" s="7" t="s">
        <v>76</v>
      </c>
      <c r="J67" s="7">
        <v>100.0</v>
      </c>
      <c r="N67" s="7">
        <v>47.0</v>
      </c>
      <c r="T67" s="7">
        <v>50.0</v>
      </c>
      <c r="Y67" s="7">
        <v>10.0</v>
      </c>
      <c r="AH67" s="7">
        <v>-500.0</v>
      </c>
      <c r="AI67" s="7">
        <v>2200.0</v>
      </c>
      <c r="AJ67" s="7">
        <v>2200.0</v>
      </c>
      <c r="BJ67" s="7">
        <v>15.0</v>
      </c>
      <c r="BK67" s="7">
        <v>12.0</v>
      </c>
      <c r="BL67" s="7">
        <v>15.0</v>
      </c>
      <c r="BM67" s="7">
        <v>12.0</v>
      </c>
      <c r="BR67" s="7">
        <v>9.0</v>
      </c>
      <c r="BS67" s="7">
        <v>7.0</v>
      </c>
      <c r="BZ67" s="7">
        <v>30.0</v>
      </c>
      <c r="CA67" s="7">
        <v>24.0</v>
      </c>
      <c r="CH67" s="7">
        <v>15.0</v>
      </c>
      <c r="CI67" s="7">
        <v>8.0</v>
      </c>
      <c r="CL67" s="7">
        <v>15.0</v>
      </c>
      <c r="CM67" s="7">
        <v>8.0</v>
      </c>
      <c r="CN67" s="7">
        <v>15.0</v>
      </c>
      <c r="CO67" s="7">
        <v>8.0</v>
      </c>
      <c r="CP67" s="7">
        <v>5.0</v>
      </c>
      <c r="CQ67" s="7">
        <v>3.0</v>
      </c>
      <c r="CZ67" s="7">
        <v>2.0</v>
      </c>
      <c r="DB67" s="7">
        <v>60.0</v>
      </c>
      <c r="DC67" s="7">
        <v>30.0</v>
      </c>
      <c r="DL67" s="7">
        <v>4.0</v>
      </c>
      <c r="DM67" s="7">
        <v>4.0</v>
      </c>
      <c r="DN67" s="7">
        <v>4.0</v>
      </c>
      <c r="DO67" s="7">
        <v>4.0</v>
      </c>
      <c r="EF67" s="7">
        <v>4.0</v>
      </c>
      <c r="EG67" s="7">
        <v>4.0</v>
      </c>
      <c r="ET67" s="7">
        <v>15.0</v>
      </c>
      <c r="EU67" s="7">
        <v>15.0</v>
      </c>
      <c r="EX67" s="7">
        <v>9.0</v>
      </c>
      <c r="FB67" s="7">
        <v>30.0</v>
      </c>
      <c r="GR67" s="87">
        <v>66.0</v>
      </c>
    </row>
    <row r="68">
      <c r="A68" s="5">
        <v>45803.558081828705</v>
      </c>
      <c r="B68" s="6">
        <v>45773.0</v>
      </c>
      <c r="C68" s="6">
        <v>45802.0</v>
      </c>
      <c r="D68" s="7" t="s">
        <v>35</v>
      </c>
      <c r="E68" s="7" t="s">
        <v>283</v>
      </c>
      <c r="F68" s="7">
        <v>2.0</v>
      </c>
      <c r="G68" s="7" t="s">
        <v>70</v>
      </c>
      <c r="H68" s="7" t="s">
        <v>76</v>
      </c>
      <c r="J68" s="7">
        <v>40.0</v>
      </c>
      <c r="N68" s="7">
        <v>30.0</v>
      </c>
      <c r="AI68" s="7">
        <v>3300.0</v>
      </c>
      <c r="AJ68" s="7">
        <v>3300.0</v>
      </c>
      <c r="CN68" s="7">
        <v>12.0</v>
      </c>
      <c r="CO68" s="7">
        <v>7.0</v>
      </c>
      <c r="DB68" s="7">
        <v>12.0</v>
      </c>
      <c r="DC68" s="7">
        <v>8.0</v>
      </c>
      <c r="DL68" s="7">
        <v>6.0</v>
      </c>
      <c r="DM68" s="7">
        <v>6.0</v>
      </c>
      <c r="GR68" s="87">
        <v>67.0</v>
      </c>
    </row>
    <row r="69">
      <c r="A69" s="5">
        <v>45803.62728674768</v>
      </c>
      <c r="B69" s="6">
        <v>45773.0</v>
      </c>
      <c r="C69" s="6">
        <v>45802.0</v>
      </c>
      <c r="D69" s="7" t="s">
        <v>127</v>
      </c>
      <c r="E69" s="7" t="s">
        <v>145</v>
      </c>
      <c r="F69" s="7">
        <v>4.0</v>
      </c>
      <c r="G69" s="7" t="s">
        <v>70</v>
      </c>
      <c r="H69" s="7" t="s">
        <v>76</v>
      </c>
      <c r="BL69" s="7">
        <v>15.0</v>
      </c>
      <c r="BM69" s="7">
        <v>12.0</v>
      </c>
      <c r="DB69" s="7">
        <v>7.0</v>
      </c>
      <c r="DC69" s="7">
        <v>4.0</v>
      </c>
      <c r="EU69" s="7">
        <v>15.0</v>
      </c>
      <c r="GR69" s="87">
        <v>68.0</v>
      </c>
    </row>
    <row r="70">
      <c r="A70" s="5">
        <v>45803.76733269676</v>
      </c>
      <c r="B70" s="6">
        <v>45773.0</v>
      </c>
      <c r="C70" s="6">
        <v>45802.0</v>
      </c>
      <c r="D70" s="7" t="s">
        <v>201</v>
      </c>
      <c r="E70" s="7" t="s">
        <v>199</v>
      </c>
      <c r="F70" s="7">
        <v>2.0</v>
      </c>
      <c r="G70" s="7" t="s">
        <v>70</v>
      </c>
      <c r="H70" s="7" t="s">
        <v>76</v>
      </c>
      <c r="J70" s="7">
        <v>92.0</v>
      </c>
      <c r="N70" s="7">
        <v>46.0</v>
      </c>
      <c r="AI70" s="7">
        <v>2450.0</v>
      </c>
      <c r="AJ70" s="7">
        <v>2450.0</v>
      </c>
      <c r="BH70" s="7">
        <v>15.0</v>
      </c>
      <c r="BI70" s="7">
        <v>11.0</v>
      </c>
      <c r="BJ70" s="7">
        <v>30.0</v>
      </c>
      <c r="BK70" s="7">
        <v>21.0</v>
      </c>
      <c r="BZ70" s="7">
        <v>45.0</v>
      </c>
      <c r="CA70" s="7">
        <v>32.0</v>
      </c>
      <c r="CB70" s="7">
        <v>30.0</v>
      </c>
      <c r="CC70" s="7">
        <v>19.0</v>
      </c>
      <c r="CH70" s="7">
        <v>4.0</v>
      </c>
      <c r="CI70" s="7">
        <v>2.0</v>
      </c>
      <c r="CL70" s="7">
        <v>10.0</v>
      </c>
      <c r="CM70" s="7">
        <v>6.0</v>
      </c>
      <c r="CP70" s="7">
        <v>10.0</v>
      </c>
      <c r="CQ70" s="7">
        <v>5.0</v>
      </c>
      <c r="CT70" s="7">
        <v>5.0</v>
      </c>
      <c r="CU70" s="7">
        <v>2.0</v>
      </c>
      <c r="DD70" s="7">
        <v>33.0</v>
      </c>
      <c r="DE70" s="7">
        <v>19.0</v>
      </c>
      <c r="DF70" s="7">
        <v>2.0</v>
      </c>
      <c r="DL70" s="7">
        <v>10.0</v>
      </c>
      <c r="DM70" s="7">
        <v>8.0</v>
      </c>
      <c r="DT70" s="7">
        <v>1.0</v>
      </c>
      <c r="DU70" s="7">
        <v>1.0</v>
      </c>
      <c r="EH70" s="7">
        <v>9.0</v>
      </c>
      <c r="EI70" s="7">
        <v>9.0</v>
      </c>
      <c r="ES70" s="7">
        <v>15.0</v>
      </c>
      <c r="ET70" s="7">
        <v>30.0</v>
      </c>
      <c r="FB70" s="7">
        <v>45.0</v>
      </c>
      <c r="FC70" s="7">
        <v>30.0</v>
      </c>
      <c r="GR70" s="87">
        <v>69.0</v>
      </c>
    </row>
    <row r="71">
      <c r="A71" s="5">
        <v>45804.37664287037</v>
      </c>
      <c r="B71" s="6">
        <v>45773.0</v>
      </c>
      <c r="C71" s="6">
        <v>45802.0</v>
      </c>
      <c r="D71" s="7" t="s">
        <v>20</v>
      </c>
      <c r="E71" s="7" t="s">
        <v>77</v>
      </c>
      <c r="F71" s="7">
        <v>1.0</v>
      </c>
      <c r="G71" s="7" t="s">
        <v>70</v>
      </c>
      <c r="H71" s="7" t="s">
        <v>76</v>
      </c>
      <c r="J71" s="7">
        <v>32.0</v>
      </c>
      <c r="K71" s="7">
        <v>42.0</v>
      </c>
      <c r="L71" s="7">
        <v>48.0</v>
      </c>
      <c r="N71" s="7">
        <v>15.0</v>
      </c>
      <c r="O71" s="7">
        <v>20.0</v>
      </c>
      <c r="P71" s="7">
        <v>20.0</v>
      </c>
      <c r="T71" s="7">
        <v>250.0</v>
      </c>
      <c r="AH71" s="7">
        <v>900.0</v>
      </c>
      <c r="AI71" s="7">
        <v>1500.0</v>
      </c>
      <c r="AJ71" s="7">
        <v>1500.0</v>
      </c>
      <c r="BH71" s="7">
        <v>15.0</v>
      </c>
      <c r="BI71" s="7">
        <v>13.0</v>
      </c>
      <c r="BL71" s="7">
        <v>15.0</v>
      </c>
      <c r="BM71" s="7">
        <v>12.0</v>
      </c>
      <c r="BZ71" s="7">
        <v>15.0</v>
      </c>
      <c r="CA71" s="7">
        <v>11.0</v>
      </c>
      <c r="CH71" s="7">
        <v>11.0</v>
      </c>
      <c r="CI71" s="7">
        <v>5.0</v>
      </c>
      <c r="CL71" s="7">
        <v>21.0</v>
      </c>
      <c r="CM71" s="7">
        <v>9.0</v>
      </c>
      <c r="DB71" s="7">
        <v>20.0</v>
      </c>
      <c r="DC71" s="7">
        <v>11.0</v>
      </c>
      <c r="DR71" s="7">
        <v>3.0</v>
      </c>
      <c r="DS71" s="7">
        <v>3.0</v>
      </c>
      <c r="ES71" s="7">
        <v>15.0</v>
      </c>
      <c r="EU71" s="7">
        <v>15.0</v>
      </c>
      <c r="FB71" s="7">
        <v>15.0</v>
      </c>
      <c r="GN71" s="7">
        <v>2.0</v>
      </c>
      <c r="GO71" s="7">
        <v>2.0</v>
      </c>
      <c r="GQ71" s="7">
        <v>20.0</v>
      </c>
      <c r="GR71" s="87">
        <v>70.0</v>
      </c>
    </row>
    <row r="72">
      <c r="A72" s="5">
        <v>45804.41211068287</v>
      </c>
      <c r="B72" s="6">
        <v>45773.0</v>
      </c>
      <c r="C72" s="6">
        <v>45802.0</v>
      </c>
      <c r="D72" s="7" t="s">
        <v>30</v>
      </c>
      <c r="E72" s="7" t="s">
        <v>237</v>
      </c>
      <c r="F72" s="7">
        <v>2.0</v>
      </c>
      <c r="G72" s="7" t="s">
        <v>70</v>
      </c>
      <c r="H72" s="7" t="s">
        <v>76</v>
      </c>
      <c r="J72" s="7">
        <v>44.0</v>
      </c>
      <c r="K72" s="7">
        <v>1.0</v>
      </c>
      <c r="N72" s="7">
        <v>10.0</v>
      </c>
      <c r="O72" s="7">
        <v>1.0</v>
      </c>
      <c r="W72" s="7">
        <v>1.0</v>
      </c>
      <c r="AI72" s="7">
        <v>2500.0</v>
      </c>
      <c r="AJ72" s="7">
        <v>2500.0</v>
      </c>
      <c r="BF72" s="7">
        <v>15.0</v>
      </c>
      <c r="BG72" s="7">
        <v>15.0</v>
      </c>
      <c r="BZ72" s="7">
        <v>30.0</v>
      </c>
      <c r="CA72" s="7">
        <v>30.0</v>
      </c>
      <c r="CH72" s="7">
        <v>3.0</v>
      </c>
      <c r="CI72" s="7">
        <v>2.0</v>
      </c>
      <c r="CN72" s="7">
        <v>2.0</v>
      </c>
      <c r="CO72" s="7">
        <v>1.0</v>
      </c>
      <c r="DB72" s="7">
        <v>8.0</v>
      </c>
      <c r="DC72" s="7">
        <v>3.0</v>
      </c>
      <c r="DL72" s="7">
        <v>1.0</v>
      </c>
      <c r="DM72" s="7">
        <v>1.0</v>
      </c>
      <c r="EF72" s="7">
        <v>1.0</v>
      </c>
      <c r="EG72" s="7">
        <v>2.0</v>
      </c>
      <c r="ER72" s="7">
        <v>15.0</v>
      </c>
      <c r="FB72" s="7">
        <v>30.0</v>
      </c>
      <c r="GR72" s="87">
        <v>71.0</v>
      </c>
    </row>
    <row r="73">
      <c r="A73" s="5">
        <v>45804.455057314815</v>
      </c>
      <c r="B73" s="6">
        <v>45773.0</v>
      </c>
      <c r="C73" s="6">
        <v>45802.0</v>
      </c>
      <c r="D73" s="7" t="s">
        <v>36</v>
      </c>
      <c r="E73" s="7" t="s">
        <v>183</v>
      </c>
      <c r="F73" s="7">
        <v>3.0</v>
      </c>
      <c r="G73" s="7" t="s">
        <v>70</v>
      </c>
      <c r="H73" s="7" t="s">
        <v>76</v>
      </c>
      <c r="J73" s="7">
        <v>55.0</v>
      </c>
      <c r="N73" s="7">
        <v>39.0</v>
      </c>
      <c r="T73" s="7">
        <v>20.0</v>
      </c>
      <c r="BF73" s="7">
        <v>15.0</v>
      </c>
      <c r="BG73" s="7">
        <v>12.0</v>
      </c>
      <c r="CP73" s="7">
        <v>12.0</v>
      </c>
      <c r="CQ73" s="7">
        <v>7.0</v>
      </c>
      <c r="DL73" s="7">
        <v>3.0</v>
      </c>
      <c r="DM73" s="7">
        <v>3.0</v>
      </c>
      <c r="DN73" s="7">
        <v>3.0</v>
      </c>
      <c r="DO73" s="7">
        <v>2.0</v>
      </c>
      <c r="DR73" s="7">
        <v>3.0</v>
      </c>
      <c r="DS73" s="7">
        <v>3.0</v>
      </c>
      <c r="EF73" s="7">
        <v>4.0</v>
      </c>
      <c r="EG73" s="7">
        <v>4.0</v>
      </c>
      <c r="EH73" s="7">
        <v>8.0</v>
      </c>
      <c r="EI73" s="7">
        <v>8.0</v>
      </c>
      <c r="ER73" s="7">
        <v>15.0</v>
      </c>
      <c r="GR73" s="87">
        <v>72.0</v>
      </c>
    </row>
    <row r="74">
      <c r="A74" s="5">
        <v>45804.46796329861</v>
      </c>
      <c r="B74" s="6">
        <v>45773.0</v>
      </c>
      <c r="C74" s="6">
        <v>45802.0</v>
      </c>
      <c r="D74" s="7" t="s">
        <v>31</v>
      </c>
      <c r="E74" s="7" t="s">
        <v>140</v>
      </c>
      <c r="F74" s="7">
        <v>3.0</v>
      </c>
      <c r="G74" s="7" t="s">
        <v>70</v>
      </c>
      <c r="H74" s="7" t="s">
        <v>76</v>
      </c>
      <c r="J74" s="7">
        <v>60.0</v>
      </c>
      <c r="L74" s="7">
        <v>1.0</v>
      </c>
      <c r="N74" s="7">
        <v>17.0</v>
      </c>
      <c r="AI74" s="7">
        <v>650.0</v>
      </c>
      <c r="AJ74" s="7">
        <v>650.0</v>
      </c>
      <c r="BF74" s="7">
        <v>15.0</v>
      </c>
      <c r="BG74" s="7">
        <v>15.0</v>
      </c>
      <c r="BH74" s="7">
        <v>9.0</v>
      </c>
      <c r="BI74" s="7">
        <v>7.0</v>
      </c>
      <c r="BJ74" s="7">
        <v>30.0</v>
      </c>
      <c r="BK74" s="7">
        <v>25.0</v>
      </c>
      <c r="BL74" s="7">
        <v>35.0</v>
      </c>
      <c r="BM74" s="7">
        <v>30.0</v>
      </c>
      <c r="BR74" s="7">
        <v>4.0</v>
      </c>
      <c r="BS74" s="7">
        <v>4.0</v>
      </c>
      <c r="CH74" s="7">
        <v>4.0</v>
      </c>
      <c r="CI74" s="7">
        <v>3.0</v>
      </c>
      <c r="CJ74" s="7">
        <v>25.0</v>
      </c>
      <c r="CK74" s="7">
        <v>20.0</v>
      </c>
      <c r="DB74" s="7">
        <v>27.0</v>
      </c>
      <c r="DC74" s="7">
        <v>22.0</v>
      </c>
      <c r="DD74" s="7">
        <v>12.0</v>
      </c>
      <c r="DE74" s="7">
        <v>9.0</v>
      </c>
      <c r="DL74" s="7">
        <v>3.0</v>
      </c>
      <c r="DM74" s="7">
        <v>4.0</v>
      </c>
      <c r="DN74" s="7">
        <v>1.0</v>
      </c>
      <c r="DO74" s="7">
        <v>3.0</v>
      </c>
      <c r="DP74" s="7">
        <v>1.0</v>
      </c>
      <c r="DQ74" s="7">
        <v>1.0</v>
      </c>
      <c r="DR74" s="7">
        <v>3.0</v>
      </c>
      <c r="DS74" s="7">
        <v>5.0</v>
      </c>
      <c r="DT74" s="7">
        <v>1.0</v>
      </c>
      <c r="DU74" s="7">
        <v>2.0</v>
      </c>
      <c r="EF74" s="7">
        <v>2.0</v>
      </c>
      <c r="EG74" s="7">
        <v>2.0</v>
      </c>
      <c r="EH74" s="7">
        <v>1.0</v>
      </c>
      <c r="EI74" s="7">
        <v>2.0</v>
      </c>
      <c r="ER74" s="7">
        <v>15.0</v>
      </c>
      <c r="ES74" s="7">
        <v>15.0</v>
      </c>
      <c r="ET74" s="7">
        <v>30.0</v>
      </c>
      <c r="EU74" s="7">
        <v>45.0</v>
      </c>
      <c r="FB74" s="7">
        <v>15.0</v>
      </c>
      <c r="GR74" s="87">
        <v>73.0</v>
      </c>
    </row>
    <row r="75">
      <c r="A75" s="5">
        <v>45804.477961331024</v>
      </c>
      <c r="B75" s="6">
        <v>45773.0</v>
      </c>
      <c r="C75" s="6">
        <v>45802.0</v>
      </c>
      <c r="D75" s="7" t="s">
        <v>32</v>
      </c>
      <c r="E75" s="7" t="s">
        <v>134</v>
      </c>
      <c r="F75" s="7">
        <v>3.0</v>
      </c>
      <c r="G75" s="7" t="s">
        <v>70</v>
      </c>
      <c r="H75" s="7" t="s">
        <v>76</v>
      </c>
      <c r="J75" s="7">
        <v>28.0</v>
      </c>
      <c r="N75" s="7">
        <v>10.0</v>
      </c>
      <c r="AI75" s="7">
        <v>250.0</v>
      </c>
      <c r="AJ75" s="7">
        <v>250.0</v>
      </c>
      <c r="BJ75" s="7">
        <v>17.0</v>
      </c>
      <c r="BK75" s="7">
        <v>15.0</v>
      </c>
      <c r="BL75" s="7">
        <v>10.0</v>
      </c>
      <c r="BM75" s="7">
        <v>10.0</v>
      </c>
      <c r="BR75" s="7">
        <v>7.0</v>
      </c>
      <c r="BS75" s="7">
        <v>6.0</v>
      </c>
      <c r="BZ75" s="7">
        <v>7.0</v>
      </c>
      <c r="CA75" s="7">
        <v>7.0</v>
      </c>
      <c r="CB75" s="7">
        <v>10.0</v>
      </c>
      <c r="CC75" s="7">
        <v>10.0</v>
      </c>
      <c r="CN75" s="7">
        <v>9.0</v>
      </c>
      <c r="CO75" s="7">
        <v>5.0</v>
      </c>
      <c r="CP75" s="7">
        <v>35.0</v>
      </c>
      <c r="CQ75" s="7">
        <v>24.0</v>
      </c>
      <c r="CT75" s="7">
        <v>6.0</v>
      </c>
      <c r="CU75" s="7">
        <v>2.0</v>
      </c>
      <c r="DB75" s="7">
        <v>22.0</v>
      </c>
      <c r="DC75" s="7">
        <v>14.0</v>
      </c>
      <c r="DD75" s="7">
        <v>23.0</v>
      </c>
      <c r="DE75" s="7">
        <v>12.0</v>
      </c>
      <c r="DF75" s="7">
        <v>3.0</v>
      </c>
      <c r="DG75" s="7">
        <v>1.0</v>
      </c>
      <c r="DL75" s="7">
        <v>3.0</v>
      </c>
      <c r="DM75" s="7">
        <v>2.0</v>
      </c>
      <c r="DR75" s="7">
        <v>1.0</v>
      </c>
      <c r="EF75" s="7">
        <v>7.0</v>
      </c>
      <c r="EG75" s="7">
        <v>5.0</v>
      </c>
      <c r="ET75" s="7">
        <v>30.0</v>
      </c>
      <c r="EU75" s="7">
        <v>60.0</v>
      </c>
      <c r="FB75" s="7">
        <v>15.0</v>
      </c>
      <c r="FK75" s="7">
        <v>15.0</v>
      </c>
      <c r="GR75" s="87">
        <v>74.0</v>
      </c>
    </row>
    <row r="76">
      <c r="A76" s="5">
        <v>45804.48782284722</v>
      </c>
      <c r="B76" s="6">
        <v>45773.0</v>
      </c>
      <c r="C76" s="6">
        <v>45802.0</v>
      </c>
      <c r="D76" s="7" t="s">
        <v>37</v>
      </c>
      <c r="E76" s="7" t="s">
        <v>87</v>
      </c>
      <c r="F76" s="7">
        <v>3.0</v>
      </c>
      <c r="G76" s="7" t="s">
        <v>70</v>
      </c>
      <c r="H76" s="7" t="s">
        <v>76</v>
      </c>
      <c r="J76" s="7">
        <v>60.0</v>
      </c>
      <c r="K76" s="7">
        <v>11.0</v>
      </c>
      <c r="N76" s="7">
        <v>12.0</v>
      </c>
      <c r="O76" s="7">
        <v>3.0</v>
      </c>
      <c r="Q76" s="7">
        <v>3.0</v>
      </c>
      <c r="R76" s="7">
        <v>356.0</v>
      </c>
      <c r="S76" s="7">
        <v>1100.0</v>
      </c>
      <c r="AI76" s="7">
        <v>700.0</v>
      </c>
      <c r="AJ76" s="7">
        <v>700.0</v>
      </c>
      <c r="BF76" s="7">
        <v>5.0</v>
      </c>
      <c r="BG76" s="7">
        <v>3.0</v>
      </c>
      <c r="BJ76" s="7">
        <v>15.0</v>
      </c>
      <c r="BK76" s="7">
        <v>11.0</v>
      </c>
      <c r="BL76" s="7">
        <v>15.0</v>
      </c>
      <c r="BM76" s="7">
        <v>12.0</v>
      </c>
      <c r="BR76" s="7">
        <v>10.0</v>
      </c>
      <c r="BS76" s="7">
        <v>8.0</v>
      </c>
      <c r="BZ76" s="7">
        <v>5.0</v>
      </c>
      <c r="CA76" s="7">
        <v>4.0</v>
      </c>
      <c r="CH76" s="7">
        <v>3.0</v>
      </c>
      <c r="CI76" s="7">
        <v>2.0</v>
      </c>
      <c r="CN76" s="7">
        <v>7.0</v>
      </c>
      <c r="CO76" s="7">
        <v>5.0</v>
      </c>
      <c r="CP76" s="7">
        <v>9.0</v>
      </c>
      <c r="CQ76" s="7">
        <v>6.0</v>
      </c>
      <c r="CT76" s="7">
        <v>3.0</v>
      </c>
      <c r="CU76" s="7">
        <v>2.0</v>
      </c>
      <c r="DB76" s="7">
        <v>28.0</v>
      </c>
      <c r="DC76" s="7">
        <v>21.0</v>
      </c>
      <c r="DR76" s="7">
        <v>3.0</v>
      </c>
      <c r="DS76" s="7">
        <v>3.0</v>
      </c>
      <c r="EC76" s="7">
        <v>1.0</v>
      </c>
      <c r="EE76" s="7">
        <v>1.0</v>
      </c>
      <c r="EF76" s="7">
        <v>4.0</v>
      </c>
      <c r="EG76" s="7">
        <v>4.0</v>
      </c>
      <c r="EK76" s="7">
        <v>1.0</v>
      </c>
      <c r="ER76" s="7">
        <v>15.0</v>
      </c>
      <c r="ET76" s="7">
        <v>45.0</v>
      </c>
      <c r="EU76" s="7">
        <v>30.0</v>
      </c>
      <c r="EX76" s="7">
        <v>10.0</v>
      </c>
      <c r="FB76" s="7">
        <v>30.0</v>
      </c>
      <c r="GR76" s="87">
        <v>75.0</v>
      </c>
    </row>
    <row r="77">
      <c r="A77" s="5">
        <v>45804.48802586806</v>
      </c>
      <c r="B77" s="6">
        <v>45773.0</v>
      </c>
      <c r="C77" s="6">
        <v>45802.0</v>
      </c>
      <c r="D77" s="7" t="s">
        <v>40</v>
      </c>
      <c r="E77" s="7" t="s">
        <v>174</v>
      </c>
      <c r="F77" s="7">
        <v>4.0</v>
      </c>
      <c r="G77" s="7" t="s">
        <v>70</v>
      </c>
      <c r="H77" s="7" t="s">
        <v>76</v>
      </c>
      <c r="BZ77" s="7">
        <v>30.0</v>
      </c>
      <c r="CA77" s="7">
        <v>20.0</v>
      </c>
      <c r="DB77" s="7">
        <v>20.0</v>
      </c>
      <c r="DC77" s="7">
        <v>10.0</v>
      </c>
      <c r="FB77" s="7">
        <v>30.0</v>
      </c>
      <c r="GR77" s="87">
        <v>76.0</v>
      </c>
    </row>
    <row r="78">
      <c r="A78" s="5">
        <v>45804.50495809028</v>
      </c>
      <c r="B78" s="6">
        <v>45773.0</v>
      </c>
      <c r="C78" s="6">
        <v>45802.0</v>
      </c>
      <c r="D78" s="7" t="s">
        <v>41</v>
      </c>
      <c r="E78" s="7" t="s">
        <v>251</v>
      </c>
      <c r="F78" s="7">
        <v>2.0</v>
      </c>
      <c r="G78" s="7" t="s">
        <v>70</v>
      </c>
      <c r="H78" s="7" t="s">
        <v>76</v>
      </c>
      <c r="J78" s="7">
        <v>115.0</v>
      </c>
      <c r="N78" s="7">
        <v>35.0</v>
      </c>
      <c r="AI78" s="7">
        <v>1900.0</v>
      </c>
      <c r="AJ78" s="7">
        <v>1900.0</v>
      </c>
      <c r="BF78" s="7">
        <v>15.0</v>
      </c>
      <c r="BG78" s="7">
        <v>11.0</v>
      </c>
      <c r="BZ78" s="7">
        <v>15.0</v>
      </c>
      <c r="CA78" s="7">
        <v>9.0</v>
      </c>
      <c r="ER78" s="7">
        <v>15.0</v>
      </c>
      <c r="FB78" s="7">
        <v>15.0</v>
      </c>
      <c r="GR78" s="87">
        <v>77.0</v>
      </c>
    </row>
    <row r="79">
      <c r="A79" s="5">
        <v>45805.448614548615</v>
      </c>
      <c r="B79" s="6">
        <v>45773.0</v>
      </c>
      <c r="C79" s="6">
        <v>45802.0</v>
      </c>
      <c r="D79" s="7" t="s">
        <v>258</v>
      </c>
      <c r="E79" s="7" t="s">
        <v>256</v>
      </c>
      <c r="F79" s="7">
        <v>2.0</v>
      </c>
      <c r="G79" s="7" t="s">
        <v>70</v>
      </c>
      <c r="H79" s="7" t="s">
        <v>76</v>
      </c>
      <c r="J79" s="7">
        <v>20.0</v>
      </c>
      <c r="AH79" s="7">
        <v>600.0</v>
      </c>
      <c r="AI79" s="7">
        <v>3800.0</v>
      </c>
      <c r="AJ79" s="7">
        <v>3800.0</v>
      </c>
      <c r="GR79" s="87">
        <v>78.0</v>
      </c>
    </row>
    <row r="80">
      <c r="A80" s="5">
        <v>45805.452635520836</v>
      </c>
      <c r="B80" s="6">
        <v>45773.0</v>
      </c>
      <c r="C80" s="6">
        <v>45802.0</v>
      </c>
      <c r="D80" s="7" t="s">
        <v>27</v>
      </c>
      <c r="E80" s="7" t="s">
        <v>120</v>
      </c>
      <c r="F80" s="7">
        <v>2.0</v>
      </c>
      <c r="G80" s="7" t="s">
        <v>70</v>
      </c>
      <c r="H80" s="7" t="s">
        <v>76</v>
      </c>
      <c r="J80" s="7">
        <v>75.0</v>
      </c>
      <c r="N80" s="7">
        <v>22.0</v>
      </c>
      <c r="AI80" s="7">
        <v>1250.0</v>
      </c>
      <c r="AJ80" s="7">
        <v>1250.0</v>
      </c>
      <c r="BL80" s="7">
        <v>15.0</v>
      </c>
      <c r="BM80" s="7">
        <v>11.0</v>
      </c>
      <c r="BZ80" s="7">
        <v>15.0</v>
      </c>
      <c r="CA80" s="7">
        <v>9.0</v>
      </c>
      <c r="EU80" s="7">
        <v>15.0</v>
      </c>
      <c r="FB80" s="7">
        <v>15.0</v>
      </c>
      <c r="GR80" s="87">
        <v>79.0</v>
      </c>
    </row>
    <row r="81">
      <c r="A81" s="5">
        <v>45805.4761215162</v>
      </c>
      <c r="B81" s="6">
        <v>45773.0</v>
      </c>
      <c r="C81" s="6">
        <v>45802.0</v>
      </c>
      <c r="D81" s="7" t="s">
        <v>42</v>
      </c>
      <c r="E81" s="7" t="s">
        <v>279</v>
      </c>
      <c r="F81" s="7">
        <v>2.0</v>
      </c>
      <c r="G81" s="7" t="s">
        <v>70</v>
      </c>
      <c r="H81" s="7" t="s">
        <v>76</v>
      </c>
      <c r="AI81" s="7">
        <v>1200.0</v>
      </c>
      <c r="AJ81" s="7">
        <v>1200.0</v>
      </c>
      <c r="GR81" s="87">
        <v>80.0</v>
      </c>
    </row>
    <row r="82">
      <c r="A82" s="5">
        <v>45805.497538055555</v>
      </c>
      <c r="B82" s="6">
        <v>45773.0</v>
      </c>
      <c r="C82" s="6">
        <v>45802.0</v>
      </c>
      <c r="D82" s="7" t="s">
        <v>34</v>
      </c>
      <c r="E82" s="7" t="s">
        <v>169</v>
      </c>
      <c r="F82" s="7">
        <v>1.0</v>
      </c>
      <c r="G82" s="7" t="s">
        <v>70</v>
      </c>
      <c r="H82" s="7" t="s">
        <v>76</v>
      </c>
      <c r="J82" s="7">
        <v>49.0</v>
      </c>
      <c r="N82" s="7">
        <v>55.0</v>
      </c>
      <c r="T82" s="7">
        <v>51.0</v>
      </c>
      <c r="AI82" s="7">
        <v>500.0</v>
      </c>
      <c r="AJ82" s="7">
        <v>500.0</v>
      </c>
      <c r="BL82" s="7">
        <v>15.0</v>
      </c>
      <c r="BM82" s="7">
        <v>10.0</v>
      </c>
      <c r="CH82" s="7">
        <v>15.0</v>
      </c>
      <c r="CI82" s="7">
        <v>12.0</v>
      </c>
      <c r="CL82" s="7">
        <v>10.0</v>
      </c>
      <c r="CM82" s="7">
        <v>8.0</v>
      </c>
      <c r="CN82" s="7">
        <v>10.0</v>
      </c>
      <c r="CO82" s="7">
        <v>7.0</v>
      </c>
      <c r="DB82" s="7">
        <v>15.0</v>
      </c>
      <c r="DC82" s="7">
        <v>10.0</v>
      </c>
      <c r="EF82" s="7">
        <v>3.0</v>
      </c>
      <c r="EG82" s="7">
        <v>3.0</v>
      </c>
      <c r="EU82" s="7">
        <v>60.0</v>
      </c>
      <c r="EX82" s="7">
        <v>40.0</v>
      </c>
      <c r="FB82" s="7">
        <v>30.0</v>
      </c>
      <c r="FK82" s="7">
        <v>45.0</v>
      </c>
      <c r="FR82" s="7">
        <v>30.0</v>
      </c>
      <c r="GR82" s="87">
        <v>81.0</v>
      </c>
    </row>
    <row r="83">
      <c r="A83" s="5">
        <v>45834.3902952662</v>
      </c>
      <c r="B83" s="6">
        <v>45803.0</v>
      </c>
      <c r="C83" s="6">
        <v>45833.0</v>
      </c>
      <c r="D83" s="7" t="s">
        <v>192</v>
      </c>
      <c r="E83" s="7" t="s">
        <v>194</v>
      </c>
      <c r="F83" s="7">
        <v>4.0</v>
      </c>
      <c r="G83" s="7" t="s">
        <v>70</v>
      </c>
      <c r="H83" s="7" t="s">
        <v>76</v>
      </c>
      <c r="BN83" s="7">
        <v>30.0</v>
      </c>
      <c r="BO83" s="7">
        <v>15.0</v>
      </c>
      <c r="BZ83" s="7">
        <v>15.0</v>
      </c>
      <c r="CA83" s="7">
        <v>8.0</v>
      </c>
      <c r="EV83" s="7">
        <v>30.0</v>
      </c>
      <c r="FB83" s="7">
        <v>15.0</v>
      </c>
      <c r="GR83" s="87">
        <v>82.0</v>
      </c>
    </row>
    <row r="84">
      <c r="A84" s="5">
        <v>45834.39420545139</v>
      </c>
      <c r="B84" s="6">
        <v>45803.0</v>
      </c>
      <c r="C84" s="6">
        <v>45833.0</v>
      </c>
      <c r="D84" s="7" t="s">
        <v>23</v>
      </c>
      <c r="E84" s="7" t="s">
        <v>92</v>
      </c>
      <c r="F84" s="7">
        <v>3.0</v>
      </c>
      <c r="G84" s="7" t="s">
        <v>70</v>
      </c>
      <c r="H84" s="7" t="s">
        <v>76</v>
      </c>
      <c r="J84" s="7">
        <v>106.0</v>
      </c>
      <c r="N84" s="7">
        <v>23.0</v>
      </c>
      <c r="U84" s="7">
        <v>2.0</v>
      </c>
      <c r="AE84" s="7">
        <v>700.0</v>
      </c>
      <c r="AF84" s="7">
        <v>100.0</v>
      </c>
      <c r="AG84" s="7">
        <v>100.0</v>
      </c>
      <c r="AI84" s="7">
        <v>250.0</v>
      </c>
      <c r="AJ84" s="7">
        <v>250.0</v>
      </c>
      <c r="AK84" s="7">
        <v>50.0</v>
      </c>
      <c r="AN84" s="7">
        <v>10.0</v>
      </c>
      <c r="AQ84" s="7">
        <v>500.0</v>
      </c>
      <c r="BN84" s="7">
        <v>20.0</v>
      </c>
      <c r="BO84" s="7">
        <v>20.0</v>
      </c>
      <c r="BR84" s="7">
        <v>1.0</v>
      </c>
      <c r="BS84" s="7">
        <v>1.0</v>
      </c>
      <c r="BZ84" s="7">
        <v>15.0</v>
      </c>
      <c r="CA84" s="7">
        <v>15.0</v>
      </c>
      <c r="CL84" s="7">
        <v>15.0</v>
      </c>
      <c r="CM84" s="7">
        <v>10.0</v>
      </c>
      <c r="CN84" s="7">
        <v>21.0</v>
      </c>
      <c r="CO84" s="7">
        <v>14.0</v>
      </c>
      <c r="DB84" s="7">
        <v>26.0</v>
      </c>
      <c r="DC84" s="7">
        <v>19.0</v>
      </c>
      <c r="DR84" s="7">
        <v>16.0</v>
      </c>
      <c r="DS84" s="7">
        <v>10.0</v>
      </c>
      <c r="EF84" s="7">
        <v>10.0</v>
      </c>
      <c r="EG84" s="7">
        <v>8.0</v>
      </c>
      <c r="EV84" s="7">
        <v>30.0</v>
      </c>
      <c r="EX84" s="7">
        <v>10.0</v>
      </c>
      <c r="FB84" s="7">
        <v>15.0</v>
      </c>
      <c r="GR84" s="87">
        <v>83.0</v>
      </c>
    </row>
    <row r="85">
      <c r="A85" s="5">
        <v>45834.46228390046</v>
      </c>
      <c r="B85" s="6">
        <v>45803.0</v>
      </c>
      <c r="C85" s="6">
        <v>45833.0</v>
      </c>
      <c r="D85" s="7" t="s">
        <v>127</v>
      </c>
      <c r="E85" s="7" t="s">
        <v>145</v>
      </c>
      <c r="F85" s="7">
        <v>4.0</v>
      </c>
      <c r="G85" s="7" t="s">
        <v>70</v>
      </c>
      <c r="H85" s="7" t="s">
        <v>76</v>
      </c>
      <c r="CP85" s="7">
        <v>7.0</v>
      </c>
      <c r="CQ85" s="7">
        <v>3.0</v>
      </c>
      <c r="DL85" s="7">
        <v>2.0</v>
      </c>
      <c r="DM85" s="7">
        <v>1.0</v>
      </c>
      <c r="GR85" s="87">
        <v>84.0</v>
      </c>
    </row>
    <row r="86">
      <c r="A86" s="5">
        <v>45834.46733297454</v>
      </c>
      <c r="B86" s="6">
        <v>45803.0</v>
      </c>
      <c r="C86" s="6">
        <v>45833.0</v>
      </c>
      <c r="D86" s="7" t="s">
        <v>35</v>
      </c>
      <c r="E86" s="7" t="s">
        <v>283</v>
      </c>
      <c r="F86" s="7">
        <v>2.0</v>
      </c>
      <c r="G86" s="7" t="s">
        <v>70</v>
      </c>
      <c r="H86" s="7" t="s">
        <v>76</v>
      </c>
      <c r="J86" s="7">
        <v>40.0</v>
      </c>
      <c r="N86" s="7">
        <v>40.0</v>
      </c>
      <c r="AE86" s="7">
        <v>1750.0</v>
      </c>
      <c r="AF86" s="7">
        <v>200.0</v>
      </c>
      <c r="AG86" s="7">
        <v>200.0</v>
      </c>
      <c r="AK86" s="7">
        <v>50.0</v>
      </c>
      <c r="AL86" s="7">
        <v>50.0</v>
      </c>
      <c r="AM86" s="7">
        <v>50.0</v>
      </c>
      <c r="AN86" s="7">
        <v>10.0</v>
      </c>
      <c r="AO86" s="7">
        <v>10.0</v>
      </c>
      <c r="AP86" s="7">
        <v>10.0</v>
      </c>
      <c r="AQ86" s="7">
        <v>600.0</v>
      </c>
      <c r="AR86" s="7">
        <v>200.0</v>
      </c>
      <c r="AS86" s="7">
        <v>200.0</v>
      </c>
      <c r="GR86" s="87">
        <v>85.0</v>
      </c>
    </row>
    <row r="87">
      <c r="A87" s="5">
        <v>45834.49419898148</v>
      </c>
      <c r="B87" s="6">
        <v>45803.0</v>
      </c>
      <c r="C87" s="6">
        <v>45833.0</v>
      </c>
      <c r="D87" s="7" t="s">
        <v>32</v>
      </c>
      <c r="E87" s="7" t="s">
        <v>134</v>
      </c>
      <c r="F87" s="7">
        <v>3.0</v>
      </c>
      <c r="G87" s="7" t="s">
        <v>70</v>
      </c>
      <c r="H87" s="7" t="s">
        <v>76</v>
      </c>
      <c r="J87" s="7">
        <v>27.0</v>
      </c>
      <c r="N87" s="7">
        <v>2.0</v>
      </c>
      <c r="AE87" s="7">
        <v>900.0</v>
      </c>
      <c r="AK87" s="7">
        <v>50.0</v>
      </c>
      <c r="AN87" s="7">
        <v>10.0</v>
      </c>
      <c r="AQ87" s="7">
        <v>600.0</v>
      </c>
      <c r="BJ87" s="7">
        <v>3.0</v>
      </c>
      <c r="BK87" s="7">
        <v>3.0</v>
      </c>
      <c r="BL87" s="7">
        <v>5.0</v>
      </c>
      <c r="BM87" s="7">
        <v>4.0</v>
      </c>
      <c r="BN87" s="7">
        <v>4.0</v>
      </c>
      <c r="BO87" s="7">
        <v>3.0</v>
      </c>
      <c r="BR87" s="7">
        <v>1.0</v>
      </c>
      <c r="BS87" s="7">
        <v>1.0</v>
      </c>
      <c r="BZ87" s="7">
        <v>5.0</v>
      </c>
      <c r="CA87" s="7">
        <v>5.0</v>
      </c>
      <c r="CN87" s="7">
        <v>34.0</v>
      </c>
      <c r="CO87" s="7">
        <v>17.0</v>
      </c>
      <c r="CP87" s="7">
        <v>25.0</v>
      </c>
      <c r="CQ87" s="7">
        <v>13.0</v>
      </c>
      <c r="DB87" s="7">
        <v>13.0</v>
      </c>
      <c r="DC87" s="7">
        <v>7.0</v>
      </c>
      <c r="DD87" s="7">
        <v>12.0</v>
      </c>
      <c r="DE87" s="7">
        <v>5.0</v>
      </c>
      <c r="DF87" s="7">
        <v>2.0</v>
      </c>
      <c r="DL87" s="7">
        <v>2.0</v>
      </c>
      <c r="DM87" s="7">
        <v>2.0</v>
      </c>
      <c r="DR87" s="7">
        <v>2.0</v>
      </c>
      <c r="EF87" s="7">
        <v>6.0</v>
      </c>
      <c r="EG87" s="7">
        <v>4.0</v>
      </c>
      <c r="EV87" s="7">
        <v>30.0</v>
      </c>
      <c r="EX87" s="7">
        <v>10.0</v>
      </c>
      <c r="GR87" s="87">
        <v>86.0</v>
      </c>
    </row>
    <row r="88">
      <c r="A88" s="5">
        <v>45834.506937557875</v>
      </c>
      <c r="B88" s="6">
        <v>45803.0</v>
      </c>
      <c r="C88" s="6">
        <v>45833.0</v>
      </c>
      <c r="D88" s="7" t="s">
        <v>269</v>
      </c>
      <c r="E88" s="7" t="s">
        <v>267</v>
      </c>
      <c r="F88" s="7">
        <v>2.0</v>
      </c>
      <c r="G88" s="7" t="s">
        <v>70</v>
      </c>
      <c r="H88" s="7" t="s">
        <v>76</v>
      </c>
      <c r="J88" s="7">
        <v>100.0</v>
      </c>
      <c r="N88" s="7">
        <v>46.0</v>
      </c>
      <c r="AE88" s="7">
        <v>1250.0</v>
      </c>
      <c r="AF88" s="7">
        <v>400.0</v>
      </c>
      <c r="AG88" s="7">
        <v>400.0</v>
      </c>
      <c r="AK88" s="7">
        <v>50.0</v>
      </c>
      <c r="AN88" s="7">
        <v>10.0</v>
      </c>
      <c r="AQ88" s="7">
        <v>500.0</v>
      </c>
      <c r="BN88" s="7">
        <v>30.0</v>
      </c>
      <c r="BO88" s="7">
        <v>30.0</v>
      </c>
      <c r="BZ88" s="7">
        <v>15.0</v>
      </c>
      <c r="CA88" s="7">
        <v>15.0</v>
      </c>
      <c r="CB88" s="7">
        <v>15.0</v>
      </c>
      <c r="CC88" s="7">
        <v>15.0</v>
      </c>
      <c r="CP88" s="7">
        <v>117.0</v>
      </c>
      <c r="CQ88" s="7">
        <v>66.0</v>
      </c>
      <c r="DB88" s="7">
        <v>27.0</v>
      </c>
      <c r="DC88" s="7">
        <v>16.0</v>
      </c>
      <c r="DR88" s="7">
        <v>7.0</v>
      </c>
      <c r="DS88" s="7">
        <v>6.0</v>
      </c>
      <c r="EF88" s="7">
        <v>6.0</v>
      </c>
      <c r="EG88" s="7">
        <v>5.0</v>
      </c>
      <c r="EV88" s="7">
        <v>30.0</v>
      </c>
      <c r="GR88" s="87">
        <v>87.0</v>
      </c>
    </row>
    <row r="89">
      <c r="A89" s="5">
        <v>45834.54763405093</v>
      </c>
      <c r="B89" s="6">
        <v>45803.0</v>
      </c>
      <c r="C89" s="6">
        <v>45833.0</v>
      </c>
      <c r="D89" s="7" t="s">
        <v>24</v>
      </c>
      <c r="E89" s="7" t="s">
        <v>158</v>
      </c>
      <c r="F89" s="7">
        <v>3.0</v>
      </c>
      <c r="G89" s="7" t="s">
        <v>70</v>
      </c>
      <c r="H89" s="7" t="s">
        <v>76</v>
      </c>
      <c r="J89" s="7">
        <v>55.0</v>
      </c>
      <c r="N89" s="7">
        <v>5.0</v>
      </c>
      <c r="AE89" s="7">
        <v>650.0</v>
      </c>
      <c r="AF89" s="7">
        <v>100.0</v>
      </c>
      <c r="AG89" s="7">
        <v>100.0</v>
      </c>
      <c r="AK89" s="7">
        <v>50.0</v>
      </c>
      <c r="AL89" s="7">
        <v>50.0</v>
      </c>
      <c r="AM89" s="7">
        <v>50.0</v>
      </c>
      <c r="AN89" s="7">
        <v>10.0</v>
      </c>
      <c r="AQ89" s="7">
        <v>200.0</v>
      </c>
      <c r="AR89" s="7">
        <v>100.0</v>
      </c>
      <c r="AS89" s="7">
        <v>100.0</v>
      </c>
      <c r="BL89" s="7">
        <v>15.0</v>
      </c>
      <c r="BM89" s="7">
        <v>11.0</v>
      </c>
      <c r="BN89" s="7">
        <v>10.0</v>
      </c>
      <c r="BO89" s="7">
        <v>7.0</v>
      </c>
      <c r="CL89" s="7">
        <v>5.0</v>
      </c>
      <c r="CM89" s="7">
        <v>3.0</v>
      </c>
      <c r="CN89" s="7">
        <v>8.0</v>
      </c>
      <c r="CO89" s="7">
        <v>5.0</v>
      </c>
      <c r="DB89" s="7">
        <v>8.0</v>
      </c>
      <c r="DC89" s="7">
        <v>6.0</v>
      </c>
      <c r="DL89" s="7">
        <v>1.0</v>
      </c>
      <c r="DM89" s="7">
        <v>1.0</v>
      </c>
      <c r="DP89" s="7">
        <v>1.0</v>
      </c>
      <c r="DQ89" s="7">
        <v>1.0</v>
      </c>
      <c r="EF89" s="7">
        <v>10.0</v>
      </c>
      <c r="EG89" s="7">
        <v>6.0</v>
      </c>
      <c r="EU89" s="7">
        <v>15.0</v>
      </c>
      <c r="EV89" s="7">
        <v>80.0</v>
      </c>
      <c r="EX89" s="7">
        <v>10.0</v>
      </c>
      <c r="GR89" s="87">
        <v>88.0</v>
      </c>
    </row>
    <row r="90">
      <c r="A90" s="5">
        <v>45834.560220451385</v>
      </c>
      <c r="B90" s="6">
        <v>45803.0</v>
      </c>
      <c r="C90" s="6">
        <v>45833.0</v>
      </c>
      <c r="D90" s="7" t="s">
        <v>213</v>
      </c>
      <c r="E90" s="7" t="s">
        <v>231</v>
      </c>
      <c r="F90" s="7">
        <v>3.0</v>
      </c>
      <c r="G90" s="7" t="s">
        <v>70</v>
      </c>
      <c r="H90" s="7" t="s">
        <v>76</v>
      </c>
      <c r="J90" s="7">
        <v>80.0</v>
      </c>
      <c r="N90" s="7">
        <v>45.0</v>
      </c>
      <c r="AE90" s="7">
        <v>650.0</v>
      </c>
      <c r="AF90" s="7">
        <v>300.0</v>
      </c>
      <c r="AG90" s="7">
        <v>300.0</v>
      </c>
      <c r="AK90" s="7">
        <v>50.0</v>
      </c>
      <c r="AL90" s="7">
        <v>50.0</v>
      </c>
      <c r="AM90" s="7">
        <v>50.0</v>
      </c>
      <c r="AQ90" s="7">
        <v>300.0</v>
      </c>
      <c r="AR90" s="7">
        <v>300.0</v>
      </c>
      <c r="AS90" s="7">
        <v>300.0</v>
      </c>
      <c r="BL90" s="7">
        <v>45.0</v>
      </c>
      <c r="BM90" s="7">
        <v>45.0</v>
      </c>
      <c r="BR90" s="7">
        <v>3.0</v>
      </c>
      <c r="BS90" s="7">
        <v>3.0</v>
      </c>
      <c r="BZ90" s="7">
        <v>30.0</v>
      </c>
      <c r="CA90" s="7">
        <v>30.0</v>
      </c>
      <c r="CN90" s="7">
        <v>7.0</v>
      </c>
      <c r="CO90" s="7">
        <v>4.0</v>
      </c>
      <c r="CP90" s="7">
        <v>180.0</v>
      </c>
      <c r="CQ90" s="7">
        <v>95.0</v>
      </c>
      <c r="DR90" s="7">
        <v>3.0</v>
      </c>
      <c r="DS90" s="7">
        <v>2.0</v>
      </c>
      <c r="EU90" s="7">
        <v>45.0</v>
      </c>
      <c r="EX90" s="7">
        <v>15.0</v>
      </c>
      <c r="FB90" s="7">
        <v>30.0</v>
      </c>
      <c r="GR90" s="87">
        <v>89.0</v>
      </c>
    </row>
    <row r="91">
      <c r="A91" s="5">
        <v>45834.59464765046</v>
      </c>
      <c r="B91" s="6">
        <v>45803.0</v>
      </c>
      <c r="C91" s="6">
        <v>45833.0</v>
      </c>
      <c r="D91" s="7" t="s">
        <v>38</v>
      </c>
      <c r="E91" s="7" t="s">
        <v>188</v>
      </c>
      <c r="F91" s="7">
        <v>2.0</v>
      </c>
      <c r="G91" s="7" t="s">
        <v>70</v>
      </c>
      <c r="H91" s="7" t="s">
        <v>76</v>
      </c>
      <c r="J91" s="7">
        <v>60.0</v>
      </c>
      <c r="N91" s="7">
        <v>30.0</v>
      </c>
      <c r="AE91" s="7">
        <v>1000.0</v>
      </c>
      <c r="AF91" s="7">
        <v>1000.0</v>
      </c>
      <c r="AG91" s="7">
        <v>1000.0</v>
      </c>
      <c r="AK91" s="7">
        <v>50.0</v>
      </c>
      <c r="AL91" s="7">
        <v>50.0</v>
      </c>
      <c r="AM91" s="7">
        <v>50.0</v>
      </c>
      <c r="AN91" s="7">
        <v>10.0</v>
      </c>
      <c r="AO91" s="7">
        <v>10.0</v>
      </c>
      <c r="AP91" s="7">
        <v>10.0</v>
      </c>
      <c r="AQ91" s="7">
        <v>500.0</v>
      </c>
      <c r="AR91" s="7">
        <v>500.0</v>
      </c>
      <c r="AS91" s="7">
        <v>500.0</v>
      </c>
      <c r="BZ91" s="7">
        <v>15.0</v>
      </c>
      <c r="CA91" s="7">
        <v>15.0</v>
      </c>
      <c r="EV91" s="7">
        <v>30.0</v>
      </c>
      <c r="FB91" s="7">
        <v>30.0</v>
      </c>
      <c r="FL91" s="7">
        <v>30.0</v>
      </c>
      <c r="FR91" s="7">
        <v>15.0</v>
      </c>
      <c r="GR91" s="87">
        <v>90.0</v>
      </c>
    </row>
    <row r="92">
      <c r="A92" s="5">
        <v>45834.597626215276</v>
      </c>
      <c r="B92" s="6">
        <v>45803.0</v>
      </c>
      <c r="C92" s="6">
        <v>45833.0</v>
      </c>
      <c r="D92" s="7" t="s">
        <v>25</v>
      </c>
      <c r="E92" s="7" t="s">
        <v>246</v>
      </c>
      <c r="F92" s="7">
        <v>2.0</v>
      </c>
      <c r="G92" s="7" t="s">
        <v>70</v>
      </c>
      <c r="H92" s="7" t="s">
        <v>76</v>
      </c>
      <c r="J92" s="7">
        <v>70.0</v>
      </c>
      <c r="N92" s="7">
        <v>30.0</v>
      </c>
      <c r="AE92" s="7">
        <v>800.0</v>
      </c>
      <c r="AF92" s="7">
        <v>800.0</v>
      </c>
      <c r="AG92" s="7">
        <v>800.0</v>
      </c>
      <c r="AI92" s="7">
        <v>150.0</v>
      </c>
      <c r="AJ92" s="7">
        <v>150.0</v>
      </c>
      <c r="AK92" s="7">
        <v>50.0</v>
      </c>
      <c r="AL92" s="7">
        <v>50.0</v>
      </c>
      <c r="AM92" s="7">
        <v>50.0</v>
      </c>
      <c r="AN92" s="7">
        <v>10.0</v>
      </c>
      <c r="AO92" s="7">
        <v>200.0</v>
      </c>
      <c r="AP92" s="7">
        <v>200.0</v>
      </c>
      <c r="AQ92" s="7">
        <v>200.0</v>
      </c>
      <c r="AR92" s="7">
        <v>200.0</v>
      </c>
      <c r="AS92" s="7">
        <v>200.0</v>
      </c>
      <c r="BN92" s="7">
        <v>20.0</v>
      </c>
      <c r="BO92" s="7">
        <v>10.0</v>
      </c>
      <c r="BZ92" s="7">
        <v>10.0</v>
      </c>
      <c r="CA92" s="7">
        <v>5.0</v>
      </c>
      <c r="CB92" s="7">
        <v>10.0</v>
      </c>
      <c r="CC92" s="7">
        <v>5.0</v>
      </c>
      <c r="CH92" s="7">
        <v>15.0</v>
      </c>
      <c r="CI92" s="7">
        <v>9.0</v>
      </c>
      <c r="CN92" s="7">
        <v>10.0</v>
      </c>
      <c r="CO92" s="7">
        <v>5.0</v>
      </c>
      <c r="CP92" s="7">
        <v>15.0</v>
      </c>
      <c r="CQ92" s="7">
        <v>8.0</v>
      </c>
      <c r="DB92" s="7">
        <v>13.0</v>
      </c>
      <c r="DC92" s="7">
        <v>7.0</v>
      </c>
      <c r="DL92" s="7">
        <v>3.0</v>
      </c>
      <c r="DM92" s="7">
        <v>2.0</v>
      </c>
      <c r="EF92" s="7">
        <v>2.0</v>
      </c>
      <c r="EG92" s="7">
        <v>1.0</v>
      </c>
      <c r="EK92" s="7">
        <v>1.0</v>
      </c>
      <c r="EV92" s="7">
        <v>20.0</v>
      </c>
      <c r="FB92" s="7">
        <v>15.0</v>
      </c>
      <c r="FC92" s="7">
        <v>15.0</v>
      </c>
      <c r="GR92" s="87">
        <v>91.0</v>
      </c>
    </row>
    <row r="93">
      <c r="A93" s="5">
        <v>45834.706001909726</v>
      </c>
      <c r="B93" s="6">
        <v>45803.0</v>
      </c>
      <c r="C93" s="6">
        <v>45833.0</v>
      </c>
      <c r="D93" s="7" t="s">
        <v>26</v>
      </c>
      <c r="E93" s="7" t="s">
        <v>104</v>
      </c>
      <c r="F93" s="7">
        <v>3.0</v>
      </c>
      <c r="G93" s="7" t="s">
        <v>70</v>
      </c>
      <c r="H93" s="7" t="s">
        <v>76</v>
      </c>
      <c r="J93" s="7">
        <v>45.0</v>
      </c>
      <c r="K93" s="7">
        <v>12.0</v>
      </c>
      <c r="N93" s="7">
        <v>11.0</v>
      </c>
      <c r="O93" s="7">
        <v>10.0</v>
      </c>
      <c r="AE93" s="7">
        <v>1200.0</v>
      </c>
      <c r="AF93" s="7">
        <v>800.0</v>
      </c>
      <c r="AG93" s="7">
        <v>800.0</v>
      </c>
      <c r="AK93" s="7">
        <v>50.0</v>
      </c>
      <c r="AN93" s="7">
        <v>10.0</v>
      </c>
      <c r="AQ93" s="7">
        <v>400.0</v>
      </c>
      <c r="AR93" s="7">
        <v>200.0</v>
      </c>
      <c r="AS93" s="7">
        <v>200.0</v>
      </c>
      <c r="BJ93" s="7">
        <v>10.0</v>
      </c>
      <c r="BK93" s="7">
        <v>7.0</v>
      </c>
      <c r="BL93" s="7">
        <v>10.0</v>
      </c>
      <c r="BM93" s="7">
        <v>7.0</v>
      </c>
      <c r="BN93" s="7">
        <v>60.0</v>
      </c>
      <c r="BO93" s="7">
        <v>42.0</v>
      </c>
      <c r="BR93" s="7">
        <v>1.0</v>
      </c>
      <c r="BS93" s="7">
        <v>1.0</v>
      </c>
      <c r="BZ93" s="7">
        <v>45.0</v>
      </c>
      <c r="CA93" s="7">
        <v>31.0</v>
      </c>
      <c r="CB93" s="7">
        <v>30.0</v>
      </c>
      <c r="CC93" s="7">
        <v>21.0</v>
      </c>
      <c r="CP93" s="7">
        <v>8.0</v>
      </c>
      <c r="CQ93" s="7">
        <v>6.0</v>
      </c>
      <c r="DB93" s="7">
        <v>11.0</v>
      </c>
      <c r="DC93" s="7">
        <v>8.0</v>
      </c>
      <c r="DR93" s="7">
        <v>1.0</v>
      </c>
      <c r="DS93" s="7">
        <v>1.0</v>
      </c>
      <c r="EF93" s="7">
        <v>4.0</v>
      </c>
      <c r="EG93" s="7">
        <v>2.0</v>
      </c>
      <c r="EH93" s="7">
        <v>2.0</v>
      </c>
      <c r="EI93" s="7">
        <v>2.0</v>
      </c>
      <c r="EV93" s="7">
        <v>75.0</v>
      </c>
      <c r="EX93" s="7">
        <v>10.0</v>
      </c>
      <c r="FB93" s="7">
        <v>45.0</v>
      </c>
      <c r="FC93" s="7">
        <v>45.0</v>
      </c>
      <c r="GR93" s="87">
        <v>92.0</v>
      </c>
    </row>
    <row r="94">
      <c r="A94" s="5">
        <v>45834.75555065973</v>
      </c>
      <c r="B94" s="6">
        <v>45803.0</v>
      </c>
      <c r="C94" s="6">
        <v>45833.0</v>
      </c>
      <c r="D94" s="7" t="s">
        <v>201</v>
      </c>
      <c r="E94" s="7" t="s">
        <v>199</v>
      </c>
      <c r="F94" s="7">
        <v>2.0</v>
      </c>
      <c r="G94" s="7" t="s">
        <v>70</v>
      </c>
      <c r="H94" s="7" t="s">
        <v>76</v>
      </c>
      <c r="J94" s="7">
        <v>96.0</v>
      </c>
      <c r="N94" s="7">
        <v>48.0</v>
      </c>
      <c r="AE94" s="7">
        <v>1400.0</v>
      </c>
      <c r="AF94" s="7">
        <v>500.0</v>
      </c>
      <c r="AG94" s="7">
        <v>500.0</v>
      </c>
      <c r="AK94" s="7">
        <v>50.0</v>
      </c>
      <c r="AL94" s="7">
        <v>50.0</v>
      </c>
      <c r="AM94" s="7">
        <v>50.0</v>
      </c>
      <c r="AN94" s="7">
        <v>10.0</v>
      </c>
      <c r="AO94" s="7">
        <v>10.0</v>
      </c>
      <c r="AP94" s="7">
        <v>10.0</v>
      </c>
      <c r="AQ94" s="7">
        <v>300.0</v>
      </c>
      <c r="AR94" s="7">
        <v>300.0</v>
      </c>
      <c r="AS94" s="7">
        <v>300.0</v>
      </c>
      <c r="BN94" s="7">
        <v>45.0</v>
      </c>
      <c r="BO94" s="7">
        <v>32.0</v>
      </c>
      <c r="BR94" s="7">
        <v>4.0</v>
      </c>
      <c r="BS94" s="7">
        <v>3.0</v>
      </c>
      <c r="BZ94" s="7">
        <v>30.0</v>
      </c>
      <c r="CA94" s="7">
        <v>21.0</v>
      </c>
      <c r="CL94" s="7">
        <v>10.0</v>
      </c>
      <c r="CM94" s="7">
        <v>6.0</v>
      </c>
      <c r="CN94" s="7">
        <v>2.0</v>
      </c>
      <c r="CP94" s="7">
        <v>126.0</v>
      </c>
      <c r="CQ94" s="7">
        <v>71.0</v>
      </c>
      <c r="CT94" s="7">
        <v>11.0</v>
      </c>
      <c r="CU94" s="7">
        <v>4.0</v>
      </c>
      <c r="DB94" s="7">
        <v>129.0</v>
      </c>
      <c r="DC94" s="7">
        <v>76.0</v>
      </c>
      <c r="DD94" s="7">
        <v>10.0</v>
      </c>
      <c r="DE94" s="7">
        <v>5.0</v>
      </c>
      <c r="DF94" s="7">
        <v>3.0</v>
      </c>
      <c r="DL94" s="7">
        <v>3.0</v>
      </c>
      <c r="DM94" s="7">
        <v>2.0</v>
      </c>
      <c r="DR94" s="7">
        <v>3.0</v>
      </c>
      <c r="DS94" s="7">
        <v>3.0</v>
      </c>
      <c r="DT94" s="7">
        <v>2.0</v>
      </c>
      <c r="DU94" s="7">
        <v>1.0</v>
      </c>
      <c r="DV94" s="7">
        <v>1.0</v>
      </c>
      <c r="DW94" s="7">
        <v>2.0</v>
      </c>
      <c r="EV94" s="7">
        <v>45.0</v>
      </c>
      <c r="EX94" s="7">
        <v>40.0</v>
      </c>
      <c r="FB94" s="7">
        <v>30.0</v>
      </c>
      <c r="GR94" s="87">
        <v>93.0</v>
      </c>
    </row>
    <row r="95">
      <c r="A95" s="5">
        <v>45834.84006599537</v>
      </c>
      <c r="B95" s="6">
        <v>45803.0</v>
      </c>
      <c r="C95" s="6">
        <v>45833.0</v>
      </c>
      <c r="D95" s="7" t="s">
        <v>212</v>
      </c>
      <c r="E95" s="7" t="s">
        <v>227</v>
      </c>
      <c r="F95" s="7">
        <v>3.0</v>
      </c>
      <c r="G95" s="7" t="s">
        <v>70</v>
      </c>
      <c r="H95" s="7" t="s">
        <v>76</v>
      </c>
      <c r="J95" s="7">
        <v>53.0</v>
      </c>
      <c r="N95" s="7">
        <v>45.0</v>
      </c>
      <c r="T95" s="7">
        <v>30.0</v>
      </c>
      <c r="AE95" s="7">
        <v>1200.0</v>
      </c>
      <c r="AF95" s="7">
        <v>800.0</v>
      </c>
      <c r="AG95" s="7">
        <v>800.0</v>
      </c>
      <c r="AI95" s="7">
        <v>800.0</v>
      </c>
      <c r="AJ95" s="7">
        <v>800.0</v>
      </c>
      <c r="AK95" s="7">
        <v>50.0</v>
      </c>
      <c r="AL95" s="7">
        <v>50.0</v>
      </c>
      <c r="AM95" s="7">
        <v>50.0</v>
      </c>
      <c r="AN95" s="7">
        <v>40.0</v>
      </c>
      <c r="AQ95" s="7">
        <v>300.0</v>
      </c>
      <c r="AR95" s="7">
        <v>300.0</v>
      </c>
      <c r="AS95" s="7">
        <v>300.0</v>
      </c>
      <c r="BN95" s="7">
        <v>126.0</v>
      </c>
      <c r="BO95" s="7">
        <v>120.0</v>
      </c>
      <c r="BR95" s="7">
        <v>7.0</v>
      </c>
      <c r="BS95" s="7">
        <v>7.0</v>
      </c>
      <c r="BZ95" s="7">
        <v>30.0</v>
      </c>
      <c r="CA95" s="7">
        <v>28.0</v>
      </c>
      <c r="CB95" s="7">
        <v>6.0</v>
      </c>
      <c r="CC95" s="7">
        <v>6.0</v>
      </c>
      <c r="CH95" s="7">
        <v>10.0</v>
      </c>
      <c r="CI95" s="7">
        <v>5.0</v>
      </c>
      <c r="DB95" s="7">
        <v>11.0</v>
      </c>
      <c r="DC95" s="7">
        <v>7.0</v>
      </c>
      <c r="DL95" s="7">
        <v>2.0</v>
      </c>
      <c r="DM95" s="7">
        <v>2.0</v>
      </c>
      <c r="DR95" s="7">
        <v>4.0</v>
      </c>
      <c r="DS95" s="7">
        <v>3.0</v>
      </c>
      <c r="DT95" s="7">
        <v>2.0</v>
      </c>
      <c r="DU95" s="7">
        <v>4.0</v>
      </c>
      <c r="EV95" s="7">
        <v>135.0</v>
      </c>
      <c r="EX95" s="7">
        <v>15.0</v>
      </c>
      <c r="FB95" s="7">
        <v>15.0</v>
      </c>
      <c r="FL95" s="7">
        <v>15.0</v>
      </c>
      <c r="GR95" s="87">
        <v>94.0</v>
      </c>
    </row>
    <row r="96">
      <c r="A96" s="5">
        <v>45835.34843868055</v>
      </c>
      <c r="B96" s="6">
        <v>45803.0</v>
      </c>
      <c r="C96" s="6">
        <v>45833.0</v>
      </c>
      <c r="D96" s="7" t="s">
        <v>207</v>
      </c>
      <c r="E96" s="7" t="s">
        <v>205</v>
      </c>
      <c r="F96" s="7">
        <v>2.0</v>
      </c>
      <c r="G96" s="7" t="s">
        <v>70</v>
      </c>
      <c r="H96" s="7" t="s">
        <v>76</v>
      </c>
      <c r="J96" s="7">
        <v>110.0</v>
      </c>
      <c r="N96" s="7">
        <v>48.0</v>
      </c>
      <c r="T96" s="7">
        <v>40.0</v>
      </c>
      <c r="Y96" s="7">
        <v>13.0</v>
      </c>
      <c r="AA96" s="7">
        <v>1.0</v>
      </c>
      <c r="AE96" s="7">
        <v>1500.0</v>
      </c>
      <c r="AF96" s="7">
        <v>500.0</v>
      </c>
      <c r="AG96" s="7">
        <v>500.0</v>
      </c>
      <c r="AK96" s="7">
        <v>50.0</v>
      </c>
      <c r="AL96" s="7">
        <v>50.0</v>
      </c>
      <c r="AM96" s="7">
        <v>50.0</v>
      </c>
      <c r="AO96" s="7">
        <v>60.0</v>
      </c>
      <c r="AP96" s="7">
        <v>60.0</v>
      </c>
      <c r="AQ96" s="7">
        <v>500.0</v>
      </c>
      <c r="AR96" s="7">
        <v>300.0</v>
      </c>
      <c r="AS96" s="7">
        <v>300.0</v>
      </c>
      <c r="BL96" s="7">
        <v>30.0</v>
      </c>
      <c r="BM96" s="7">
        <v>24.0</v>
      </c>
      <c r="BN96" s="7">
        <v>60.0</v>
      </c>
      <c r="BO96" s="7">
        <v>48.0</v>
      </c>
      <c r="BR96" s="7">
        <v>7.0</v>
      </c>
      <c r="BS96" s="7">
        <v>5.0</v>
      </c>
      <c r="BZ96" s="7">
        <v>30.0</v>
      </c>
      <c r="CA96" s="7">
        <v>24.0</v>
      </c>
      <c r="CH96" s="7">
        <v>12.0</v>
      </c>
      <c r="CI96" s="7">
        <v>6.0</v>
      </c>
      <c r="CL96" s="7">
        <v>24.0</v>
      </c>
      <c r="CM96" s="7">
        <v>12.0</v>
      </c>
      <c r="CN96" s="7">
        <v>12.0</v>
      </c>
      <c r="CO96" s="7">
        <v>6.0</v>
      </c>
      <c r="CP96" s="7">
        <v>100.0</v>
      </c>
      <c r="CQ96" s="7">
        <v>50.0</v>
      </c>
      <c r="CR96" s="7">
        <v>4.0</v>
      </c>
      <c r="CS96" s="7">
        <v>2.0</v>
      </c>
      <c r="DB96" s="7">
        <v>12.0</v>
      </c>
      <c r="DC96" s="7">
        <v>6.0</v>
      </c>
      <c r="DL96" s="7">
        <v>4.0</v>
      </c>
      <c r="DM96" s="7">
        <v>4.0</v>
      </c>
      <c r="DR96" s="7">
        <v>4.0</v>
      </c>
      <c r="DS96" s="7">
        <v>4.0</v>
      </c>
      <c r="EF96" s="7">
        <v>4.0</v>
      </c>
      <c r="EG96" s="7">
        <v>4.0</v>
      </c>
      <c r="EU96" s="7">
        <v>30.0</v>
      </c>
      <c r="EV96" s="7">
        <v>60.0</v>
      </c>
      <c r="EX96" s="7">
        <v>7.0</v>
      </c>
      <c r="FB96" s="7">
        <v>30.0</v>
      </c>
      <c r="GR96" s="87">
        <v>95.0</v>
      </c>
    </row>
    <row r="97">
      <c r="A97" s="5">
        <v>45835.36402283565</v>
      </c>
      <c r="B97" s="6">
        <v>45803.0</v>
      </c>
      <c r="C97" s="6">
        <v>45833.0</v>
      </c>
      <c r="D97" s="7" t="s">
        <v>39</v>
      </c>
      <c r="E97" s="7" t="s">
        <v>179</v>
      </c>
      <c r="F97" s="7">
        <v>4.0</v>
      </c>
      <c r="G97" s="7" t="s">
        <v>70</v>
      </c>
      <c r="H97" s="7" t="s">
        <v>76</v>
      </c>
      <c r="BN97" s="7">
        <v>15.0</v>
      </c>
      <c r="BO97" s="7">
        <v>11.0</v>
      </c>
      <c r="BZ97" s="7">
        <v>15.0</v>
      </c>
      <c r="CA97" s="7">
        <v>11.0</v>
      </c>
      <c r="CB97" s="7">
        <v>15.0</v>
      </c>
      <c r="CC97" s="7">
        <v>11.0</v>
      </c>
      <c r="CN97" s="7">
        <v>9.0</v>
      </c>
      <c r="CO97" s="7">
        <v>6.0</v>
      </c>
      <c r="CP97" s="7">
        <v>25.0</v>
      </c>
      <c r="CQ97" s="7">
        <v>18.0</v>
      </c>
      <c r="DB97" s="7">
        <v>10.0</v>
      </c>
      <c r="DC97" s="7">
        <v>7.0</v>
      </c>
      <c r="DD97" s="7">
        <v>9.0</v>
      </c>
      <c r="DE97" s="7">
        <v>7.0</v>
      </c>
      <c r="EV97" s="7">
        <v>15.0</v>
      </c>
      <c r="FB97" s="7">
        <v>15.0</v>
      </c>
      <c r="FC97" s="7">
        <v>15.0</v>
      </c>
      <c r="GR97" s="87">
        <v>96.0</v>
      </c>
    </row>
    <row r="98">
      <c r="A98" s="5">
        <v>45835.49106559028</v>
      </c>
      <c r="B98" s="6">
        <v>45803.0</v>
      </c>
      <c r="C98" s="6">
        <v>45833.0</v>
      </c>
      <c r="D98" s="7" t="s">
        <v>29</v>
      </c>
      <c r="E98" s="7" t="s">
        <v>110</v>
      </c>
      <c r="F98" s="7">
        <v>3.0</v>
      </c>
      <c r="G98" s="7" t="s">
        <v>70</v>
      </c>
      <c r="H98" s="7" t="s">
        <v>76</v>
      </c>
      <c r="J98" s="7">
        <v>84.0</v>
      </c>
      <c r="N98" s="7">
        <v>24.0</v>
      </c>
      <c r="AE98" s="7">
        <v>1000.0</v>
      </c>
      <c r="AF98" s="7">
        <v>900.0</v>
      </c>
      <c r="AG98" s="7">
        <v>900.0</v>
      </c>
      <c r="AI98" s="7">
        <v>250.0</v>
      </c>
      <c r="AJ98" s="7">
        <v>250.0</v>
      </c>
      <c r="AK98" s="7">
        <v>50.0</v>
      </c>
      <c r="AN98" s="7">
        <v>10.0</v>
      </c>
      <c r="AQ98" s="7">
        <v>400.0</v>
      </c>
      <c r="BZ98" s="7">
        <v>15.0</v>
      </c>
      <c r="CA98" s="7">
        <v>15.0</v>
      </c>
      <c r="CB98" s="7">
        <v>15.0</v>
      </c>
      <c r="CC98" s="7">
        <v>15.0</v>
      </c>
      <c r="CH98" s="7">
        <v>10.0</v>
      </c>
      <c r="CI98" s="7">
        <v>6.0</v>
      </c>
      <c r="CP98" s="7">
        <v>85.0</v>
      </c>
      <c r="CQ98" s="7">
        <v>42.0</v>
      </c>
      <c r="DB98" s="7">
        <v>65.0</v>
      </c>
      <c r="DC98" s="7">
        <v>37.0</v>
      </c>
      <c r="DD98" s="7">
        <v>10.0</v>
      </c>
      <c r="DE98" s="7">
        <v>5.0</v>
      </c>
      <c r="EF98" s="7">
        <v>2.0</v>
      </c>
      <c r="EG98" s="7">
        <v>2.0</v>
      </c>
      <c r="EX98" s="7">
        <v>10.0</v>
      </c>
      <c r="FB98" s="7">
        <v>15.0</v>
      </c>
      <c r="FC98" s="7">
        <v>15.0</v>
      </c>
      <c r="GR98" s="87">
        <v>97.0</v>
      </c>
    </row>
    <row r="99">
      <c r="A99" s="5">
        <v>45835.501402546295</v>
      </c>
      <c r="B99" s="6">
        <v>45803.0</v>
      </c>
      <c r="C99" s="6">
        <v>45833.0</v>
      </c>
      <c r="D99" s="7" t="s">
        <v>36</v>
      </c>
      <c r="E99" s="7" t="s">
        <v>183</v>
      </c>
      <c r="F99" s="7">
        <v>3.0</v>
      </c>
      <c r="G99" s="7" t="s">
        <v>70</v>
      </c>
      <c r="H99" s="7" t="s">
        <v>76</v>
      </c>
      <c r="J99" s="7">
        <v>47.0</v>
      </c>
      <c r="N99" s="7">
        <v>28.0</v>
      </c>
      <c r="T99" s="7">
        <v>18.0</v>
      </c>
      <c r="AE99" s="7">
        <v>850.0</v>
      </c>
      <c r="AF99" s="7">
        <v>500.0</v>
      </c>
      <c r="AG99" s="7">
        <v>500.0</v>
      </c>
      <c r="AK99" s="7">
        <v>50.0</v>
      </c>
      <c r="AN99" s="7">
        <v>10.0</v>
      </c>
      <c r="AQ99" s="7">
        <v>500.0</v>
      </c>
      <c r="BN99" s="7">
        <v>30.0</v>
      </c>
      <c r="BO99" s="7">
        <v>24.0</v>
      </c>
      <c r="BZ99" s="7">
        <v>30.0</v>
      </c>
      <c r="CA99" s="7">
        <v>26.0</v>
      </c>
      <c r="CN99" s="7">
        <v>30.0</v>
      </c>
      <c r="CO99" s="7">
        <v>10.0</v>
      </c>
      <c r="CP99" s="7">
        <v>75.0</v>
      </c>
      <c r="CQ99" s="7">
        <v>30.0</v>
      </c>
      <c r="DB99" s="7">
        <v>60.0</v>
      </c>
      <c r="DC99" s="7">
        <v>23.0</v>
      </c>
      <c r="DD99" s="7">
        <v>90.0</v>
      </c>
      <c r="DE99" s="7">
        <v>28.0</v>
      </c>
      <c r="DP99" s="7">
        <v>3.0</v>
      </c>
      <c r="DQ99" s="7">
        <v>2.0</v>
      </c>
      <c r="DT99" s="7">
        <v>6.0</v>
      </c>
      <c r="DU99" s="7">
        <v>5.0</v>
      </c>
      <c r="EH99" s="7">
        <v>7.0</v>
      </c>
      <c r="EI99" s="7">
        <v>6.0</v>
      </c>
      <c r="EV99" s="7">
        <v>30.0</v>
      </c>
      <c r="EX99" s="7">
        <v>10.0</v>
      </c>
      <c r="FB99" s="7">
        <v>30.0</v>
      </c>
      <c r="GR99" s="87">
        <v>98.0</v>
      </c>
    </row>
    <row r="100">
      <c r="A100" s="5">
        <v>45835.50218601852</v>
      </c>
      <c r="B100" s="6">
        <v>45803.0</v>
      </c>
      <c r="C100" s="6">
        <v>45833.0</v>
      </c>
      <c r="D100" s="7" t="s">
        <v>30</v>
      </c>
      <c r="E100" s="7" t="s">
        <v>237</v>
      </c>
      <c r="F100" s="7">
        <v>2.0</v>
      </c>
      <c r="G100" s="7" t="s">
        <v>70</v>
      </c>
      <c r="H100" s="7" t="s">
        <v>76</v>
      </c>
      <c r="J100" s="7">
        <v>24.0</v>
      </c>
      <c r="N100" s="7">
        <v>4.0</v>
      </c>
      <c r="AE100" s="7">
        <v>1800.0</v>
      </c>
      <c r="AI100" s="7">
        <v>1000.0</v>
      </c>
      <c r="AJ100" s="7">
        <v>1000.0</v>
      </c>
      <c r="AK100" s="7">
        <v>50.0</v>
      </c>
      <c r="AN100" s="7">
        <v>10.0</v>
      </c>
      <c r="AQ100" s="7">
        <v>500.0</v>
      </c>
      <c r="GR100" s="87">
        <v>99.0</v>
      </c>
    </row>
    <row r="101">
      <c r="A101" s="5">
        <v>45835.50622222222</v>
      </c>
      <c r="B101" s="6">
        <v>45803.0</v>
      </c>
      <c r="C101" s="6">
        <v>45833.0</v>
      </c>
      <c r="D101" s="7" t="s">
        <v>33</v>
      </c>
      <c r="E101" s="7" t="s">
        <v>151</v>
      </c>
      <c r="F101" s="7">
        <v>2.0</v>
      </c>
      <c r="G101" s="7" t="s">
        <v>70</v>
      </c>
      <c r="H101" s="7" t="s">
        <v>76</v>
      </c>
      <c r="J101" s="7">
        <v>34.0</v>
      </c>
      <c r="K101" s="7">
        <v>6.0</v>
      </c>
      <c r="N101" s="7">
        <v>22.0</v>
      </c>
      <c r="AE101" s="7">
        <v>1650.0</v>
      </c>
      <c r="AF101" s="7">
        <v>600.0</v>
      </c>
      <c r="AG101" s="7">
        <v>600.0</v>
      </c>
      <c r="AK101" s="7">
        <v>50.0</v>
      </c>
      <c r="AN101" s="7">
        <v>10.0</v>
      </c>
      <c r="AO101" s="7">
        <v>100.0</v>
      </c>
      <c r="AP101" s="7">
        <v>100.0</v>
      </c>
      <c r="AQ101" s="7">
        <v>300.0</v>
      </c>
      <c r="BN101" s="7">
        <v>6.0</v>
      </c>
      <c r="BO101" s="7">
        <v>3.0</v>
      </c>
      <c r="BZ101" s="7">
        <v>15.0</v>
      </c>
      <c r="CA101" s="7">
        <v>8.0</v>
      </c>
      <c r="CZ101" s="7">
        <v>5.0</v>
      </c>
      <c r="DA101" s="7">
        <v>2.0</v>
      </c>
      <c r="DB101" s="7">
        <v>4.0</v>
      </c>
      <c r="DC101" s="7">
        <v>2.0</v>
      </c>
      <c r="DR101" s="7">
        <v>1.0</v>
      </c>
      <c r="DS101" s="7">
        <v>1.0</v>
      </c>
      <c r="EF101" s="7">
        <v>2.0</v>
      </c>
      <c r="EG101" s="7">
        <v>1.0</v>
      </c>
      <c r="GR101" s="87">
        <v>100.0</v>
      </c>
    </row>
    <row r="102">
      <c r="A102" s="5">
        <v>45835.619937951386</v>
      </c>
      <c r="B102" s="6">
        <v>45803.0</v>
      </c>
      <c r="C102" s="6">
        <v>45833.0</v>
      </c>
      <c r="D102" s="7" t="s">
        <v>31</v>
      </c>
      <c r="E102" s="7" t="s">
        <v>140</v>
      </c>
      <c r="F102" s="7">
        <v>3.0</v>
      </c>
      <c r="G102" s="7" t="s">
        <v>70</v>
      </c>
      <c r="H102" s="7" t="s">
        <v>76</v>
      </c>
      <c r="J102" s="7">
        <v>68.0</v>
      </c>
      <c r="N102" s="7">
        <v>10.0</v>
      </c>
      <c r="AE102" s="7">
        <v>900.0</v>
      </c>
      <c r="AF102" s="7">
        <v>300.0</v>
      </c>
      <c r="AG102" s="7">
        <v>300.0</v>
      </c>
      <c r="AK102" s="7">
        <v>50.0</v>
      </c>
      <c r="AN102" s="7">
        <v>10.0</v>
      </c>
      <c r="AQ102" s="7">
        <v>300.0</v>
      </c>
      <c r="BH102" s="7">
        <v>6.0</v>
      </c>
      <c r="BI102" s="7">
        <v>5.0</v>
      </c>
      <c r="BL102" s="7">
        <v>10.0</v>
      </c>
      <c r="BM102" s="7">
        <v>8.0</v>
      </c>
      <c r="BN102" s="7">
        <v>20.0</v>
      </c>
      <c r="BO102" s="7">
        <v>18.0</v>
      </c>
      <c r="BR102" s="7">
        <v>1.0</v>
      </c>
      <c r="BS102" s="7">
        <v>1.0</v>
      </c>
      <c r="BZ102" s="7">
        <v>17.0</v>
      </c>
      <c r="CA102" s="7">
        <v>15.0</v>
      </c>
      <c r="CN102" s="7">
        <v>4.0</v>
      </c>
      <c r="CO102" s="7">
        <v>3.0</v>
      </c>
      <c r="CT102" s="7">
        <v>3.0</v>
      </c>
      <c r="DB102" s="7">
        <v>40.0</v>
      </c>
      <c r="DC102" s="7">
        <v>30.0</v>
      </c>
      <c r="DL102" s="7">
        <v>3.0</v>
      </c>
      <c r="DM102" s="7">
        <v>4.0</v>
      </c>
      <c r="DN102" s="7">
        <v>1.0</v>
      </c>
      <c r="DO102" s="7">
        <v>2.0</v>
      </c>
      <c r="DP102" s="7">
        <v>1.0</v>
      </c>
      <c r="DQ102" s="7">
        <v>1.0</v>
      </c>
      <c r="DR102" s="7">
        <v>3.0</v>
      </c>
      <c r="DS102" s="7">
        <v>3.0</v>
      </c>
      <c r="DU102" s="7">
        <v>1.0</v>
      </c>
      <c r="DV102" s="7">
        <v>1.0</v>
      </c>
      <c r="DW102" s="7">
        <v>1.0</v>
      </c>
      <c r="EF102" s="7">
        <v>6.0</v>
      </c>
      <c r="EG102" s="7">
        <v>9.0</v>
      </c>
      <c r="EH102" s="7">
        <v>4.0</v>
      </c>
      <c r="EI102" s="7">
        <v>6.0</v>
      </c>
      <c r="EV102" s="7">
        <v>50.0</v>
      </c>
      <c r="EX102" s="7">
        <v>10.0</v>
      </c>
      <c r="FB102" s="7">
        <v>30.0</v>
      </c>
      <c r="FC102" s="7">
        <v>15.0</v>
      </c>
      <c r="GR102" s="87">
        <v>101.0</v>
      </c>
    </row>
    <row r="103">
      <c r="A103" s="5">
        <v>45837.58615456018</v>
      </c>
      <c r="B103" s="6">
        <v>45803.0</v>
      </c>
      <c r="C103" s="6">
        <v>45833.0</v>
      </c>
      <c r="D103" s="7" t="s">
        <v>37</v>
      </c>
      <c r="E103" s="7" t="s">
        <v>87</v>
      </c>
      <c r="F103" s="7">
        <v>3.0</v>
      </c>
      <c r="G103" s="7" t="s">
        <v>70</v>
      </c>
      <c r="H103" s="7" t="s">
        <v>76</v>
      </c>
      <c r="J103" s="7">
        <v>68.0</v>
      </c>
      <c r="K103" s="7">
        <v>2.0</v>
      </c>
      <c r="N103" s="7">
        <v>14.0</v>
      </c>
      <c r="O103" s="7">
        <v>1.0</v>
      </c>
      <c r="AE103" s="7">
        <v>700.0</v>
      </c>
      <c r="AI103" s="7">
        <v>250.0</v>
      </c>
      <c r="AJ103" s="7">
        <v>250.0</v>
      </c>
      <c r="AK103" s="7">
        <v>50.0</v>
      </c>
      <c r="AN103" s="7">
        <v>10.0</v>
      </c>
      <c r="AQ103" s="7">
        <v>400.0</v>
      </c>
      <c r="BF103" s="7">
        <v>22.0</v>
      </c>
      <c r="BG103" s="7">
        <v>16.0</v>
      </c>
      <c r="BJ103" s="7">
        <v>20.0</v>
      </c>
      <c r="BK103" s="7">
        <v>15.0</v>
      </c>
      <c r="BL103" s="7">
        <v>31.0</v>
      </c>
      <c r="BM103" s="7">
        <v>24.0</v>
      </c>
      <c r="BN103" s="7">
        <v>50.0</v>
      </c>
      <c r="BO103" s="7">
        <v>40.0</v>
      </c>
      <c r="BZ103" s="7">
        <v>50.0</v>
      </c>
      <c r="CA103" s="7">
        <v>40.0</v>
      </c>
      <c r="CB103" s="7">
        <v>6.0</v>
      </c>
      <c r="CC103" s="7">
        <v>5.0</v>
      </c>
      <c r="CH103" s="7">
        <v>12.0</v>
      </c>
      <c r="CI103" s="7">
        <v>8.0</v>
      </c>
      <c r="CT103" s="7">
        <v>2.0</v>
      </c>
      <c r="CU103" s="7">
        <v>1.0</v>
      </c>
      <c r="DB103" s="7">
        <v>13.0</v>
      </c>
      <c r="DC103" s="7">
        <v>9.0</v>
      </c>
      <c r="DL103" s="7">
        <v>5.0</v>
      </c>
      <c r="DM103" s="7">
        <v>5.0</v>
      </c>
      <c r="DP103" s="7">
        <v>5.0</v>
      </c>
      <c r="DQ103" s="7">
        <v>5.0</v>
      </c>
      <c r="EF103" s="7">
        <v>8.0</v>
      </c>
      <c r="EG103" s="7">
        <v>7.0</v>
      </c>
      <c r="EV103" s="7">
        <v>60.0</v>
      </c>
      <c r="GR103" s="87">
        <v>102.0</v>
      </c>
    </row>
    <row r="104">
      <c r="A104" s="5">
        <v>45839.45972443287</v>
      </c>
      <c r="B104" s="6">
        <v>45803.0</v>
      </c>
      <c r="C104" s="6">
        <v>45833.0</v>
      </c>
      <c r="D104" s="7" t="s">
        <v>20</v>
      </c>
      <c r="E104" s="7" t="s">
        <v>77</v>
      </c>
      <c r="F104" s="7">
        <v>1.0</v>
      </c>
      <c r="G104" s="7" t="s">
        <v>70</v>
      </c>
      <c r="H104" s="7" t="s">
        <v>76</v>
      </c>
      <c r="J104" s="7">
        <v>72.0</v>
      </c>
      <c r="K104" s="7">
        <v>40.0</v>
      </c>
      <c r="L104" s="7">
        <v>29.0</v>
      </c>
      <c r="N104" s="7">
        <v>35.0</v>
      </c>
      <c r="O104" s="7">
        <v>12.0</v>
      </c>
      <c r="P104" s="7">
        <v>18.0</v>
      </c>
      <c r="T104" s="7">
        <v>200.0</v>
      </c>
      <c r="AE104" s="7">
        <v>1850.0</v>
      </c>
      <c r="AF104" s="7">
        <v>300.0</v>
      </c>
      <c r="AG104" s="7">
        <v>300.0</v>
      </c>
      <c r="AI104" s="7">
        <v>900.0</v>
      </c>
      <c r="AJ104" s="7">
        <v>900.0</v>
      </c>
      <c r="AK104" s="7">
        <v>50.0</v>
      </c>
      <c r="AL104" s="7">
        <v>50.0</v>
      </c>
      <c r="AM104" s="7">
        <v>50.0</v>
      </c>
      <c r="AN104" s="7">
        <v>20.0</v>
      </c>
      <c r="AQ104" s="7">
        <v>700.0</v>
      </c>
      <c r="AR104" s="7">
        <v>200.0</v>
      </c>
      <c r="AS104" s="7">
        <v>200.0</v>
      </c>
      <c r="BN104" s="7">
        <v>30.0</v>
      </c>
      <c r="BO104" s="7">
        <v>24.0</v>
      </c>
      <c r="BR104" s="7">
        <v>2.0</v>
      </c>
      <c r="BS104" s="7">
        <v>2.0</v>
      </c>
      <c r="BZ104" s="7">
        <v>30.0</v>
      </c>
      <c r="CA104" s="7">
        <v>24.0</v>
      </c>
      <c r="CP104" s="7">
        <v>90.0</v>
      </c>
      <c r="CQ104" s="7">
        <v>55.0</v>
      </c>
      <c r="CR104" s="7">
        <v>12.0</v>
      </c>
      <c r="CS104" s="7">
        <v>7.0</v>
      </c>
      <c r="CT104" s="7">
        <v>10.0</v>
      </c>
      <c r="CU104" s="7">
        <v>4.0</v>
      </c>
      <c r="DB104" s="7">
        <v>95.0</v>
      </c>
      <c r="DC104" s="7">
        <v>60.0</v>
      </c>
      <c r="DD104" s="7">
        <v>35.0</v>
      </c>
      <c r="DE104" s="7">
        <v>18.0</v>
      </c>
      <c r="DR104" s="7">
        <v>2.0</v>
      </c>
      <c r="DS104" s="7">
        <v>2.0</v>
      </c>
      <c r="EF104" s="7">
        <v>2.0</v>
      </c>
      <c r="EG104" s="7">
        <v>2.0</v>
      </c>
      <c r="EV104" s="7">
        <v>15.0</v>
      </c>
      <c r="EX104" s="7">
        <v>10.0</v>
      </c>
      <c r="FB104" s="7">
        <v>15.0</v>
      </c>
      <c r="GN104" s="7">
        <v>2.0</v>
      </c>
      <c r="GO104" s="7">
        <v>2.0</v>
      </c>
      <c r="GQ104" s="7">
        <v>20.0</v>
      </c>
      <c r="GR104" s="87">
        <v>103.0</v>
      </c>
    </row>
    <row r="105">
      <c r="A105" s="5">
        <v>45839.477354849536</v>
      </c>
      <c r="B105" s="6">
        <v>45803.0</v>
      </c>
      <c r="C105" s="6">
        <v>45833.0</v>
      </c>
      <c r="D105" s="7" t="s">
        <v>40</v>
      </c>
      <c r="E105" s="7" t="s">
        <v>174</v>
      </c>
      <c r="F105" s="7">
        <v>4.0</v>
      </c>
      <c r="G105" s="7" t="s">
        <v>70</v>
      </c>
      <c r="H105" s="7" t="s">
        <v>76</v>
      </c>
      <c r="BN105" s="7">
        <v>30.0</v>
      </c>
      <c r="BO105" s="7">
        <v>20.0</v>
      </c>
      <c r="BZ105" s="7">
        <v>15.0</v>
      </c>
      <c r="CA105" s="7">
        <v>10.0</v>
      </c>
      <c r="DB105" s="7">
        <v>20.0</v>
      </c>
      <c r="DC105" s="7">
        <v>10.0</v>
      </c>
      <c r="EV105" s="7">
        <v>30.0</v>
      </c>
      <c r="FB105" s="7">
        <v>15.0</v>
      </c>
      <c r="GR105" s="87">
        <v>104.0</v>
      </c>
    </row>
    <row r="106">
      <c r="A106" s="5">
        <v>45839.485952268515</v>
      </c>
      <c r="B106" s="6">
        <v>45803.0</v>
      </c>
      <c r="C106" s="6">
        <v>45833.0</v>
      </c>
      <c r="D106" s="7" t="s">
        <v>41</v>
      </c>
      <c r="E106" s="7" t="s">
        <v>251</v>
      </c>
      <c r="F106" s="7">
        <v>2.0</v>
      </c>
      <c r="G106" s="7" t="s">
        <v>70</v>
      </c>
      <c r="H106" s="7" t="s">
        <v>76</v>
      </c>
      <c r="J106" s="7">
        <v>120.0</v>
      </c>
      <c r="N106" s="7">
        <v>40.0</v>
      </c>
      <c r="Q106" s="7">
        <v>1.0</v>
      </c>
      <c r="R106" s="7">
        <v>23.0</v>
      </c>
      <c r="S106" s="7">
        <v>38.0</v>
      </c>
      <c r="AE106" s="7">
        <v>1250.0</v>
      </c>
      <c r="AF106" s="7">
        <v>300.0</v>
      </c>
      <c r="AG106" s="7">
        <v>300.0</v>
      </c>
      <c r="AK106" s="7">
        <v>50.0</v>
      </c>
      <c r="AN106" s="7">
        <v>10.0</v>
      </c>
      <c r="AQ106" s="7">
        <v>300.0</v>
      </c>
      <c r="BR106" s="7">
        <v>6.0</v>
      </c>
      <c r="BS106" s="7">
        <v>6.0</v>
      </c>
      <c r="GR106" s="87">
        <v>105.0</v>
      </c>
    </row>
    <row r="107">
      <c r="A107" s="5">
        <v>45839.493445381944</v>
      </c>
      <c r="B107" s="6">
        <v>45803.0</v>
      </c>
      <c r="C107" s="6">
        <v>45833.0</v>
      </c>
      <c r="D107" s="7" t="s">
        <v>258</v>
      </c>
      <c r="E107" s="7" t="s">
        <v>256</v>
      </c>
      <c r="F107" s="7">
        <v>2.0</v>
      </c>
      <c r="G107" s="7" t="s">
        <v>70</v>
      </c>
      <c r="H107" s="7" t="s">
        <v>76</v>
      </c>
      <c r="J107" s="7">
        <v>20.0</v>
      </c>
      <c r="AE107" s="7">
        <v>1550.0</v>
      </c>
      <c r="AF107" s="7">
        <v>200.0</v>
      </c>
      <c r="AG107" s="7">
        <v>200.0</v>
      </c>
      <c r="AK107" s="7">
        <v>50.0</v>
      </c>
      <c r="AN107" s="7">
        <v>10.0</v>
      </c>
      <c r="AQ107" s="7">
        <v>500.0</v>
      </c>
      <c r="GR107" s="87">
        <v>106.0</v>
      </c>
    </row>
    <row r="108">
      <c r="A108" s="5">
        <v>45839.50101414352</v>
      </c>
      <c r="B108" s="6">
        <v>45803.0</v>
      </c>
      <c r="C108" s="6">
        <v>45833.0</v>
      </c>
      <c r="D108" s="7" t="s">
        <v>27</v>
      </c>
      <c r="E108" s="7" t="s">
        <v>120</v>
      </c>
      <c r="F108" s="7">
        <v>2.0</v>
      </c>
      <c r="G108" s="7" t="s">
        <v>70</v>
      </c>
      <c r="H108" s="7" t="s">
        <v>76</v>
      </c>
      <c r="J108" s="7">
        <v>82.0</v>
      </c>
      <c r="N108" s="7">
        <v>16.0</v>
      </c>
      <c r="AE108" s="7">
        <v>950.0</v>
      </c>
      <c r="AK108" s="7">
        <v>50.0</v>
      </c>
      <c r="AN108" s="7">
        <v>20.0</v>
      </c>
      <c r="AQ108" s="7">
        <v>400.0</v>
      </c>
      <c r="BZ108" s="7">
        <v>15.0</v>
      </c>
      <c r="CA108" s="7">
        <v>11.0</v>
      </c>
      <c r="FB108" s="7">
        <v>15.0</v>
      </c>
      <c r="GR108" s="87">
        <v>107.0</v>
      </c>
    </row>
    <row r="109">
      <c r="A109" s="5">
        <v>45840.51311158565</v>
      </c>
      <c r="B109" s="6">
        <v>45803.0</v>
      </c>
      <c r="C109" s="6">
        <v>45833.0</v>
      </c>
      <c r="D109" s="7" t="s">
        <v>42</v>
      </c>
      <c r="E109" s="7" t="s">
        <v>279</v>
      </c>
      <c r="F109" s="7">
        <v>2.0</v>
      </c>
      <c r="G109" s="7" t="s">
        <v>70</v>
      </c>
      <c r="H109" s="7" t="s">
        <v>76</v>
      </c>
      <c r="AE109" s="7">
        <v>1200.0</v>
      </c>
      <c r="AF109" s="7">
        <v>600.0</v>
      </c>
      <c r="AG109" s="7">
        <v>600.0</v>
      </c>
      <c r="AI109" s="7">
        <v>650.0</v>
      </c>
      <c r="AJ109" s="7">
        <v>650.0</v>
      </c>
      <c r="AK109" s="7">
        <v>50.0</v>
      </c>
      <c r="AN109" s="7">
        <v>10.0</v>
      </c>
      <c r="AQ109" s="7">
        <v>600.0</v>
      </c>
      <c r="GR109" s="87">
        <v>108.0</v>
      </c>
    </row>
    <row r="110">
      <c r="A110" s="5">
        <v>45842.46968753472</v>
      </c>
      <c r="B110" s="6">
        <v>45803.0</v>
      </c>
      <c r="C110" s="6">
        <v>45833.0</v>
      </c>
      <c r="D110" s="7" t="s">
        <v>34</v>
      </c>
      <c r="E110" s="7" t="s">
        <v>169</v>
      </c>
      <c r="F110" s="7">
        <v>1.0</v>
      </c>
      <c r="G110" s="7" t="s">
        <v>70</v>
      </c>
      <c r="H110" s="7" t="s">
        <v>76</v>
      </c>
      <c r="J110" s="7">
        <v>50.0</v>
      </c>
      <c r="N110" s="7">
        <v>40.0</v>
      </c>
      <c r="T110" s="7">
        <v>70.0</v>
      </c>
      <c r="AE110" s="7">
        <v>1200.0</v>
      </c>
      <c r="AF110" s="7">
        <v>600.0</v>
      </c>
      <c r="AG110" s="7">
        <v>600.0</v>
      </c>
      <c r="AI110" s="7">
        <v>1400.0</v>
      </c>
      <c r="AJ110" s="7">
        <v>1400.0</v>
      </c>
      <c r="AK110" s="7">
        <v>50.0</v>
      </c>
      <c r="AN110" s="7">
        <v>20.0</v>
      </c>
      <c r="AQ110" s="7">
        <v>800.0</v>
      </c>
      <c r="BN110" s="7">
        <v>30.0</v>
      </c>
      <c r="BO110" s="7">
        <v>20.0</v>
      </c>
      <c r="BZ110" s="7">
        <v>30.0</v>
      </c>
      <c r="CA110" s="7">
        <v>20.0</v>
      </c>
      <c r="ES110" s="7">
        <v>15.0</v>
      </c>
      <c r="EV110" s="7">
        <v>90.0</v>
      </c>
      <c r="EX110" s="7">
        <v>10.0</v>
      </c>
      <c r="FB110" s="7">
        <v>75.0</v>
      </c>
      <c r="FC110" s="7">
        <v>15.0</v>
      </c>
      <c r="FL110" s="7">
        <v>45.0</v>
      </c>
      <c r="FR110" s="7">
        <v>30.0</v>
      </c>
      <c r="FS110" s="7">
        <v>15.0</v>
      </c>
      <c r="GR110" s="87">
        <v>109.0</v>
      </c>
    </row>
    <row r="111">
      <c r="A111" s="5">
        <v>45842.47943449074</v>
      </c>
      <c r="B111" s="6">
        <v>45803.0</v>
      </c>
      <c r="C111" s="6">
        <v>45833.0</v>
      </c>
      <c r="D111" s="7" t="s">
        <v>261</v>
      </c>
      <c r="E111" s="7" t="s">
        <v>263</v>
      </c>
      <c r="F111" s="7">
        <v>4.0</v>
      </c>
      <c r="G111" s="7" t="s">
        <v>70</v>
      </c>
      <c r="H111" s="7" t="s">
        <v>76</v>
      </c>
      <c r="GR111" s="87">
        <v>110.0</v>
      </c>
    </row>
    <row r="112">
      <c r="A112" s="5">
        <v>45842.58966012731</v>
      </c>
      <c r="B112" s="6">
        <v>45803.0</v>
      </c>
      <c r="C112" s="6">
        <v>45833.0</v>
      </c>
      <c r="D112" s="7" t="s">
        <v>214</v>
      </c>
      <c r="E112" s="7" t="s">
        <v>217</v>
      </c>
      <c r="F112" s="7">
        <v>4.0</v>
      </c>
      <c r="G112" s="7" t="s">
        <v>70</v>
      </c>
      <c r="H112" s="7" t="s">
        <v>76</v>
      </c>
      <c r="BN112" s="7">
        <v>15.0</v>
      </c>
      <c r="BO112" s="7">
        <v>15.0</v>
      </c>
      <c r="EV112" s="7">
        <v>15.0</v>
      </c>
      <c r="GR112" s="87">
        <v>111.0</v>
      </c>
    </row>
    <row r="113">
      <c r="A113" s="5">
        <v>45864.38166706018</v>
      </c>
      <c r="B113" s="6">
        <v>45834.0</v>
      </c>
      <c r="C113" s="6">
        <v>45863.0</v>
      </c>
      <c r="D113" s="7" t="s">
        <v>29</v>
      </c>
      <c r="E113" s="7" t="s">
        <v>110</v>
      </c>
      <c r="F113" s="7">
        <v>3.0</v>
      </c>
      <c r="G113" s="7" t="s">
        <v>70</v>
      </c>
      <c r="H113" s="7" t="s">
        <v>76</v>
      </c>
      <c r="J113" s="7">
        <v>102.0</v>
      </c>
      <c r="N113" s="7">
        <v>28.0</v>
      </c>
      <c r="AE113" s="7">
        <v>1000.0</v>
      </c>
      <c r="AF113" s="7">
        <v>1100.0</v>
      </c>
      <c r="AG113" s="7">
        <v>1100.0</v>
      </c>
      <c r="AO113" s="7">
        <v>10.0</v>
      </c>
      <c r="AP113" s="7">
        <v>10.0</v>
      </c>
      <c r="AR113" s="7">
        <v>400.0</v>
      </c>
      <c r="AS113" s="7">
        <v>400.0</v>
      </c>
      <c r="BF113" s="7">
        <v>17.0</v>
      </c>
      <c r="BG113" s="7">
        <v>17.0</v>
      </c>
      <c r="BJ113" s="7">
        <v>17.0</v>
      </c>
      <c r="BK113" s="7">
        <v>17.0</v>
      </c>
      <c r="BL113" s="7">
        <v>16.0</v>
      </c>
      <c r="BM113" s="7">
        <v>16.0</v>
      </c>
      <c r="BN113" s="7">
        <v>16.0</v>
      </c>
      <c r="BO113" s="7">
        <v>16.0</v>
      </c>
      <c r="BR113" s="7">
        <v>4.0</v>
      </c>
      <c r="BS113" s="7">
        <v>4.0</v>
      </c>
      <c r="BZ113" s="7">
        <v>35.0</v>
      </c>
      <c r="CA113" s="7">
        <v>35.0</v>
      </c>
      <c r="CB113" s="7">
        <v>6.0</v>
      </c>
      <c r="CC113" s="7">
        <v>6.0</v>
      </c>
      <c r="DR113" s="7">
        <v>1.0</v>
      </c>
      <c r="DS113" s="7">
        <v>1.0</v>
      </c>
      <c r="EF113" s="7">
        <v>0.0</v>
      </c>
      <c r="EG113" s="7">
        <v>0.0</v>
      </c>
      <c r="ET113" s="7">
        <v>15.0</v>
      </c>
      <c r="EU113" s="7">
        <v>15.0</v>
      </c>
      <c r="EV113" s="7">
        <v>60.0</v>
      </c>
      <c r="FB113" s="7">
        <v>45.0</v>
      </c>
      <c r="FC113" s="7">
        <v>15.0</v>
      </c>
      <c r="GR113" s="87">
        <v>112.0</v>
      </c>
    </row>
    <row r="114">
      <c r="A114" s="5">
        <v>45864.39263494213</v>
      </c>
      <c r="B114" s="6">
        <v>45834.0</v>
      </c>
      <c r="C114" s="6">
        <v>45863.0</v>
      </c>
      <c r="D114" s="7" t="s">
        <v>39</v>
      </c>
      <c r="E114" s="7" t="s">
        <v>179</v>
      </c>
      <c r="F114" s="7">
        <v>4.0</v>
      </c>
      <c r="G114" s="7" t="s">
        <v>70</v>
      </c>
      <c r="H114" s="7" t="s">
        <v>76</v>
      </c>
      <c r="BJ114" s="7">
        <v>30.0</v>
      </c>
      <c r="BK114" s="7">
        <v>22.0</v>
      </c>
      <c r="BZ114" s="7">
        <v>30.0</v>
      </c>
      <c r="CA114" s="7">
        <v>21.0</v>
      </c>
      <c r="CN114" s="7">
        <v>9.0</v>
      </c>
      <c r="CO114" s="7">
        <v>5.0</v>
      </c>
      <c r="DB114" s="7">
        <v>11.0</v>
      </c>
      <c r="DC114" s="7">
        <v>7.0</v>
      </c>
      <c r="DD114" s="7">
        <v>9.0</v>
      </c>
      <c r="DE114" s="7">
        <v>6.0</v>
      </c>
      <c r="ET114" s="7">
        <v>30.0</v>
      </c>
      <c r="FB114" s="7">
        <v>30.0</v>
      </c>
      <c r="GR114" s="87">
        <v>113.0</v>
      </c>
    </row>
    <row r="115">
      <c r="A115" s="5">
        <v>45864.43254947917</v>
      </c>
      <c r="B115" s="6">
        <v>45834.0</v>
      </c>
      <c r="C115" s="6">
        <v>45863.0</v>
      </c>
      <c r="D115" s="7" t="s">
        <v>127</v>
      </c>
      <c r="E115" s="7" t="s">
        <v>145</v>
      </c>
      <c r="F115" s="7">
        <v>4.0</v>
      </c>
      <c r="G115" s="7" t="s">
        <v>70</v>
      </c>
      <c r="H115" s="7" t="s">
        <v>76</v>
      </c>
      <c r="BN115" s="7">
        <v>15.0</v>
      </c>
      <c r="BO115" s="7">
        <v>12.0</v>
      </c>
      <c r="DB115" s="7">
        <v>0.0</v>
      </c>
      <c r="DC115" s="7">
        <v>0.0</v>
      </c>
      <c r="DD115" s="7">
        <v>12.0</v>
      </c>
      <c r="DE115" s="7">
        <v>7.0</v>
      </c>
      <c r="EV115" s="7">
        <v>15.0</v>
      </c>
      <c r="GR115" s="87">
        <v>114.0</v>
      </c>
    </row>
    <row r="116">
      <c r="A116" s="5">
        <v>45864.445632766205</v>
      </c>
      <c r="B116" s="6">
        <v>45834.0</v>
      </c>
      <c r="C116" s="6">
        <v>45863.0</v>
      </c>
      <c r="D116" s="7" t="s">
        <v>192</v>
      </c>
      <c r="E116" s="7" t="s">
        <v>194</v>
      </c>
      <c r="F116" s="7">
        <v>4.0</v>
      </c>
      <c r="G116" s="7" t="s">
        <v>70</v>
      </c>
      <c r="H116" s="7" t="s">
        <v>76</v>
      </c>
      <c r="BJ116" s="7">
        <v>15.0</v>
      </c>
      <c r="BK116" s="7">
        <v>8.0</v>
      </c>
      <c r="BZ116" s="7">
        <v>15.0</v>
      </c>
      <c r="CA116" s="7">
        <v>8.0</v>
      </c>
      <c r="ET116" s="7">
        <v>15.0</v>
      </c>
      <c r="FB116" s="7">
        <v>15.0</v>
      </c>
      <c r="GR116" s="87">
        <v>115.0</v>
      </c>
    </row>
    <row r="117">
      <c r="A117" s="5">
        <v>45864.44846702546</v>
      </c>
      <c r="B117" s="6">
        <v>45834.0</v>
      </c>
      <c r="C117" s="6">
        <v>45863.0</v>
      </c>
      <c r="D117" s="7" t="s">
        <v>31</v>
      </c>
      <c r="E117" s="7" t="s">
        <v>140</v>
      </c>
      <c r="F117" s="7">
        <v>3.0</v>
      </c>
      <c r="G117" s="7" t="s">
        <v>70</v>
      </c>
      <c r="H117" s="7" t="s">
        <v>76</v>
      </c>
      <c r="J117" s="7">
        <v>75.0</v>
      </c>
      <c r="N117" s="7">
        <v>10.0</v>
      </c>
      <c r="AE117" s="7">
        <v>500.0</v>
      </c>
      <c r="AF117" s="7">
        <v>1100.0</v>
      </c>
      <c r="AG117" s="7">
        <v>1100.0</v>
      </c>
      <c r="BF117" s="7">
        <v>7.0</v>
      </c>
      <c r="BG117" s="7">
        <v>6.0</v>
      </c>
      <c r="BJ117" s="7">
        <v>14.0</v>
      </c>
      <c r="BK117" s="7">
        <v>11.0</v>
      </c>
      <c r="BL117" s="7">
        <v>7.0</v>
      </c>
      <c r="BM117" s="7">
        <v>6.0</v>
      </c>
      <c r="BN117" s="7">
        <v>31.0</v>
      </c>
      <c r="BO117" s="7">
        <v>26.0</v>
      </c>
      <c r="BR117" s="7">
        <v>2.0</v>
      </c>
      <c r="BS117" s="7">
        <v>2.0</v>
      </c>
      <c r="BZ117" s="7">
        <v>58.0</v>
      </c>
      <c r="CA117" s="7">
        <v>50.0</v>
      </c>
      <c r="CB117" s="7">
        <v>11.0</v>
      </c>
      <c r="CC117" s="7">
        <v>9.0</v>
      </c>
      <c r="CT117" s="7">
        <v>4.0</v>
      </c>
      <c r="DD117" s="7">
        <v>12.0</v>
      </c>
      <c r="DE117" s="7">
        <v>8.0</v>
      </c>
      <c r="DL117" s="7">
        <v>2.0</v>
      </c>
      <c r="DM117" s="7">
        <v>5.0</v>
      </c>
      <c r="DP117" s="7">
        <v>1.0</v>
      </c>
      <c r="DR117" s="7">
        <v>1.0</v>
      </c>
      <c r="DS117" s="7">
        <v>1.0</v>
      </c>
      <c r="DT117" s="7">
        <v>1.0</v>
      </c>
      <c r="DU117" s="7">
        <v>2.0</v>
      </c>
      <c r="DV117" s="7">
        <v>1.0</v>
      </c>
      <c r="DW117" s="7">
        <v>1.0</v>
      </c>
      <c r="DY117" s="7">
        <v>1.0</v>
      </c>
      <c r="EE117" s="7">
        <v>1.0</v>
      </c>
      <c r="EF117" s="7">
        <v>3.0</v>
      </c>
      <c r="EG117" s="7">
        <v>8.0</v>
      </c>
      <c r="EH117" s="7">
        <v>4.0</v>
      </c>
      <c r="EI117" s="7">
        <v>6.0</v>
      </c>
      <c r="ET117" s="7">
        <v>15.0</v>
      </c>
      <c r="EU117" s="7">
        <v>30.0</v>
      </c>
      <c r="EV117" s="7">
        <v>50.0</v>
      </c>
      <c r="GR117" s="87">
        <v>116.0</v>
      </c>
    </row>
    <row r="118">
      <c r="A118" s="5">
        <v>45864.46031390046</v>
      </c>
      <c r="B118" s="6">
        <v>45834.0</v>
      </c>
      <c r="C118" s="6">
        <v>45863.0</v>
      </c>
      <c r="D118" s="7" t="s">
        <v>23</v>
      </c>
      <c r="E118" s="7" t="s">
        <v>92</v>
      </c>
      <c r="F118" s="7">
        <v>3.0</v>
      </c>
      <c r="G118" s="7" t="s">
        <v>70</v>
      </c>
      <c r="H118" s="7" t="s">
        <v>76</v>
      </c>
      <c r="J118" s="7">
        <v>125.0</v>
      </c>
      <c r="K118" s="7">
        <v>6.0</v>
      </c>
      <c r="L118" s="7">
        <v>2.0</v>
      </c>
      <c r="N118" s="7">
        <v>80.0</v>
      </c>
      <c r="U118" s="7">
        <v>2.0</v>
      </c>
      <c r="AE118" s="7">
        <v>700.0</v>
      </c>
      <c r="AF118" s="7">
        <v>1300.0</v>
      </c>
      <c r="AG118" s="7">
        <v>1300.0</v>
      </c>
      <c r="BJ118" s="7">
        <v>27.0</v>
      </c>
      <c r="BK118" s="7">
        <v>27.0</v>
      </c>
      <c r="BN118" s="7">
        <v>31.0</v>
      </c>
      <c r="BO118" s="7">
        <v>31.0</v>
      </c>
      <c r="BR118" s="7">
        <v>5.0</v>
      </c>
      <c r="BS118" s="7">
        <v>4.0</v>
      </c>
      <c r="BZ118" s="7">
        <v>60.0</v>
      </c>
      <c r="CA118" s="7">
        <v>60.0</v>
      </c>
      <c r="DB118" s="7">
        <v>15.0</v>
      </c>
      <c r="DC118" s="7">
        <v>11.0</v>
      </c>
      <c r="DP118" s="7">
        <v>6.0</v>
      </c>
      <c r="DQ118" s="7">
        <v>4.0</v>
      </c>
      <c r="DR118" s="7">
        <v>10.0</v>
      </c>
      <c r="DS118" s="7">
        <v>8.0</v>
      </c>
      <c r="DY118" s="7">
        <v>1.0</v>
      </c>
      <c r="EF118" s="7">
        <v>10.0</v>
      </c>
      <c r="EG118" s="7">
        <v>8.0</v>
      </c>
      <c r="ET118" s="7">
        <v>15.0</v>
      </c>
      <c r="EV118" s="7">
        <v>15.0</v>
      </c>
      <c r="EX118" s="7">
        <v>10.0</v>
      </c>
      <c r="GR118" s="87">
        <v>117.0</v>
      </c>
    </row>
    <row r="119">
      <c r="A119" s="5">
        <v>45864.462845682865</v>
      </c>
      <c r="B119" s="6">
        <v>45834.0</v>
      </c>
      <c r="C119" s="6">
        <v>45863.0</v>
      </c>
      <c r="D119" s="7" t="s">
        <v>214</v>
      </c>
      <c r="E119" s="7" t="s">
        <v>217</v>
      </c>
      <c r="F119" s="7">
        <v>4.0</v>
      </c>
      <c r="G119" s="7" t="s">
        <v>70</v>
      </c>
      <c r="H119" s="7" t="s">
        <v>76</v>
      </c>
      <c r="BN119" s="7">
        <v>15.0</v>
      </c>
      <c r="BO119" s="7">
        <v>12.0</v>
      </c>
      <c r="EV119" s="7">
        <v>15.0</v>
      </c>
      <c r="GR119" s="87">
        <v>118.0</v>
      </c>
    </row>
    <row r="120">
      <c r="A120" s="5">
        <v>45864.468646967594</v>
      </c>
      <c r="B120" s="6">
        <v>45834.0</v>
      </c>
      <c r="C120" s="6">
        <v>45863.0</v>
      </c>
      <c r="D120" s="7" t="s">
        <v>25</v>
      </c>
      <c r="E120" s="7" t="s">
        <v>246</v>
      </c>
      <c r="F120" s="7">
        <v>2.0</v>
      </c>
      <c r="G120" s="7" t="s">
        <v>70</v>
      </c>
      <c r="H120" s="7" t="s">
        <v>76</v>
      </c>
      <c r="J120" s="7">
        <v>60.0</v>
      </c>
      <c r="N120" s="7">
        <v>31.0</v>
      </c>
      <c r="AE120" s="7">
        <v>850.0</v>
      </c>
      <c r="AF120" s="7">
        <v>850.0</v>
      </c>
      <c r="AG120" s="7">
        <v>850.0</v>
      </c>
      <c r="AO120" s="7">
        <v>10.0</v>
      </c>
      <c r="AP120" s="7">
        <v>10.0</v>
      </c>
      <c r="BN120" s="7">
        <v>10.0</v>
      </c>
      <c r="BO120" s="7">
        <v>5.0</v>
      </c>
      <c r="BR120" s="7">
        <v>2.0</v>
      </c>
      <c r="BS120" s="7">
        <v>2.0</v>
      </c>
      <c r="BZ120" s="7">
        <v>10.0</v>
      </c>
      <c r="CA120" s="7">
        <v>5.0</v>
      </c>
      <c r="CB120" s="7">
        <v>10.0</v>
      </c>
      <c r="CC120" s="7">
        <v>5.0</v>
      </c>
      <c r="EF120" s="7">
        <v>1.0</v>
      </c>
      <c r="EG120" s="7">
        <v>1.0</v>
      </c>
      <c r="EK120" s="7">
        <v>1.0</v>
      </c>
      <c r="EV120" s="7">
        <v>30.0</v>
      </c>
      <c r="EX120" s="7">
        <v>10.0</v>
      </c>
      <c r="GR120" s="87">
        <v>119.0</v>
      </c>
    </row>
    <row r="121">
      <c r="A121" s="5">
        <v>45864.469351747684</v>
      </c>
      <c r="B121" s="6">
        <v>45834.0</v>
      </c>
      <c r="C121" s="6">
        <v>45863.0</v>
      </c>
      <c r="D121" s="7" t="s">
        <v>38</v>
      </c>
      <c r="E121" s="7" t="s">
        <v>188</v>
      </c>
      <c r="F121" s="7">
        <v>2.0</v>
      </c>
      <c r="G121" s="7" t="s">
        <v>70</v>
      </c>
      <c r="H121" s="7" t="s">
        <v>76</v>
      </c>
      <c r="J121" s="7">
        <v>60.0</v>
      </c>
      <c r="N121" s="7">
        <v>30.0</v>
      </c>
      <c r="AE121" s="7">
        <v>1000.0</v>
      </c>
      <c r="AF121" s="7">
        <v>1000.0</v>
      </c>
      <c r="AG121" s="7">
        <v>1000.0</v>
      </c>
      <c r="AO121" s="7">
        <v>300.0</v>
      </c>
      <c r="AP121" s="7">
        <v>300.0</v>
      </c>
      <c r="BL121" s="7">
        <v>15.0</v>
      </c>
      <c r="BM121" s="7">
        <v>8.0</v>
      </c>
      <c r="BR121" s="7">
        <v>5.0</v>
      </c>
      <c r="BS121" s="7">
        <v>5.0</v>
      </c>
      <c r="BZ121" s="7">
        <v>15.0</v>
      </c>
      <c r="CA121" s="7">
        <v>8.0</v>
      </c>
      <c r="ET121" s="7">
        <v>15.0</v>
      </c>
      <c r="EU121" s="7">
        <v>15.0</v>
      </c>
      <c r="EX121" s="7">
        <v>15.0</v>
      </c>
      <c r="FB121" s="7">
        <v>30.0</v>
      </c>
      <c r="FJ121" s="7">
        <v>15.0</v>
      </c>
      <c r="FR121" s="7">
        <v>15.0</v>
      </c>
      <c r="GR121" s="87">
        <v>120.0</v>
      </c>
    </row>
    <row r="122">
      <c r="A122" s="5">
        <v>45864.489862766204</v>
      </c>
      <c r="B122" s="6">
        <v>45834.0</v>
      </c>
      <c r="C122" s="6">
        <v>45863.0</v>
      </c>
      <c r="D122" s="7" t="s">
        <v>24</v>
      </c>
      <c r="E122" s="7" t="s">
        <v>158</v>
      </c>
      <c r="F122" s="7">
        <v>3.0</v>
      </c>
      <c r="G122" s="7" t="s">
        <v>70</v>
      </c>
      <c r="H122" s="7" t="s">
        <v>76</v>
      </c>
      <c r="J122" s="7">
        <v>58.0</v>
      </c>
      <c r="N122" s="7">
        <v>15.0</v>
      </c>
      <c r="AE122" s="7">
        <v>700.0</v>
      </c>
      <c r="AF122" s="7">
        <v>1250.0</v>
      </c>
      <c r="AG122" s="7">
        <v>1250.0</v>
      </c>
      <c r="AO122" s="7">
        <v>50.0</v>
      </c>
      <c r="AP122" s="7">
        <v>50.0</v>
      </c>
      <c r="AR122" s="7">
        <v>100.0</v>
      </c>
      <c r="AS122" s="7">
        <v>100.0</v>
      </c>
      <c r="BF122" s="7">
        <v>17.0</v>
      </c>
      <c r="BG122" s="7">
        <v>12.0</v>
      </c>
      <c r="BJ122" s="7">
        <v>25.0</v>
      </c>
      <c r="BK122" s="7">
        <v>18.0</v>
      </c>
      <c r="BL122" s="7">
        <v>48.0</v>
      </c>
      <c r="BM122" s="7">
        <v>36.0</v>
      </c>
      <c r="BN122" s="7">
        <v>71.0</v>
      </c>
      <c r="BO122" s="7">
        <v>51.0</v>
      </c>
      <c r="BR122" s="7">
        <v>4.0</v>
      </c>
      <c r="BS122" s="7">
        <v>4.0</v>
      </c>
      <c r="BZ122" s="7">
        <v>50.0</v>
      </c>
      <c r="CA122" s="7">
        <v>32.0</v>
      </c>
      <c r="CB122" s="7">
        <v>36.0</v>
      </c>
      <c r="CC122" s="7">
        <v>25.0</v>
      </c>
      <c r="DL122" s="7">
        <v>3.0</v>
      </c>
      <c r="DM122" s="7">
        <v>3.0</v>
      </c>
      <c r="DR122" s="7">
        <v>3.0</v>
      </c>
      <c r="DS122" s="7">
        <v>1.0</v>
      </c>
      <c r="DT122" s="7">
        <v>2.0</v>
      </c>
      <c r="DU122" s="7">
        <v>4.0</v>
      </c>
      <c r="EF122" s="7">
        <v>7.0</v>
      </c>
      <c r="EG122" s="7">
        <v>5.0</v>
      </c>
      <c r="ET122" s="7">
        <v>15.0</v>
      </c>
      <c r="EU122" s="7">
        <v>15.0</v>
      </c>
      <c r="EV122" s="7">
        <v>15.0</v>
      </c>
      <c r="EX122" s="7">
        <v>10.0</v>
      </c>
      <c r="FB122" s="7">
        <v>60.0</v>
      </c>
      <c r="GR122" s="87">
        <v>121.0</v>
      </c>
    </row>
    <row r="123">
      <c r="A123" s="5">
        <v>45864.49215935185</v>
      </c>
      <c r="B123" s="6">
        <v>45834.0</v>
      </c>
      <c r="C123" s="6">
        <v>45863.0</v>
      </c>
      <c r="D123" s="7" t="s">
        <v>40</v>
      </c>
      <c r="E123" s="7" t="s">
        <v>174</v>
      </c>
      <c r="F123" s="7">
        <v>4.0</v>
      </c>
      <c r="G123" s="7" t="s">
        <v>70</v>
      </c>
      <c r="H123" s="7" t="s">
        <v>76</v>
      </c>
      <c r="BN123" s="7">
        <v>15.0</v>
      </c>
      <c r="BO123" s="7">
        <v>10.0</v>
      </c>
      <c r="BZ123" s="7">
        <v>30.0</v>
      </c>
      <c r="CA123" s="7">
        <v>20.0</v>
      </c>
      <c r="CP123" s="7">
        <v>15.0</v>
      </c>
      <c r="CQ123" s="7">
        <v>10.0</v>
      </c>
      <c r="DB123" s="7">
        <v>15.0</v>
      </c>
      <c r="DC123" s="7">
        <v>10.0</v>
      </c>
      <c r="EV123" s="7">
        <v>15.0</v>
      </c>
      <c r="FB123" s="7">
        <v>30.0</v>
      </c>
      <c r="GR123" s="87">
        <v>122.0</v>
      </c>
    </row>
    <row r="124">
      <c r="A124" s="5">
        <v>45864.51729040509</v>
      </c>
      <c r="B124" s="6">
        <v>45834.0</v>
      </c>
      <c r="C124" s="6">
        <v>45863.0</v>
      </c>
      <c r="D124" s="7" t="s">
        <v>201</v>
      </c>
      <c r="E124" s="7" t="s">
        <v>199</v>
      </c>
      <c r="F124" s="7">
        <v>2.0</v>
      </c>
      <c r="G124" s="7" t="s">
        <v>70</v>
      </c>
      <c r="H124" s="7" t="s">
        <v>76</v>
      </c>
      <c r="J124" s="7">
        <v>104.0</v>
      </c>
      <c r="N124" s="7">
        <v>52.0</v>
      </c>
      <c r="AE124" s="7">
        <v>1450.0</v>
      </c>
      <c r="AF124" s="7">
        <v>2350.0</v>
      </c>
      <c r="AG124" s="7">
        <v>2350.0</v>
      </c>
      <c r="BF124" s="7">
        <v>32.0</v>
      </c>
      <c r="BG124" s="7">
        <v>20.0</v>
      </c>
      <c r="BJ124" s="7">
        <v>10.0</v>
      </c>
      <c r="BK124" s="7">
        <v>6.0</v>
      </c>
      <c r="BL124" s="7">
        <v>31.0</v>
      </c>
      <c r="BM124" s="7">
        <v>18.0</v>
      </c>
      <c r="BN124" s="7">
        <v>8.0</v>
      </c>
      <c r="BO124" s="7">
        <v>5.0</v>
      </c>
      <c r="BR124" s="7">
        <v>7.0</v>
      </c>
      <c r="BS124" s="7">
        <v>6.0</v>
      </c>
      <c r="BZ124" s="7">
        <v>60.0</v>
      </c>
      <c r="CA124" s="7">
        <v>38.0</v>
      </c>
      <c r="CB124" s="7">
        <v>6.0</v>
      </c>
      <c r="CC124" s="7">
        <v>4.0</v>
      </c>
      <c r="CN124" s="7">
        <v>10.0</v>
      </c>
      <c r="CO124" s="7">
        <v>6.0</v>
      </c>
      <c r="CP124" s="7">
        <v>30.0</v>
      </c>
      <c r="CQ124" s="7">
        <v>16.0</v>
      </c>
      <c r="CT124" s="7">
        <v>3.0</v>
      </c>
      <c r="CU124" s="7">
        <v>1.0</v>
      </c>
      <c r="DL124" s="7">
        <v>3.0</v>
      </c>
      <c r="DM124" s="7">
        <v>3.0</v>
      </c>
      <c r="DR124" s="7">
        <v>4.0</v>
      </c>
      <c r="DS124" s="7">
        <v>3.0</v>
      </c>
      <c r="DT124" s="7">
        <v>2.0</v>
      </c>
      <c r="DU124" s="7">
        <v>1.0</v>
      </c>
      <c r="DV124" s="7">
        <v>2.0</v>
      </c>
      <c r="DW124" s="7">
        <v>1.0</v>
      </c>
      <c r="GR124" s="87">
        <v>123.0</v>
      </c>
    </row>
    <row r="125">
      <c r="A125" s="5">
        <v>45864.53313414352</v>
      </c>
      <c r="B125" s="6">
        <v>45834.0</v>
      </c>
      <c r="C125" s="6">
        <v>45863.0</v>
      </c>
      <c r="D125" s="7" t="s">
        <v>212</v>
      </c>
      <c r="E125" s="7" t="s">
        <v>227</v>
      </c>
      <c r="F125" s="7">
        <v>3.0</v>
      </c>
      <c r="G125" s="7" t="s">
        <v>70</v>
      </c>
      <c r="H125" s="7" t="s">
        <v>76</v>
      </c>
      <c r="J125" s="7">
        <v>52.0</v>
      </c>
      <c r="N125" s="7">
        <v>47.0</v>
      </c>
      <c r="T125" s="7">
        <v>22.0</v>
      </c>
      <c r="AE125" s="7">
        <v>1200.0</v>
      </c>
      <c r="AF125" s="7">
        <v>1600.0</v>
      </c>
      <c r="AG125" s="7">
        <v>1600.0</v>
      </c>
      <c r="BN125" s="7">
        <v>45.0</v>
      </c>
      <c r="BO125" s="7">
        <v>32.0</v>
      </c>
      <c r="BR125" s="7">
        <v>9.0</v>
      </c>
      <c r="BS125" s="7">
        <v>9.0</v>
      </c>
      <c r="BZ125" s="7">
        <v>30.0</v>
      </c>
      <c r="CA125" s="7">
        <v>22.0</v>
      </c>
      <c r="CH125" s="7">
        <v>10.0</v>
      </c>
      <c r="CI125" s="7">
        <v>5.0</v>
      </c>
      <c r="DB125" s="7">
        <v>12.0</v>
      </c>
      <c r="DC125" s="7">
        <v>7.0</v>
      </c>
      <c r="DP125" s="7">
        <v>7.0</v>
      </c>
      <c r="DQ125" s="7">
        <v>8.0</v>
      </c>
      <c r="EF125" s="7">
        <v>4.0</v>
      </c>
      <c r="EG125" s="7">
        <v>4.0</v>
      </c>
      <c r="EV125" s="7">
        <v>75.0</v>
      </c>
      <c r="EX125" s="7">
        <v>25.0</v>
      </c>
      <c r="FB125" s="7">
        <v>45.0</v>
      </c>
      <c r="FL125" s="7">
        <v>15.0</v>
      </c>
      <c r="GR125" s="87">
        <v>124.0</v>
      </c>
    </row>
    <row r="126">
      <c r="A126" s="5">
        <v>45864.53413216435</v>
      </c>
      <c r="B126" s="6">
        <v>45834.0</v>
      </c>
      <c r="C126" s="6">
        <v>45863.0</v>
      </c>
      <c r="D126" s="7" t="s">
        <v>258</v>
      </c>
      <c r="E126" s="7" t="s">
        <v>256</v>
      </c>
      <c r="F126" s="7">
        <v>2.0</v>
      </c>
      <c r="G126" s="7" t="s">
        <v>70</v>
      </c>
      <c r="H126" s="7" t="s">
        <v>76</v>
      </c>
      <c r="J126" s="7">
        <v>20.0</v>
      </c>
      <c r="AE126" s="7">
        <v>1600.0</v>
      </c>
      <c r="AF126" s="7">
        <v>2950.0</v>
      </c>
      <c r="AG126" s="7">
        <v>2950.0</v>
      </c>
      <c r="GR126" s="87">
        <v>125.0</v>
      </c>
    </row>
    <row r="127">
      <c r="A127" s="5">
        <v>45864.535867604165</v>
      </c>
      <c r="B127" s="6">
        <v>45834.0</v>
      </c>
      <c r="C127" s="6">
        <v>45863.0</v>
      </c>
      <c r="D127" s="7" t="s">
        <v>33</v>
      </c>
      <c r="E127" s="7" t="s">
        <v>151</v>
      </c>
      <c r="F127" s="7">
        <v>2.0</v>
      </c>
      <c r="G127" s="7" t="s">
        <v>70</v>
      </c>
      <c r="H127" s="7" t="s">
        <v>76</v>
      </c>
      <c r="J127" s="7">
        <v>36.0</v>
      </c>
      <c r="K127" s="7">
        <v>1.0</v>
      </c>
      <c r="N127" s="7">
        <v>40.0</v>
      </c>
      <c r="AE127" s="7">
        <v>1650.0</v>
      </c>
      <c r="AF127" s="7">
        <v>2700.0</v>
      </c>
      <c r="AG127" s="7">
        <v>2700.0</v>
      </c>
      <c r="AR127" s="7">
        <v>200.0</v>
      </c>
      <c r="AS127" s="7">
        <v>200.0</v>
      </c>
      <c r="BN127" s="7">
        <v>10.0</v>
      </c>
      <c r="BO127" s="7">
        <v>5.0</v>
      </c>
      <c r="BR127" s="7">
        <v>5.0</v>
      </c>
      <c r="BS127" s="7">
        <v>5.0</v>
      </c>
      <c r="CP127" s="7">
        <v>7.0</v>
      </c>
      <c r="CQ127" s="7">
        <v>5.0</v>
      </c>
      <c r="DB127" s="7">
        <v>8.0</v>
      </c>
      <c r="DC127" s="7">
        <v>5.0</v>
      </c>
      <c r="DR127" s="7">
        <v>1.0</v>
      </c>
      <c r="DS127" s="7">
        <v>1.0</v>
      </c>
      <c r="EV127" s="7">
        <v>15.0</v>
      </c>
      <c r="EX127" s="7">
        <v>20.0</v>
      </c>
      <c r="GR127" s="87">
        <v>126.0</v>
      </c>
    </row>
    <row r="128">
      <c r="A128" s="5">
        <v>45864.60003780093</v>
      </c>
      <c r="B128" s="6">
        <v>45834.0</v>
      </c>
      <c r="C128" s="6">
        <v>45863.0</v>
      </c>
      <c r="D128" s="7" t="s">
        <v>269</v>
      </c>
      <c r="E128" s="7" t="s">
        <v>267</v>
      </c>
      <c r="F128" s="7">
        <v>2.0</v>
      </c>
      <c r="G128" s="7" t="s">
        <v>70</v>
      </c>
      <c r="H128" s="7" t="s">
        <v>76</v>
      </c>
      <c r="J128" s="7">
        <v>110.0</v>
      </c>
      <c r="N128" s="7">
        <v>46.0</v>
      </c>
      <c r="AE128" s="7">
        <v>1300.0</v>
      </c>
      <c r="AF128" s="7">
        <v>2150.0</v>
      </c>
      <c r="AG128" s="7">
        <v>2150.0</v>
      </c>
      <c r="AL128" s="7">
        <v>50.0</v>
      </c>
      <c r="AM128" s="7">
        <v>50.0</v>
      </c>
      <c r="AR128" s="7">
        <v>500.0</v>
      </c>
      <c r="AS128" s="7">
        <v>500.0</v>
      </c>
      <c r="BN128" s="7">
        <v>30.0</v>
      </c>
      <c r="BO128" s="7">
        <v>30.0</v>
      </c>
      <c r="BR128" s="7">
        <v>5.0</v>
      </c>
      <c r="BS128" s="7">
        <v>5.0</v>
      </c>
      <c r="BZ128" s="7">
        <v>30.0</v>
      </c>
      <c r="CA128" s="7">
        <v>30.0</v>
      </c>
      <c r="DR128" s="7">
        <v>4.0</v>
      </c>
      <c r="DS128" s="7">
        <v>4.0</v>
      </c>
      <c r="EF128" s="7">
        <v>5.0</v>
      </c>
      <c r="EG128" s="7">
        <v>7.0</v>
      </c>
      <c r="EV128" s="7">
        <v>30.0</v>
      </c>
      <c r="EX128" s="7">
        <v>5.0</v>
      </c>
      <c r="FB128" s="7">
        <v>15.0</v>
      </c>
      <c r="GR128" s="87">
        <v>127.0</v>
      </c>
    </row>
    <row r="129">
      <c r="A129" s="5">
        <v>45865.49296895834</v>
      </c>
      <c r="B129" s="6">
        <v>45834.0</v>
      </c>
      <c r="C129" s="6">
        <v>45863.0</v>
      </c>
      <c r="D129" s="7" t="s">
        <v>26</v>
      </c>
      <c r="E129" s="7" t="s">
        <v>104</v>
      </c>
      <c r="F129" s="7">
        <v>3.0</v>
      </c>
      <c r="G129" s="7" t="s">
        <v>70</v>
      </c>
      <c r="H129" s="7" t="s">
        <v>76</v>
      </c>
      <c r="I129" s="7">
        <v>1.0</v>
      </c>
      <c r="J129" s="7">
        <v>36.0</v>
      </c>
      <c r="K129" s="7">
        <v>9.0</v>
      </c>
      <c r="N129" s="7">
        <v>14.0</v>
      </c>
      <c r="O129" s="7">
        <v>10.0</v>
      </c>
      <c r="AE129" s="7">
        <v>1200.0</v>
      </c>
      <c r="AF129" s="7">
        <v>1600.0</v>
      </c>
      <c r="AG129" s="7">
        <v>1600.0</v>
      </c>
      <c r="AI129" s="7">
        <v>0.0</v>
      </c>
      <c r="AJ129" s="7">
        <v>0.0</v>
      </c>
      <c r="AO129" s="7">
        <v>10.0</v>
      </c>
      <c r="AP129" s="7">
        <v>10.0</v>
      </c>
      <c r="AR129" s="7">
        <v>200.0</v>
      </c>
      <c r="AS129" s="7">
        <v>200.0</v>
      </c>
      <c r="BF129" s="7">
        <v>7.0</v>
      </c>
      <c r="BG129" s="7">
        <v>4.0</v>
      </c>
      <c r="BJ129" s="7">
        <v>7.0</v>
      </c>
      <c r="BK129" s="7">
        <v>4.0</v>
      </c>
      <c r="BL129" s="7">
        <v>6.0</v>
      </c>
      <c r="BM129" s="7">
        <v>4.0</v>
      </c>
      <c r="BN129" s="7">
        <v>51.0</v>
      </c>
      <c r="BO129" s="7">
        <v>35.0</v>
      </c>
      <c r="BR129" s="7">
        <v>6.0</v>
      </c>
      <c r="BS129" s="7">
        <v>5.0</v>
      </c>
      <c r="BZ129" s="7">
        <v>30.0</v>
      </c>
      <c r="CA129" s="7">
        <v>21.0</v>
      </c>
      <c r="CB129" s="7">
        <v>21.0</v>
      </c>
      <c r="CC129" s="7">
        <v>14.0</v>
      </c>
      <c r="DB129" s="7">
        <v>12.0</v>
      </c>
      <c r="DC129" s="7">
        <v>8.0</v>
      </c>
      <c r="DR129" s="7">
        <v>6.0</v>
      </c>
      <c r="DS129" s="7">
        <v>4.0</v>
      </c>
      <c r="EF129" s="7">
        <v>4.0</v>
      </c>
      <c r="EG129" s="7">
        <v>4.0</v>
      </c>
      <c r="ET129" s="7">
        <v>15.0</v>
      </c>
      <c r="EU129" s="7">
        <v>15.0</v>
      </c>
      <c r="EV129" s="7">
        <v>30.0</v>
      </c>
      <c r="GR129" s="87">
        <v>128.0</v>
      </c>
    </row>
    <row r="130">
      <c r="A130" s="5">
        <v>45865.53274258102</v>
      </c>
      <c r="B130" s="6">
        <v>45834.0</v>
      </c>
      <c r="C130" s="6">
        <v>45863.0</v>
      </c>
      <c r="D130" s="7" t="s">
        <v>207</v>
      </c>
      <c r="E130" s="7" t="s">
        <v>205</v>
      </c>
      <c r="F130" s="7">
        <v>2.0</v>
      </c>
      <c r="G130" s="7" t="s">
        <v>70</v>
      </c>
      <c r="H130" s="7" t="s">
        <v>76</v>
      </c>
      <c r="J130" s="7">
        <v>125.0</v>
      </c>
      <c r="N130" s="7">
        <v>68.0</v>
      </c>
      <c r="Q130" s="7">
        <v>4.0</v>
      </c>
      <c r="R130" s="7">
        <v>152.0</v>
      </c>
      <c r="S130" s="7">
        <v>110.0</v>
      </c>
      <c r="T130" s="7">
        <v>50.0</v>
      </c>
      <c r="Y130" s="7">
        <v>12.0</v>
      </c>
      <c r="AE130" s="7">
        <v>1550.0</v>
      </c>
      <c r="AF130" s="7">
        <v>2550.0</v>
      </c>
      <c r="AG130" s="7">
        <v>2550.0</v>
      </c>
      <c r="AO130" s="7">
        <v>400.0</v>
      </c>
      <c r="AP130" s="7">
        <v>400.0</v>
      </c>
      <c r="AR130" s="7">
        <v>200.0</v>
      </c>
      <c r="AS130" s="7">
        <v>200.0</v>
      </c>
      <c r="BF130" s="7">
        <v>16.0</v>
      </c>
      <c r="BG130" s="7">
        <v>10.0</v>
      </c>
      <c r="BJ130" s="7">
        <v>30.0</v>
      </c>
      <c r="BK130" s="7">
        <v>24.0</v>
      </c>
      <c r="BL130" s="7">
        <v>15.0</v>
      </c>
      <c r="BM130" s="7">
        <v>12.0</v>
      </c>
      <c r="BN130" s="7">
        <v>45.0</v>
      </c>
      <c r="BO130" s="7">
        <v>30.0</v>
      </c>
      <c r="BR130" s="7">
        <v>17.0</v>
      </c>
      <c r="BS130" s="7">
        <v>14.0</v>
      </c>
      <c r="BZ130" s="7">
        <v>90.0</v>
      </c>
      <c r="CA130" s="7">
        <v>70.0</v>
      </c>
      <c r="CB130" s="7">
        <v>30.0</v>
      </c>
      <c r="CC130" s="7">
        <v>24.0</v>
      </c>
      <c r="CP130" s="7">
        <v>14.0</v>
      </c>
      <c r="CQ130" s="7">
        <v>8.0</v>
      </c>
      <c r="CT130" s="7">
        <v>4.0</v>
      </c>
      <c r="DL130" s="7">
        <v>4.0</v>
      </c>
      <c r="DM130" s="7">
        <v>4.0</v>
      </c>
      <c r="DR130" s="7">
        <v>10.0</v>
      </c>
      <c r="DS130" s="7">
        <v>5.0</v>
      </c>
      <c r="EF130" s="7">
        <v>4.0</v>
      </c>
      <c r="EG130" s="7">
        <v>4.0</v>
      </c>
      <c r="ET130" s="7">
        <v>30.0</v>
      </c>
      <c r="EU130" s="7">
        <v>15.0</v>
      </c>
      <c r="EV130" s="7">
        <v>45.0</v>
      </c>
      <c r="EX130" s="7">
        <v>17.0</v>
      </c>
      <c r="FB130" s="7">
        <v>90.0</v>
      </c>
      <c r="FC130" s="7">
        <v>30.0</v>
      </c>
      <c r="GR130" s="87">
        <v>129.0</v>
      </c>
    </row>
    <row r="131">
      <c r="A131" s="5">
        <v>45866.4003921875</v>
      </c>
      <c r="B131" s="6">
        <v>45834.0</v>
      </c>
      <c r="C131" s="6">
        <v>45863.0</v>
      </c>
      <c r="D131" s="7" t="s">
        <v>32</v>
      </c>
      <c r="E131" s="7" t="s">
        <v>134</v>
      </c>
      <c r="F131" s="7">
        <v>3.0</v>
      </c>
      <c r="G131" s="7" t="s">
        <v>70</v>
      </c>
      <c r="H131" s="7" t="s">
        <v>76</v>
      </c>
      <c r="J131" s="7">
        <v>45.0</v>
      </c>
      <c r="N131" s="7">
        <v>10.0</v>
      </c>
      <c r="AE131" s="7">
        <v>950.0</v>
      </c>
      <c r="AF131" s="7">
        <v>1850.0</v>
      </c>
      <c r="AG131" s="7">
        <v>1850.0</v>
      </c>
      <c r="BJ131" s="7">
        <v>4.0</v>
      </c>
      <c r="BK131" s="7">
        <v>4.0</v>
      </c>
      <c r="BL131" s="7">
        <v>10.0</v>
      </c>
      <c r="BM131" s="7">
        <v>10.0</v>
      </c>
      <c r="BN131" s="7">
        <v>5.0</v>
      </c>
      <c r="BO131" s="7">
        <v>5.0</v>
      </c>
      <c r="BR131" s="7">
        <v>1.0</v>
      </c>
      <c r="BS131" s="7">
        <v>1.0</v>
      </c>
      <c r="BZ131" s="7">
        <v>4.0</v>
      </c>
      <c r="CA131" s="7">
        <v>4.0</v>
      </c>
      <c r="CT131" s="7">
        <v>3.0</v>
      </c>
      <c r="DB131" s="7">
        <v>8.0</v>
      </c>
      <c r="DC131" s="7">
        <v>5.0</v>
      </c>
      <c r="DD131" s="7">
        <v>5.0</v>
      </c>
      <c r="DE131" s="7">
        <v>2.0</v>
      </c>
      <c r="DR131" s="7">
        <v>3.0</v>
      </c>
      <c r="DS131" s="7">
        <v>5.0</v>
      </c>
      <c r="EF131" s="7">
        <v>14.0</v>
      </c>
      <c r="EG131" s="7">
        <v>8.0</v>
      </c>
      <c r="EV131" s="7">
        <v>30.0</v>
      </c>
      <c r="EX131" s="7">
        <v>10.0</v>
      </c>
      <c r="FL131" s="7">
        <v>15.0</v>
      </c>
      <c r="GR131" s="87">
        <v>130.0</v>
      </c>
    </row>
    <row r="132">
      <c r="A132" s="5">
        <v>45866.48613805555</v>
      </c>
      <c r="B132" s="6">
        <v>45834.0</v>
      </c>
      <c r="C132" s="6">
        <v>45863.0</v>
      </c>
      <c r="D132" s="7" t="s">
        <v>41</v>
      </c>
      <c r="E132" s="7" t="s">
        <v>251</v>
      </c>
      <c r="F132" s="7">
        <v>2.0</v>
      </c>
      <c r="G132" s="7" t="s">
        <v>70</v>
      </c>
      <c r="H132" s="7" t="s">
        <v>76</v>
      </c>
      <c r="J132" s="7">
        <v>130.0</v>
      </c>
      <c r="N132" s="7">
        <v>35.0</v>
      </c>
      <c r="Q132" s="7">
        <v>3.0</v>
      </c>
      <c r="R132" s="7">
        <v>120.0</v>
      </c>
      <c r="S132" s="7">
        <v>100.0</v>
      </c>
      <c r="Y132" s="7">
        <v>15.0</v>
      </c>
      <c r="AA132" s="7">
        <v>1.0</v>
      </c>
      <c r="AE132" s="7">
        <v>1300.0</v>
      </c>
      <c r="AF132" s="7">
        <v>2250.0</v>
      </c>
      <c r="AG132" s="7">
        <v>2250.0</v>
      </c>
      <c r="AL132" s="7">
        <v>50.0</v>
      </c>
      <c r="AM132" s="7">
        <v>50.0</v>
      </c>
      <c r="AR132" s="7">
        <v>300.0</v>
      </c>
      <c r="AS132" s="7">
        <v>300.0</v>
      </c>
      <c r="BF132" s="7">
        <v>54.0</v>
      </c>
      <c r="BG132" s="7">
        <v>30.0</v>
      </c>
      <c r="BJ132" s="7">
        <v>20.0</v>
      </c>
      <c r="BK132" s="7">
        <v>13.0</v>
      </c>
      <c r="BL132" s="7">
        <v>39.0</v>
      </c>
      <c r="BM132" s="7">
        <v>24.0</v>
      </c>
      <c r="BN132" s="7">
        <v>30.0</v>
      </c>
      <c r="BO132" s="7">
        <v>18.0</v>
      </c>
      <c r="BR132" s="7">
        <v>10.0</v>
      </c>
      <c r="BS132" s="7">
        <v>10.0</v>
      </c>
      <c r="BZ132" s="7">
        <v>45.0</v>
      </c>
      <c r="CA132" s="7">
        <v>30.0</v>
      </c>
      <c r="CB132" s="7">
        <v>42.0</v>
      </c>
      <c r="CC132" s="7">
        <v>29.0</v>
      </c>
      <c r="EU132" s="7">
        <v>30.0</v>
      </c>
      <c r="EV132" s="7">
        <v>30.0</v>
      </c>
      <c r="EX132" s="7">
        <v>10.0</v>
      </c>
      <c r="FB132" s="7">
        <v>45.0</v>
      </c>
      <c r="FC132" s="7">
        <v>30.0</v>
      </c>
      <c r="GR132" s="87">
        <v>131.0</v>
      </c>
    </row>
    <row r="133">
      <c r="A133" s="5">
        <v>45866.502729837965</v>
      </c>
      <c r="B133" s="6">
        <v>45834.0</v>
      </c>
      <c r="C133" s="6">
        <v>45863.0</v>
      </c>
      <c r="D133" s="7" t="s">
        <v>27</v>
      </c>
      <c r="E133" s="7" t="s">
        <v>120</v>
      </c>
      <c r="F133" s="7">
        <v>2.0</v>
      </c>
      <c r="G133" s="7" t="s">
        <v>70</v>
      </c>
      <c r="H133" s="7" t="s">
        <v>76</v>
      </c>
      <c r="J133" s="7">
        <v>90.0</v>
      </c>
      <c r="N133" s="7">
        <v>25.0</v>
      </c>
      <c r="AE133" s="7">
        <v>1350.0</v>
      </c>
      <c r="AF133" s="7">
        <v>2300.0</v>
      </c>
      <c r="AG133" s="7">
        <v>2300.0</v>
      </c>
      <c r="AR133" s="7">
        <v>400.0</v>
      </c>
      <c r="AS133" s="7">
        <v>400.0</v>
      </c>
      <c r="BN133" s="7">
        <v>30.0</v>
      </c>
      <c r="BO133" s="7">
        <v>18.0</v>
      </c>
      <c r="BR133" s="7">
        <v>10.0</v>
      </c>
      <c r="BS133" s="7">
        <v>10.0</v>
      </c>
      <c r="BZ133" s="7">
        <v>30.0</v>
      </c>
      <c r="CA133" s="7">
        <v>15.0</v>
      </c>
      <c r="DB133" s="7">
        <v>12.0</v>
      </c>
      <c r="DC133" s="7">
        <v>7.0</v>
      </c>
      <c r="DD133" s="7">
        <v>11.0</v>
      </c>
      <c r="DE133" s="7">
        <v>6.0</v>
      </c>
      <c r="EV133" s="7">
        <v>30.0</v>
      </c>
      <c r="EX133" s="7">
        <v>10.0</v>
      </c>
      <c r="FB133" s="7">
        <v>30.0</v>
      </c>
      <c r="GR133" s="87">
        <v>132.0</v>
      </c>
    </row>
    <row r="134">
      <c r="A134" s="5">
        <v>45866.51314685185</v>
      </c>
      <c r="B134" s="6">
        <v>45834.0</v>
      </c>
      <c r="C134" s="6">
        <v>45863.0</v>
      </c>
      <c r="D134" s="7" t="s">
        <v>37</v>
      </c>
      <c r="E134" s="7" t="s">
        <v>87</v>
      </c>
      <c r="F134" s="7">
        <v>3.0</v>
      </c>
      <c r="G134" s="7" t="s">
        <v>70</v>
      </c>
      <c r="H134" s="7" t="s">
        <v>76</v>
      </c>
      <c r="J134" s="7">
        <v>73.0</v>
      </c>
      <c r="N134" s="7">
        <v>22.0</v>
      </c>
      <c r="AE134" s="7">
        <v>700.0</v>
      </c>
      <c r="AF134" s="7">
        <v>1400.0</v>
      </c>
      <c r="AG134" s="7">
        <v>1400.0</v>
      </c>
      <c r="AN134" s="7"/>
      <c r="AQ134" s="7"/>
      <c r="BF134" s="7">
        <v>20.0</v>
      </c>
      <c r="BG134" s="7">
        <v>15.0</v>
      </c>
      <c r="BJ134" s="7">
        <v>25.0</v>
      </c>
      <c r="BK134" s="7">
        <v>19.0</v>
      </c>
      <c r="BL134" s="7">
        <v>12.0</v>
      </c>
      <c r="BM134" s="7">
        <v>8.0</v>
      </c>
      <c r="BN134" s="7">
        <v>70.0</v>
      </c>
      <c r="BO134" s="7">
        <v>52.0</v>
      </c>
      <c r="BR134" s="7">
        <v>8.0</v>
      </c>
      <c r="BS134" s="7">
        <v>7.0</v>
      </c>
      <c r="BZ134" s="7">
        <v>20.0</v>
      </c>
      <c r="CA134" s="7">
        <v>16.0</v>
      </c>
      <c r="CT134" s="7">
        <v>2.0</v>
      </c>
      <c r="CU134" s="7">
        <v>1.0</v>
      </c>
      <c r="DL134" s="7">
        <v>2.0</v>
      </c>
      <c r="DM134" s="7">
        <v>1.0</v>
      </c>
      <c r="EF134" s="7">
        <v>11.0</v>
      </c>
      <c r="EG134" s="7">
        <v>12.0</v>
      </c>
      <c r="EK134" s="7">
        <v>1.0</v>
      </c>
      <c r="ET134" s="7">
        <v>30.0</v>
      </c>
      <c r="EU134" s="7">
        <v>15.0</v>
      </c>
      <c r="EV134" s="7">
        <v>75.0</v>
      </c>
      <c r="EX134" s="7">
        <v>15.0</v>
      </c>
      <c r="FC134" s="7">
        <v>15.0</v>
      </c>
      <c r="GR134" s="87">
        <v>133.0</v>
      </c>
    </row>
    <row r="135">
      <c r="A135" s="5">
        <v>45866.524180532404</v>
      </c>
      <c r="B135" s="6">
        <v>45834.0</v>
      </c>
      <c r="C135" s="6">
        <v>45863.0</v>
      </c>
      <c r="D135" s="7" t="s">
        <v>213</v>
      </c>
      <c r="E135" s="7" t="s">
        <v>231</v>
      </c>
      <c r="F135" s="7">
        <v>3.0</v>
      </c>
      <c r="G135" s="7" t="s">
        <v>70</v>
      </c>
      <c r="H135" s="7" t="s">
        <v>76</v>
      </c>
      <c r="J135" s="7">
        <v>70.0</v>
      </c>
      <c r="N135" s="7">
        <v>40.0</v>
      </c>
      <c r="AE135" s="7">
        <v>700.0</v>
      </c>
      <c r="AF135" s="7">
        <v>1050.0</v>
      </c>
      <c r="AG135" s="7">
        <v>1050.0</v>
      </c>
      <c r="AO135" s="7">
        <v>200.0</v>
      </c>
      <c r="AP135" s="7">
        <v>200.0</v>
      </c>
      <c r="BF135" s="7">
        <v>32.0</v>
      </c>
      <c r="BG135" s="7">
        <v>32.0</v>
      </c>
      <c r="BJ135" s="7">
        <v>10.0</v>
      </c>
      <c r="BK135" s="7">
        <v>10.0</v>
      </c>
      <c r="BN135" s="7">
        <v>6.0</v>
      </c>
      <c r="BO135" s="7">
        <v>6.0</v>
      </c>
      <c r="BR135" s="7">
        <v>4.0</v>
      </c>
      <c r="BS135" s="7">
        <v>4.0</v>
      </c>
      <c r="CT135" s="7">
        <v>2.0</v>
      </c>
      <c r="CU135" s="7">
        <v>1.0</v>
      </c>
      <c r="DB135" s="7">
        <v>15.0</v>
      </c>
      <c r="DC135" s="7">
        <v>7.0</v>
      </c>
      <c r="EF135" s="7">
        <v>7.0</v>
      </c>
      <c r="EG135" s="7">
        <v>8.0</v>
      </c>
      <c r="ET135" s="7">
        <v>30.0</v>
      </c>
      <c r="EU135" s="7">
        <v>30.0</v>
      </c>
      <c r="EV135" s="7">
        <v>30.0</v>
      </c>
      <c r="EX135" s="7">
        <v>16.0</v>
      </c>
      <c r="GR135" s="87">
        <v>134.0</v>
      </c>
    </row>
    <row r="136">
      <c r="A136" s="5">
        <v>45866.57606273148</v>
      </c>
      <c r="B136" s="6">
        <v>45834.0</v>
      </c>
      <c r="C136" s="6">
        <v>45863.0</v>
      </c>
      <c r="D136" s="7" t="s">
        <v>35</v>
      </c>
      <c r="E136" s="7" t="s">
        <v>283</v>
      </c>
      <c r="F136" s="7">
        <v>2.0</v>
      </c>
      <c r="G136" s="7" t="s">
        <v>70</v>
      </c>
      <c r="H136" s="7" t="s">
        <v>76</v>
      </c>
      <c r="J136" s="7">
        <v>40.0</v>
      </c>
      <c r="AE136" s="7">
        <v>1800.0</v>
      </c>
      <c r="AF136" s="7">
        <v>3350.0</v>
      </c>
      <c r="AG136" s="7">
        <v>3350.0</v>
      </c>
      <c r="BR136" s="7">
        <v>5.0</v>
      </c>
      <c r="BS136" s="7">
        <v>5.0</v>
      </c>
      <c r="DF136" s="7">
        <v>8.0</v>
      </c>
      <c r="DG136" s="7">
        <v>4.0</v>
      </c>
      <c r="EX136" s="7">
        <v>10.0</v>
      </c>
      <c r="GR136" s="87">
        <v>135.0</v>
      </c>
    </row>
    <row r="137">
      <c r="A137" s="5">
        <v>45866.63914212963</v>
      </c>
      <c r="B137" s="6">
        <v>45834.0</v>
      </c>
      <c r="C137" s="6">
        <v>45863.0</v>
      </c>
      <c r="D137" s="7" t="s">
        <v>34</v>
      </c>
      <c r="E137" s="7" t="s">
        <v>169</v>
      </c>
      <c r="F137" s="7">
        <v>1.0</v>
      </c>
      <c r="G137" s="7" t="s">
        <v>70</v>
      </c>
      <c r="H137" s="7" t="s">
        <v>76</v>
      </c>
      <c r="J137" s="7">
        <v>54.0</v>
      </c>
      <c r="Q137" s="7">
        <v>3.0</v>
      </c>
      <c r="R137" s="7">
        <v>200.0</v>
      </c>
      <c r="S137" s="7">
        <v>102.0</v>
      </c>
      <c r="T137" s="7">
        <v>60.0</v>
      </c>
      <c r="AE137" s="7">
        <v>1300.0</v>
      </c>
      <c r="AF137" s="7">
        <v>1900.0</v>
      </c>
      <c r="AG137" s="7">
        <v>1900.0</v>
      </c>
      <c r="BF137" s="7">
        <v>65.0</v>
      </c>
      <c r="BG137" s="7">
        <v>50.0</v>
      </c>
      <c r="BH137" s="7">
        <v>15.0</v>
      </c>
      <c r="BI137" s="7">
        <v>10.0</v>
      </c>
      <c r="BL137" s="7">
        <v>50.0</v>
      </c>
      <c r="BM137" s="7">
        <v>50.0</v>
      </c>
      <c r="BR137" s="7">
        <v>10.0</v>
      </c>
      <c r="BS137" s="7">
        <v>10.0</v>
      </c>
      <c r="BZ137" s="7">
        <v>60.0</v>
      </c>
      <c r="CA137" s="7">
        <v>45.0</v>
      </c>
      <c r="CB137" s="7">
        <v>15.0</v>
      </c>
      <c r="CC137" s="7">
        <v>12.0</v>
      </c>
      <c r="CL137" s="7">
        <v>12.0</v>
      </c>
      <c r="CM137" s="7">
        <v>8.0</v>
      </c>
      <c r="CN137" s="7">
        <v>12.0</v>
      </c>
      <c r="CO137" s="7">
        <v>8.0</v>
      </c>
      <c r="CZ137" s="7">
        <v>4.0</v>
      </c>
      <c r="DA137" s="7">
        <v>3.0</v>
      </c>
      <c r="DD137" s="7">
        <v>13.0</v>
      </c>
      <c r="DE137" s="7">
        <v>8.0</v>
      </c>
      <c r="DF137" s="7">
        <v>10.0</v>
      </c>
      <c r="DG137" s="7">
        <v>5.0</v>
      </c>
      <c r="DL137" s="7">
        <v>3.0</v>
      </c>
      <c r="DM137" s="7">
        <v>3.0</v>
      </c>
      <c r="DR137" s="7">
        <v>3.0</v>
      </c>
      <c r="DS137" s="7">
        <v>3.0</v>
      </c>
      <c r="ET137" s="7">
        <v>30.0</v>
      </c>
      <c r="EV137" s="7">
        <v>30.0</v>
      </c>
      <c r="EX137" s="7">
        <v>10.0</v>
      </c>
      <c r="FB137" s="7">
        <v>60.0</v>
      </c>
      <c r="FJ137" s="7">
        <v>30.0</v>
      </c>
      <c r="FL137" s="7">
        <v>15.0</v>
      </c>
      <c r="FR137" s="7">
        <v>60.0</v>
      </c>
      <c r="GR137" s="87">
        <v>136.0</v>
      </c>
    </row>
    <row r="138">
      <c r="A138" s="5">
        <v>45866.6496546875</v>
      </c>
      <c r="B138" s="6">
        <v>45834.0</v>
      </c>
      <c r="C138" s="6">
        <v>45863.0</v>
      </c>
      <c r="D138" s="7" t="s">
        <v>42</v>
      </c>
      <c r="E138" s="7" t="s">
        <v>279</v>
      </c>
      <c r="F138" s="7">
        <v>2.0</v>
      </c>
      <c r="G138" s="7" t="s">
        <v>70</v>
      </c>
      <c r="H138" s="7" t="s">
        <v>76</v>
      </c>
      <c r="AE138" s="7">
        <v>1250.0</v>
      </c>
      <c r="AF138" s="7">
        <v>1850.0</v>
      </c>
      <c r="AG138" s="7">
        <v>1850.0</v>
      </c>
      <c r="GR138" s="87">
        <v>137.0</v>
      </c>
    </row>
    <row r="139">
      <c r="A139" s="5">
        <v>45866.67091428241</v>
      </c>
      <c r="B139" s="6">
        <v>45834.0</v>
      </c>
      <c r="C139" s="6">
        <v>45863.0</v>
      </c>
      <c r="D139" s="7" t="s">
        <v>30</v>
      </c>
      <c r="E139" s="7" t="s">
        <v>237</v>
      </c>
      <c r="F139" s="7">
        <v>2.0</v>
      </c>
      <c r="G139" s="7" t="s">
        <v>70</v>
      </c>
      <c r="H139" s="7" t="s">
        <v>76</v>
      </c>
      <c r="AE139" s="7">
        <v>1900.0</v>
      </c>
      <c r="AF139" s="7">
        <v>3700.0</v>
      </c>
      <c r="AG139" s="7">
        <v>3700.0</v>
      </c>
      <c r="AR139" s="7">
        <v>500.0</v>
      </c>
      <c r="AS139" s="7">
        <v>500.0</v>
      </c>
      <c r="GR139" s="87">
        <v>138.0</v>
      </c>
    </row>
    <row r="140">
      <c r="A140" s="5">
        <v>45866.67571872685</v>
      </c>
      <c r="B140" s="6">
        <v>45834.0</v>
      </c>
      <c r="C140" s="6">
        <v>45863.0</v>
      </c>
      <c r="D140" s="7" t="s">
        <v>36</v>
      </c>
      <c r="E140" s="7" t="s">
        <v>183</v>
      </c>
      <c r="F140" s="7">
        <v>3.0</v>
      </c>
      <c r="G140" s="7" t="s">
        <v>70</v>
      </c>
      <c r="H140" s="7" t="s">
        <v>76</v>
      </c>
      <c r="J140" s="7">
        <v>65.0</v>
      </c>
      <c r="N140" s="7">
        <v>39.0</v>
      </c>
      <c r="T140" s="7">
        <v>25.0</v>
      </c>
      <c r="AE140" s="7">
        <v>850.0</v>
      </c>
      <c r="AF140" s="7">
        <v>1200.0</v>
      </c>
      <c r="AG140" s="7">
        <v>1200.0</v>
      </c>
      <c r="AL140" s="7">
        <v>50.0</v>
      </c>
      <c r="AM140" s="7">
        <v>50.0</v>
      </c>
      <c r="AR140" s="7">
        <v>500.0</v>
      </c>
      <c r="AS140" s="7">
        <v>500.0</v>
      </c>
      <c r="BF140" s="7">
        <v>32.0</v>
      </c>
      <c r="BG140" s="7">
        <v>28.0</v>
      </c>
      <c r="BJ140" s="7">
        <v>25.0</v>
      </c>
      <c r="BK140" s="7">
        <v>18.0</v>
      </c>
      <c r="BL140" s="7">
        <v>46.0</v>
      </c>
      <c r="BM140" s="7">
        <v>37.0</v>
      </c>
      <c r="BN140" s="7">
        <v>48.0</v>
      </c>
      <c r="BO140" s="7">
        <v>38.0</v>
      </c>
      <c r="BR140" s="7">
        <v>3.0</v>
      </c>
      <c r="BS140" s="7">
        <v>3.0</v>
      </c>
      <c r="BZ140" s="7">
        <v>60.0</v>
      </c>
      <c r="CA140" s="7">
        <v>48.0</v>
      </c>
      <c r="CB140" s="7">
        <v>6.0</v>
      </c>
      <c r="CC140" s="7">
        <v>5.0</v>
      </c>
      <c r="DB140" s="7">
        <v>15.0</v>
      </c>
      <c r="DC140" s="7">
        <v>8.0</v>
      </c>
      <c r="DT140" s="7">
        <v>8.0</v>
      </c>
      <c r="DU140" s="7">
        <v>7.0</v>
      </c>
      <c r="EF140" s="7">
        <v>4.0</v>
      </c>
      <c r="EG140" s="7">
        <v>4.0</v>
      </c>
      <c r="ET140" s="7">
        <v>15.0</v>
      </c>
      <c r="EU140" s="7">
        <v>15.0</v>
      </c>
      <c r="EV140" s="7">
        <v>40.0</v>
      </c>
      <c r="EX140" s="7">
        <v>10.0</v>
      </c>
      <c r="GR140" s="87">
        <v>139.0</v>
      </c>
    </row>
    <row r="141">
      <c r="A141" s="5">
        <v>45866.69051085648</v>
      </c>
      <c r="B141" s="6">
        <v>45834.0</v>
      </c>
      <c r="C141" s="6">
        <v>45863.0</v>
      </c>
      <c r="D141" s="7" t="s">
        <v>20</v>
      </c>
      <c r="E141" s="7" t="s">
        <v>77</v>
      </c>
      <c r="F141" s="7">
        <v>1.0</v>
      </c>
      <c r="G141" s="7" t="s">
        <v>70</v>
      </c>
      <c r="H141" s="7" t="s">
        <v>76</v>
      </c>
      <c r="J141" s="7">
        <v>83.0</v>
      </c>
      <c r="K141" s="7">
        <v>23.0</v>
      </c>
      <c r="L141" s="7">
        <v>41.0</v>
      </c>
      <c r="N141" s="7">
        <v>30.0</v>
      </c>
      <c r="O141" s="7">
        <v>12.0</v>
      </c>
      <c r="P141" s="7">
        <v>15.0</v>
      </c>
      <c r="T141" s="7">
        <v>205.0</v>
      </c>
      <c r="AE141" s="7">
        <v>1900.0</v>
      </c>
      <c r="AF141" s="7">
        <v>3450.0</v>
      </c>
      <c r="AG141" s="7">
        <v>3450.0</v>
      </c>
      <c r="AR141" s="7">
        <v>300.0</v>
      </c>
      <c r="AS141" s="7">
        <v>300.0</v>
      </c>
      <c r="BJ141" s="7">
        <v>57.0</v>
      </c>
      <c r="BK141" s="7">
        <v>38.0</v>
      </c>
      <c r="BL141" s="7">
        <v>139.0</v>
      </c>
      <c r="BM141" s="7">
        <v>100.0</v>
      </c>
      <c r="BN141" s="7">
        <v>9.0</v>
      </c>
      <c r="BO141" s="7">
        <v>6.0</v>
      </c>
      <c r="BR141" s="7">
        <v>8.0</v>
      </c>
      <c r="BS141" s="7">
        <v>8.0</v>
      </c>
      <c r="BZ141" s="7">
        <v>139.0</v>
      </c>
      <c r="CA141" s="7">
        <v>95.0</v>
      </c>
      <c r="DL141" s="7">
        <v>1.0</v>
      </c>
      <c r="DM141" s="7">
        <v>1.0</v>
      </c>
      <c r="DR141" s="7">
        <v>2.0</v>
      </c>
      <c r="DS141" s="7">
        <v>2.0</v>
      </c>
      <c r="EF141" s="7">
        <v>2.0</v>
      </c>
      <c r="EG141" s="7">
        <v>2.0</v>
      </c>
      <c r="ET141" s="7">
        <v>15.0</v>
      </c>
      <c r="EU141" s="7">
        <v>15.0</v>
      </c>
      <c r="EV141" s="7">
        <v>15.0</v>
      </c>
      <c r="EX141" s="7">
        <v>10.0</v>
      </c>
      <c r="FB141" s="7">
        <v>15.0</v>
      </c>
      <c r="FC141" s="7">
        <v>15.0</v>
      </c>
      <c r="FX141" s="7">
        <v>13.0</v>
      </c>
      <c r="FZ141" s="7">
        <v>1010.0</v>
      </c>
      <c r="GN141" s="7">
        <v>2.0</v>
      </c>
      <c r="GO141" s="7">
        <v>2.0</v>
      </c>
      <c r="GQ141" s="7">
        <v>20.0</v>
      </c>
      <c r="GR141" s="87">
        <v>140.0</v>
      </c>
    </row>
    <row r="142">
      <c r="A142" s="5">
        <v>45895.37341097222</v>
      </c>
      <c r="B142" s="6">
        <v>45864.0</v>
      </c>
      <c r="C142" s="6">
        <v>45900.0</v>
      </c>
      <c r="D142" s="7" t="s">
        <v>39</v>
      </c>
      <c r="E142" s="7" t="s">
        <v>179</v>
      </c>
      <c r="F142" s="7">
        <v>4.0</v>
      </c>
      <c r="G142" s="7" t="s">
        <v>70</v>
      </c>
      <c r="H142" s="7" t="s">
        <v>76</v>
      </c>
      <c r="BJ142" s="7">
        <v>15.0</v>
      </c>
      <c r="BK142" s="7">
        <v>10.0</v>
      </c>
      <c r="BL142" s="7">
        <v>15.0</v>
      </c>
      <c r="BM142" s="7">
        <v>11.0</v>
      </c>
      <c r="BN142" s="7">
        <v>15.0</v>
      </c>
      <c r="BO142" s="7">
        <v>11.0</v>
      </c>
      <c r="BZ142" s="7">
        <v>15.0</v>
      </c>
      <c r="CA142" s="7">
        <v>12.0</v>
      </c>
      <c r="CB142" s="7">
        <v>15.0</v>
      </c>
      <c r="CC142" s="7">
        <v>11.0</v>
      </c>
      <c r="CN142" s="7">
        <v>27.0</v>
      </c>
      <c r="CO142" s="7">
        <v>17.0</v>
      </c>
      <c r="DB142" s="7">
        <v>10.0</v>
      </c>
      <c r="DC142" s="7">
        <v>6.0</v>
      </c>
      <c r="ET142" s="7">
        <v>15.0</v>
      </c>
      <c r="EU142" s="7">
        <v>15.0</v>
      </c>
      <c r="EV142" s="7">
        <v>15.0</v>
      </c>
      <c r="FB142" s="7">
        <v>15.0</v>
      </c>
      <c r="FC142" s="7">
        <v>15.0</v>
      </c>
      <c r="GR142" s="87">
        <v>141.0</v>
      </c>
    </row>
    <row r="143">
      <c r="A143" s="5">
        <v>45899.36432559028</v>
      </c>
      <c r="B143" s="6">
        <v>45864.0</v>
      </c>
      <c r="C143" s="6">
        <v>45900.0</v>
      </c>
      <c r="D143" s="7" t="s">
        <v>26</v>
      </c>
      <c r="E143" s="7" t="s">
        <v>104</v>
      </c>
      <c r="F143" s="7">
        <v>3.0</v>
      </c>
      <c r="G143" s="7" t="s">
        <v>70</v>
      </c>
      <c r="H143" s="7" t="s">
        <v>76</v>
      </c>
      <c r="J143" s="7">
        <v>58.0</v>
      </c>
      <c r="K143" s="7">
        <v>22.0</v>
      </c>
      <c r="N143" s="7">
        <v>26.0</v>
      </c>
      <c r="O143" s="7">
        <v>34.0</v>
      </c>
      <c r="AL143" s="7">
        <v>50.0</v>
      </c>
      <c r="AM143" s="7">
        <v>50.0</v>
      </c>
      <c r="BF143" s="7">
        <v>25.0</v>
      </c>
      <c r="BG143" s="7">
        <v>17.0</v>
      </c>
      <c r="BH143" s="7">
        <v>15.0</v>
      </c>
      <c r="BI143" s="7">
        <v>11.0</v>
      </c>
      <c r="BJ143" s="7">
        <v>50.0</v>
      </c>
      <c r="BK143" s="7">
        <v>33.0</v>
      </c>
      <c r="BL143" s="7">
        <v>55.0</v>
      </c>
      <c r="BM143" s="7">
        <v>38.0</v>
      </c>
      <c r="BR143" s="7">
        <v>6.0</v>
      </c>
      <c r="BS143" s="7">
        <v>5.0</v>
      </c>
      <c r="BZ143" s="7">
        <v>75.0</v>
      </c>
      <c r="CA143" s="7">
        <v>50.0</v>
      </c>
      <c r="CL143" s="7">
        <v>12.0</v>
      </c>
      <c r="CM143" s="7">
        <v>8.0</v>
      </c>
      <c r="CN143" s="7">
        <v>12.0</v>
      </c>
      <c r="CO143" s="7">
        <v>8.0</v>
      </c>
      <c r="DD143" s="7">
        <v>9.0</v>
      </c>
      <c r="DE143" s="7">
        <v>6.0</v>
      </c>
      <c r="DR143" s="7">
        <v>5.0</v>
      </c>
      <c r="DS143" s="7">
        <v>5.0</v>
      </c>
      <c r="EF143" s="7">
        <v>4.0</v>
      </c>
      <c r="EG143" s="7">
        <v>4.0</v>
      </c>
      <c r="ES143" s="7">
        <v>15.0</v>
      </c>
      <c r="ET143" s="7">
        <v>30.0</v>
      </c>
      <c r="EU143" s="7">
        <v>15.0</v>
      </c>
      <c r="FB143" s="7">
        <v>45.0</v>
      </c>
      <c r="GR143" s="87">
        <v>142.0</v>
      </c>
    </row>
    <row r="144">
      <c r="A144" s="5">
        <v>45899.41022085648</v>
      </c>
      <c r="B144" s="6">
        <v>45864.0</v>
      </c>
      <c r="C144" s="6">
        <v>45900.0</v>
      </c>
      <c r="D144" s="7" t="s">
        <v>35</v>
      </c>
      <c r="E144" s="7" t="s">
        <v>283</v>
      </c>
      <c r="F144" s="7">
        <v>2.0</v>
      </c>
      <c r="G144" s="7" t="s">
        <v>70</v>
      </c>
      <c r="H144" s="7" t="s">
        <v>76</v>
      </c>
      <c r="J144" s="7">
        <v>40.0</v>
      </c>
      <c r="AR144" s="7">
        <v>400.0</v>
      </c>
      <c r="AS144" s="7">
        <v>400.0</v>
      </c>
      <c r="BL144" s="7">
        <v>45.0</v>
      </c>
      <c r="BM144" s="7">
        <v>35.0</v>
      </c>
      <c r="BR144" s="7">
        <v>5.0</v>
      </c>
      <c r="BS144" s="7">
        <v>5.0</v>
      </c>
      <c r="BZ144" s="7">
        <v>135.0</v>
      </c>
      <c r="CA144" s="7">
        <v>100.0</v>
      </c>
      <c r="EU144" s="7">
        <v>45.0</v>
      </c>
      <c r="FB144" s="7">
        <v>135.0</v>
      </c>
      <c r="GR144" s="87">
        <v>143.0</v>
      </c>
    </row>
    <row r="145">
      <c r="A145" s="5">
        <v>45899.44312909722</v>
      </c>
      <c r="B145" s="6">
        <v>45864.0</v>
      </c>
      <c r="C145" s="6">
        <v>45900.0</v>
      </c>
      <c r="D145" s="7" t="s">
        <v>211</v>
      </c>
      <c r="E145" s="7" t="s">
        <v>223</v>
      </c>
      <c r="F145" s="7">
        <v>4.0</v>
      </c>
      <c r="G145" s="7" t="s">
        <v>70</v>
      </c>
      <c r="H145" s="7" t="s">
        <v>76</v>
      </c>
      <c r="BZ145" s="7">
        <v>15.0</v>
      </c>
      <c r="CA145" s="7">
        <v>12.0</v>
      </c>
      <c r="CB145" s="7">
        <v>15.0</v>
      </c>
      <c r="CC145" s="7">
        <v>12.0</v>
      </c>
      <c r="FB145" s="7">
        <v>15.0</v>
      </c>
      <c r="FC145" s="7">
        <v>15.0</v>
      </c>
      <c r="GR145" s="87">
        <v>144.0</v>
      </c>
    </row>
    <row r="146">
      <c r="A146" s="5">
        <v>45899.449848668984</v>
      </c>
      <c r="B146" s="6">
        <v>45864.0</v>
      </c>
      <c r="C146" s="6">
        <v>45900.0</v>
      </c>
      <c r="D146" s="7" t="s">
        <v>38</v>
      </c>
      <c r="E146" s="7" t="s">
        <v>188</v>
      </c>
      <c r="F146" s="7">
        <v>2.0</v>
      </c>
      <c r="G146" s="7" t="s">
        <v>70</v>
      </c>
      <c r="H146" s="7" t="s">
        <v>76</v>
      </c>
      <c r="J146" s="7">
        <v>75.0</v>
      </c>
      <c r="N146" s="7">
        <v>25.0</v>
      </c>
      <c r="BR146" s="7">
        <v>5.0</v>
      </c>
      <c r="BS146" s="7">
        <v>5.0</v>
      </c>
      <c r="BZ146" s="7">
        <v>60.0</v>
      </c>
      <c r="CA146" s="7">
        <v>30.0</v>
      </c>
      <c r="CN146" s="7">
        <v>15.0</v>
      </c>
      <c r="CO146" s="7">
        <v>8.0</v>
      </c>
      <c r="DB146" s="7">
        <v>8.0</v>
      </c>
      <c r="DC146" s="7">
        <v>5.0</v>
      </c>
      <c r="ER146" s="7">
        <v>15.0</v>
      </c>
      <c r="FB146" s="7">
        <v>75.0</v>
      </c>
      <c r="FH146" s="7">
        <v>15.0</v>
      </c>
      <c r="FR146" s="7">
        <v>15.0</v>
      </c>
      <c r="GR146" s="87">
        <v>145.0</v>
      </c>
    </row>
    <row r="147">
      <c r="A147" s="5">
        <v>45899.45368006945</v>
      </c>
      <c r="B147" s="6">
        <v>45864.0</v>
      </c>
      <c r="C147" s="6">
        <v>45900.0</v>
      </c>
      <c r="D147" s="7" t="s">
        <v>25</v>
      </c>
      <c r="E147" s="7" t="s">
        <v>246</v>
      </c>
      <c r="F147" s="7">
        <v>2.0</v>
      </c>
      <c r="G147" s="7" t="s">
        <v>70</v>
      </c>
      <c r="H147" s="7" t="s">
        <v>76</v>
      </c>
      <c r="J147" s="7">
        <v>80.0</v>
      </c>
      <c r="N147" s="7">
        <v>34.0</v>
      </c>
      <c r="BN147" s="7">
        <v>10.0</v>
      </c>
      <c r="BO147" s="7">
        <v>5.0</v>
      </c>
      <c r="BR147" s="7">
        <v>6.0</v>
      </c>
      <c r="BS147" s="7">
        <v>6.0</v>
      </c>
      <c r="BZ147" s="7">
        <v>50.0</v>
      </c>
      <c r="CA147" s="7">
        <v>25.0</v>
      </c>
      <c r="DB147" s="7">
        <v>5.0</v>
      </c>
      <c r="DC147" s="7">
        <v>2.0</v>
      </c>
      <c r="DD147" s="7">
        <v>5.0</v>
      </c>
      <c r="DE147" s="7">
        <v>2.0</v>
      </c>
      <c r="EF147" s="7">
        <v>1.0</v>
      </c>
      <c r="EG147" s="7">
        <v>1.0</v>
      </c>
      <c r="EU147" s="7">
        <v>15.0</v>
      </c>
      <c r="EX147" s="7">
        <v>10.0</v>
      </c>
      <c r="FB147" s="7">
        <v>75.0</v>
      </c>
      <c r="GR147" s="87">
        <v>146.0</v>
      </c>
    </row>
    <row r="148">
      <c r="A148" s="5">
        <v>45899.47671290509</v>
      </c>
      <c r="B148" s="6">
        <v>45864.0</v>
      </c>
      <c r="C148" s="6">
        <v>45900.0</v>
      </c>
      <c r="D148" s="7" t="s">
        <v>24</v>
      </c>
      <c r="E148" s="7" t="s">
        <v>158</v>
      </c>
      <c r="F148" s="7">
        <v>3.0</v>
      </c>
      <c r="G148" s="7" t="s">
        <v>70</v>
      </c>
      <c r="H148" s="7" t="s">
        <v>76</v>
      </c>
      <c r="J148" s="7">
        <v>62.0</v>
      </c>
      <c r="N148" s="7">
        <v>10.0</v>
      </c>
      <c r="AO148" s="7">
        <v>50.0</v>
      </c>
      <c r="AP148" s="7">
        <v>50.0</v>
      </c>
      <c r="BF148" s="7">
        <v>15.0</v>
      </c>
      <c r="BG148" s="7">
        <v>10.0</v>
      </c>
      <c r="BJ148" s="7">
        <v>40.0</v>
      </c>
      <c r="BK148" s="7">
        <v>30.0</v>
      </c>
      <c r="BL148" s="7">
        <v>15.0</v>
      </c>
      <c r="BM148" s="7">
        <v>12.0</v>
      </c>
      <c r="BN148" s="7">
        <v>20.0</v>
      </c>
      <c r="BO148" s="7">
        <v>14.0</v>
      </c>
      <c r="BR148" s="7">
        <v>5.0</v>
      </c>
      <c r="BS148" s="7">
        <v>5.0</v>
      </c>
      <c r="BZ148" s="7">
        <v>100.0</v>
      </c>
      <c r="CA148" s="7">
        <v>75.0</v>
      </c>
      <c r="CH148" s="7">
        <v>20.0</v>
      </c>
      <c r="CI148" s="7">
        <v>15.0</v>
      </c>
      <c r="CJ148" s="7">
        <v>10.0</v>
      </c>
      <c r="CK148" s="7">
        <v>7.0</v>
      </c>
      <c r="CL148" s="7">
        <v>8.0</v>
      </c>
      <c r="CM148" s="7">
        <v>6.0</v>
      </c>
      <c r="CN148" s="7">
        <v>40.0</v>
      </c>
      <c r="CO148" s="7">
        <v>26.0</v>
      </c>
      <c r="DB148" s="7">
        <v>9.0</v>
      </c>
      <c r="DC148" s="7">
        <v>5.0</v>
      </c>
      <c r="DL148" s="7">
        <v>3.0</v>
      </c>
      <c r="DM148" s="7">
        <v>3.0</v>
      </c>
      <c r="DR148" s="7">
        <v>2.0</v>
      </c>
      <c r="DS148" s="7">
        <v>2.0</v>
      </c>
      <c r="DT148" s="7">
        <v>3.0</v>
      </c>
      <c r="DU148" s="7">
        <v>3.0</v>
      </c>
      <c r="EF148" s="7">
        <v>6.0</v>
      </c>
      <c r="EG148" s="7">
        <v>6.0</v>
      </c>
      <c r="ET148" s="7">
        <v>60.0</v>
      </c>
      <c r="EU148" s="7">
        <v>45.0</v>
      </c>
      <c r="FB148" s="7">
        <v>60.0</v>
      </c>
      <c r="GR148" s="87">
        <v>147.0</v>
      </c>
    </row>
    <row r="149">
      <c r="A149" s="5">
        <v>45899.53435377315</v>
      </c>
      <c r="B149" s="6">
        <v>45864.0</v>
      </c>
      <c r="C149" s="6">
        <v>45900.0</v>
      </c>
      <c r="D149" s="7" t="s">
        <v>269</v>
      </c>
      <c r="E149" s="7" t="s">
        <v>267</v>
      </c>
      <c r="F149" s="7">
        <v>2.0</v>
      </c>
      <c r="G149" s="7" t="s">
        <v>70</v>
      </c>
      <c r="H149" s="7" t="s">
        <v>76</v>
      </c>
      <c r="J149" s="7">
        <v>115.0</v>
      </c>
      <c r="N149" s="7">
        <v>58.0</v>
      </c>
      <c r="BR149" s="7">
        <v>5.0</v>
      </c>
      <c r="BS149" s="7">
        <v>5.0</v>
      </c>
      <c r="BZ149" s="7">
        <v>45.0</v>
      </c>
      <c r="CA149" s="7">
        <v>45.0</v>
      </c>
      <c r="CB149" s="7">
        <v>15.0</v>
      </c>
      <c r="CC149" s="7">
        <v>15.0</v>
      </c>
      <c r="CL149" s="7">
        <v>15.0</v>
      </c>
      <c r="CM149" s="7">
        <v>9.0</v>
      </c>
      <c r="CN149" s="7">
        <v>15.0</v>
      </c>
      <c r="CO149" s="7">
        <v>10.0</v>
      </c>
      <c r="DB149" s="7">
        <v>30.0</v>
      </c>
      <c r="DC149" s="7">
        <v>17.0</v>
      </c>
      <c r="DR149" s="7">
        <v>5.0</v>
      </c>
      <c r="DS149" s="7">
        <v>4.0</v>
      </c>
      <c r="EF149" s="7">
        <v>6.0</v>
      </c>
      <c r="EG149" s="7">
        <v>8.0</v>
      </c>
      <c r="EX149" s="7">
        <v>5.0</v>
      </c>
      <c r="FB149" s="7">
        <v>45.0</v>
      </c>
      <c r="FC149" s="7">
        <v>15.0</v>
      </c>
      <c r="GR149" s="87">
        <v>148.0</v>
      </c>
    </row>
    <row r="150">
      <c r="A150" s="5">
        <v>45899.56864583334</v>
      </c>
      <c r="B150" s="6">
        <v>45864.0</v>
      </c>
      <c r="C150" s="6">
        <v>45900.0</v>
      </c>
      <c r="D150" s="7" t="s">
        <v>23</v>
      </c>
      <c r="E150" s="7" t="s">
        <v>92</v>
      </c>
      <c r="F150" s="7">
        <v>3.0</v>
      </c>
      <c r="G150" s="7" t="s">
        <v>70</v>
      </c>
      <c r="H150" s="7" t="s">
        <v>76</v>
      </c>
      <c r="J150" s="7">
        <v>136.0</v>
      </c>
      <c r="K150" s="7">
        <v>1.0</v>
      </c>
      <c r="L150" s="7">
        <v>3.0</v>
      </c>
      <c r="N150" s="7">
        <v>94.0</v>
      </c>
      <c r="U150" s="7">
        <v>2.0</v>
      </c>
      <c r="AL150" s="7">
        <v>50.0</v>
      </c>
      <c r="AM150" s="7">
        <v>50.0</v>
      </c>
      <c r="AO150" s="7">
        <v>10.0</v>
      </c>
      <c r="AP150" s="7">
        <v>10.0</v>
      </c>
      <c r="AR150" s="7">
        <v>500.0</v>
      </c>
      <c r="AS150" s="7">
        <v>500.0</v>
      </c>
      <c r="BL150" s="7">
        <v>76.0</v>
      </c>
      <c r="BM150" s="7">
        <v>76.0</v>
      </c>
      <c r="BR150" s="7">
        <v>6.0</v>
      </c>
      <c r="BS150" s="7">
        <v>6.0</v>
      </c>
      <c r="BZ150" s="7">
        <v>45.0</v>
      </c>
      <c r="CA150" s="7">
        <v>45.0</v>
      </c>
      <c r="CB150" s="7">
        <v>6.0</v>
      </c>
      <c r="CC150" s="7">
        <v>6.0</v>
      </c>
      <c r="CL150" s="7">
        <v>14.0</v>
      </c>
      <c r="CM150" s="7">
        <v>10.0</v>
      </c>
      <c r="CN150" s="7">
        <v>14.0</v>
      </c>
      <c r="CO150" s="7">
        <v>9.0</v>
      </c>
      <c r="DB150" s="7">
        <v>12.0</v>
      </c>
      <c r="DC150" s="7">
        <v>9.0</v>
      </c>
      <c r="DP150" s="7">
        <v>4.0</v>
      </c>
      <c r="DQ150" s="7">
        <v>4.0</v>
      </c>
      <c r="DR150" s="7">
        <v>7.0</v>
      </c>
      <c r="DS150" s="7">
        <v>8.0</v>
      </c>
      <c r="DY150" s="7">
        <v>1.0</v>
      </c>
      <c r="EF150" s="7">
        <v>8.0</v>
      </c>
      <c r="EG150" s="7">
        <v>10.0</v>
      </c>
      <c r="EK150" s="7">
        <v>1.0</v>
      </c>
      <c r="EU150" s="7">
        <v>45.0</v>
      </c>
      <c r="FB150" s="7">
        <v>45.0</v>
      </c>
      <c r="GR150" s="87">
        <v>149.0</v>
      </c>
    </row>
    <row r="151">
      <c r="A151" s="5">
        <v>45899.57789509259</v>
      </c>
      <c r="B151" s="6">
        <v>45864.0</v>
      </c>
      <c r="C151" s="6">
        <v>45900.0</v>
      </c>
      <c r="D151" s="7" t="s">
        <v>36</v>
      </c>
      <c r="E151" s="7" t="s">
        <v>183</v>
      </c>
      <c r="F151" s="7">
        <v>3.0</v>
      </c>
      <c r="G151" s="7" t="s">
        <v>70</v>
      </c>
      <c r="H151" s="7" t="s">
        <v>76</v>
      </c>
      <c r="J151" s="7">
        <v>75.0</v>
      </c>
      <c r="N151" s="7">
        <v>40.0</v>
      </c>
      <c r="T151" s="7">
        <v>30.0</v>
      </c>
      <c r="BJ151" s="7">
        <v>15.0</v>
      </c>
      <c r="BK151" s="7">
        <v>12.0</v>
      </c>
      <c r="BR151" s="7">
        <v>7.0</v>
      </c>
      <c r="BS151" s="7">
        <v>7.0</v>
      </c>
      <c r="BZ151" s="7">
        <v>45.0</v>
      </c>
      <c r="CA151" s="7">
        <v>35.0</v>
      </c>
      <c r="CH151" s="7">
        <v>12.0</v>
      </c>
      <c r="CI151" s="7">
        <v>6.0</v>
      </c>
      <c r="DP151" s="7">
        <v>2.0</v>
      </c>
      <c r="DQ151" s="7">
        <v>2.0</v>
      </c>
      <c r="DT151" s="7">
        <v>5.0</v>
      </c>
      <c r="DU151" s="7">
        <v>5.0</v>
      </c>
      <c r="EF151" s="7">
        <v>4.0</v>
      </c>
      <c r="EG151" s="7">
        <v>4.0</v>
      </c>
      <c r="ET151" s="7">
        <v>15.0</v>
      </c>
      <c r="FB151" s="7">
        <v>45.0</v>
      </c>
      <c r="GR151" s="87">
        <v>150.0</v>
      </c>
    </row>
    <row r="152">
      <c r="A152" s="5">
        <v>45899.58612103009</v>
      </c>
      <c r="B152" s="6">
        <v>45864.0</v>
      </c>
      <c r="C152" s="6">
        <v>45900.0</v>
      </c>
      <c r="D152" s="7" t="s">
        <v>33</v>
      </c>
      <c r="E152" s="7" t="s">
        <v>151</v>
      </c>
      <c r="F152" s="7">
        <v>2.0</v>
      </c>
      <c r="G152" s="7" t="s">
        <v>70</v>
      </c>
      <c r="H152" s="7" t="s">
        <v>76</v>
      </c>
      <c r="J152" s="7">
        <v>40.0</v>
      </c>
      <c r="N152" s="7">
        <v>20.0</v>
      </c>
      <c r="AF152" s="7"/>
      <c r="AG152" s="7"/>
      <c r="AL152" s="7">
        <v>50.0</v>
      </c>
      <c r="AM152" s="7">
        <v>50.0</v>
      </c>
      <c r="AO152" s="7">
        <v>30.0</v>
      </c>
      <c r="AP152" s="7">
        <v>30.0</v>
      </c>
      <c r="AR152" s="7">
        <v>100.0</v>
      </c>
      <c r="AS152" s="7">
        <v>100.0</v>
      </c>
      <c r="BJ152" s="7">
        <v>30.0</v>
      </c>
      <c r="BK152" s="7">
        <v>15.0</v>
      </c>
      <c r="BR152" s="7">
        <v>5.0</v>
      </c>
      <c r="BS152" s="7">
        <v>5.0</v>
      </c>
      <c r="BZ152" s="7">
        <v>15.0</v>
      </c>
      <c r="CA152" s="7">
        <v>8.0</v>
      </c>
      <c r="CB152" s="7">
        <v>15.0</v>
      </c>
      <c r="CC152" s="7">
        <v>8.0</v>
      </c>
      <c r="CP152" s="7">
        <v>3.0</v>
      </c>
      <c r="CQ152" s="7">
        <v>2.0</v>
      </c>
      <c r="DB152" s="7">
        <v>7.0</v>
      </c>
      <c r="DC152" s="7">
        <v>4.0</v>
      </c>
      <c r="DD152" s="7">
        <v>6.0</v>
      </c>
      <c r="DE152" s="7">
        <v>3.0</v>
      </c>
      <c r="DY152" s="7">
        <v>1.0</v>
      </c>
      <c r="EF152" s="7">
        <v>1.0</v>
      </c>
      <c r="EG152" s="7">
        <v>2.0</v>
      </c>
      <c r="ET152" s="7">
        <v>30.0</v>
      </c>
      <c r="FB152" s="7">
        <v>15.0</v>
      </c>
      <c r="FC152" s="7">
        <v>15.0</v>
      </c>
      <c r="GR152" s="87">
        <v>151.0</v>
      </c>
    </row>
    <row r="153">
      <c r="A153" s="5">
        <v>45899.59270984954</v>
      </c>
      <c r="B153" s="6">
        <v>45864.0</v>
      </c>
      <c r="C153" s="6">
        <v>45900.0</v>
      </c>
      <c r="D153" s="7" t="s">
        <v>192</v>
      </c>
      <c r="E153" s="7" t="s">
        <v>194</v>
      </c>
      <c r="F153" s="7">
        <v>4.0</v>
      </c>
      <c r="G153" s="7" t="s">
        <v>70</v>
      </c>
      <c r="H153" s="7" t="s">
        <v>76</v>
      </c>
      <c r="BF153" s="7">
        <v>15.0</v>
      </c>
      <c r="BG153" s="7">
        <v>8.0</v>
      </c>
      <c r="BZ153" s="7">
        <v>15.0</v>
      </c>
      <c r="CA153" s="7">
        <v>8.0</v>
      </c>
      <c r="ER153" s="7">
        <v>15.0</v>
      </c>
      <c r="FB153" s="7">
        <v>15.0</v>
      </c>
      <c r="GR153" s="87">
        <v>152.0</v>
      </c>
    </row>
    <row r="154">
      <c r="A154" s="5">
        <v>45899.614798993054</v>
      </c>
      <c r="B154" s="6">
        <v>45864.0</v>
      </c>
      <c r="C154" s="6">
        <v>45900.0</v>
      </c>
      <c r="D154" s="7" t="s">
        <v>41</v>
      </c>
      <c r="E154" s="7" t="s">
        <v>251</v>
      </c>
      <c r="F154" s="7">
        <v>2.0</v>
      </c>
      <c r="G154" s="7" t="s">
        <v>70</v>
      </c>
      <c r="H154" s="7" t="s">
        <v>76</v>
      </c>
      <c r="J154" s="7">
        <v>120.0</v>
      </c>
      <c r="N154" s="7">
        <v>30.0</v>
      </c>
      <c r="Q154" s="7">
        <v>2.0</v>
      </c>
      <c r="R154" s="7">
        <v>85.0</v>
      </c>
      <c r="S154" s="7">
        <v>70.0</v>
      </c>
      <c r="Y154" s="7">
        <v>2.0</v>
      </c>
      <c r="BF154" s="7">
        <v>10.0</v>
      </c>
      <c r="BG154" s="7">
        <v>7.0</v>
      </c>
      <c r="BJ154" s="7">
        <v>15.0</v>
      </c>
      <c r="BK154" s="7">
        <v>11.0</v>
      </c>
      <c r="BL154" s="7">
        <v>68.0</v>
      </c>
      <c r="BM154" s="7">
        <v>45.0</v>
      </c>
      <c r="BN154" s="7">
        <v>12.0</v>
      </c>
      <c r="BO154" s="7">
        <v>7.0</v>
      </c>
      <c r="BR154" s="7">
        <v>10.0</v>
      </c>
      <c r="BS154" s="7">
        <v>8.0</v>
      </c>
      <c r="BZ154" s="7">
        <v>227.0</v>
      </c>
      <c r="CA154" s="7">
        <v>180.0</v>
      </c>
      <c r="CH154" s="7">
        <v>11.0</v>
      </c>
      <c r="CI154" s="7">
        <v>6.0</v>
      </c>
      <c r="DB154" s="7">
        <v>9.0</v>
      </c>
      <c r="DC154" s="7">
        <v>5.0</v>
      </c>
      <c r="ET154" s="7">
        <v>15.0</v>
      </c>
      <c r="EU154" s="7">
        <v>15.0</v>
      </c>
      <c r="EX154" s="7">
        <v>20.0</v>
      </c>
      <c r="FB154" s="7">
        <v>105.0</v>
      </c>
      <c r="FX154" s="7">
        <v>1.0</v>
      </c>
      <c r="FZ154" s="7">
        <v>62.0</v>
      </c>
      <c r="GR154" s="87">
        <v>153.0</v>
      </c>
    </row>
    <row r="155">
      <c r="A155" s="5">
        <v>45899.974093275465</v>
      </c>
      <c r="B155" s="6">
        <v>45864.0</v>
      </c>
      <c r="C155" s="6">
        <v>45900.0</v>
      </c>
      <c r="D155" s="7" t="s">
        <v>29</v>
      </c>
      <c r="E155" s="7" t="s">
        <v>110</v>
      </c>
      <c r="F155" s="7">
        <v>3.0</v>
      </c>
      <c r="G155" s="7" t="s">
        <v>70</v>
      </c>
      <c r="H155" s="7" t="s">
        <v>76</v>
      </c>
      <c r="J155" s="7">
        <v>120.0</v>
      </c>
      <c r="N155" s="7">
        <v>28.0</v>
      </c>
      <c r="AL155" s="7">
        <v>50.0</v>
      </c>
      <c r="AM155" s="7">
        <v>50.0</v>
      </c>
      <c r="BF155" s="7">
        <v>30.0</v>
      </c>
      <c r="BG155" s="7">
        <v>30.0</v>
      </c>
      <c r="BJ155" s="7">
        <v>25.0</v>
      </c>
      <c r="BK155" s="7">
        <v>25.0</v>
      </c>
      <c r="BL155" s="7">
        <v>45.0</v>
      </c>
      <c r="BM155" s="7">
        <v>45.0</v>
      </c>
      <c r="BN155" s="7">
        <v>40.0</v>
      </c>
      <c r="BO155" s="7">
        <v>40.0</v>
      </c>
      <c r="BR155" s="7">
        <v>5.0</v>
      </c>
      <c r="BS155" s="7">
        <v>5.0</v>
      </c>
      <c r="BZ155" s="7">
        <v>70.0</v>
      </c>
      <c r="CA155" s="7">
        <v>70.0</v>
      </c>
      <c r="CB155" s="7">
        <v>30.0</v>
      </c>
      <c r="CC155" s="7">
        <v>30.0</v>
      </c>
      <c r="CJ155" s="7">
        <v>15.0</v>
      </c>
      <c r="CK155" s="7">
        <v>9.0</v>
      </c>
      <c r="CN155" s="7">
        <v>13.0</v>
      </c>
      <c r="CO155" s="7">
        <v>6.0</v>
      </c>
      <c r="DB155" s="7">
        <v>12.0</v>
      </c>
      <c r="DC155" s="7">
        <v>7.0</v>
      </c>
      <c r="DR155" s="7">
        <v>1.0</v>
      </c>
      <c r="DS155" s="7">
        <v>1.0</v>
      </c>
      <c r="ER155" s="7">
        <v>15.0</v>
      </c>
      <c r="ET155" s="7">
        <v>15.0</v>
      </c>
      <c r="EU155" s="7">
        <v>15.0</v>
      </c>
      <c r="EX155" s="7">
        <v>10.0</v>
      </c>
      <c r="FB155" s="7">
        <v>30.0</v>
      </c>
      <c r="FC155" s="7">
        <v>15.0</v>
      </c>
      <c r="GR155" s="87">
        <v>154.0</v>
      </c>
    </row>
    <row r="156">
      <c r="A156" s="5">
        <v>45900.550810636574</v>
      </c>
      <c r="B156" s="6">
        <v>45864.0</v>
      </c>
      <c r="C156" s="6">
        <v>45900.0</v>
      </c>
      <c r="D156" s="7" t="s">
        <v>214</v>
      </c>
      <c r="E156" s="7" t="s">
        <v>217</v>
      </c>
      <c r="F156" s="7">
        <v>4.0</v>
      </c>
      <c r="G156" s="7" t="s">
        <v>70</v>
      </c>
      <c r="H156" s="7" t="s">
        <v>76</v>
      </c>
      <c r="BH156" s="7">
        <v>15.0</v>
      </c>
      <c r="BI156" s="7">
        <v>15.0</v>
      </c>
      <c r="CH156" s="7">
        <v>5.0</v>
      </c>
      <c r="CI156" s="7">
        <v>2.0</v>
      </c>
      <c r="ES156" s="7">
        <v>15.0</v>
      </c>
      <c r="GR156" s="87">
        <v>155.0</v>
      </c>
    </row>
    <row r="157">
      <c r="A157" s="5">
        <v>45900.580992337964</v>
      </c>
      <c r="B157" s="6">
        <v>45864.0</v>
      </c>
      <c r="C157" s="6">
        <v>45900.0</v>
      </c>
      <c r="D157" s="7" t="s">
        <v>201</v>
      </c>
      <c r="E157" s="7" t="s">
        <v>199</v>
      </c>
      <c r="F157" s="7">
        <v>2.0</v>
      </c>
      <c r="G157" s="7" t="s">
        <v>70</v>
      </c>
      <c r="H157" s="7" t="s">
        <v>76</v>
      </c>
      <c r="J157" s="7">
        <v>112.0</v>
      </c>
      <c r="N157" s="7">
        <v>57.0</v>
      </c>
      <c r="BJ157" s="7">
        <v>15.0</v>
      </c>
      <c r="BK157" s="7">
        <v>11.0</v>
      </c>
      <c r="BL157" s="7">
        <v>30.0</v>
      </c>
      <c r="BM157" s="7">
        <v>23.0</v>
      </c>
      <c r="BR157" s="7">
        <v>5.0</v>
      </c>
      <c r="BS157" s="7">
        <v>4.0</v>
      </c>
      <c r="BZ157" s="7">
        <v>120.0</v>
      </c>
      <c r="CA157" s="7">
        <v>87.0</v>
      </c>
      <c r="CJ157" s="7">
        <v>10.0</v>
      </c>
      <c r="CK157" s="7">
        <v>6.0</v>
      </c>
      <c r="CL157" s="7">
        <v>20.0</v>
      </c>
      <c r="CM157" s="7">
        <v>12.0</v>
      </c>
      <c r="DB157" s="7">
        <v>31.0</v>
      </c>
      <c r="DC157" s="7">
        <v>17.0</v>
      </c>
      <c r="DD157" s="7">
        <v>18.0</v>
      </c>
      <c r="DE157" s="7">
        <v>8.0</v>
      </c>
      <c r="DL157" s="7">
        <v>3.0</v>
      </c>
      <c r="DM157" s="7">
        <v>3.0</v>
      </c>
      <c r="DR157" s="7">
        <v>4.0</v>
      </c>
      <c r="DS157" s="7">
        <v>3.0</v>
      </c>
      <c r="DT157" s="7">
        <v>2.0</v>
      </c>
      <c r="DU157" s="7">
        <v>1.0</v>
      </c>
      <c r="DV157" s="7">
        <v>2.0</v>
      </c>
      <c r="DW157" s="7">
        <v>1.0</v>
      </c>
      <c r="ET157" s="7">
        <v>15.0</v>
      </c>
      <c r="EU157" s="7">
        <v>30.0</v>
      </c>
      <c r="FB157" s="7">
        <v>120.0</v>
      </c>
      <c r="GR157" s="87">
        <v>156.0</v>
      </c>
    </row>
    <row r="158">
      <c r="A158" s="5">
        <v>45901.37411059027</v>
      </c>
      <c r="B158" s="6">
        <v>45864.0</v>
      </c>
      <c r="C158" s="6">
        <v>45900.0</v>
      </c>
      <c r="D158" s="7" t="s">
        <v>213</v>
      </c>
      <c r="E158" s="7" t="s">
        <v>231</v>
      </c>
      <c r="F158" s="7">
        <v>3.0</v>
      </c>
      <c r="G158" s="7" t="s">
        <v>70</v>
      </c>
      <c r="H158" s="7" t="s">
        <v>76</v>
      </c>
      <c r="J158" s="7">
        <v>100.0</v>
      </c>
      <c r="N158" s="7">
        <v>80.0</v>
      </c>
      <c r="AO158" s="7">
        <v>20.0</v>
      </c>
      <c r="AP158" s="7">
        <v>20.0</v>
      </c>
      <c r="BH158" s="7">
        <v>30.0</v>
      </c>
      <c r="BI158" s="7">
        <v>30.0</v>
      </c>
      <c r="BR158" s="7">
        <v>5.0</v>
      </c>
      <c r="BS158" s="7">
        <v>5.0</v>
      </c>
      <c r="BZ158" s="7">
        <v>107.0</v>
      </c>
      <c r="CA158" s="7">
        <v>107.0</v>
      </c>
      <c r="CB158" s="7">
        <v>6.0</v>
      </c>
      <c r="CC158" s="7">
        <v>6.0</v>
      </c>
      <c r="CH158" s="7">
        <v>15.0</v>
      </c>
      <c r="CI158" s="7">
        <v>7.0</v>
      </c>
      <c r="CJ158" s="7">
        <v>15.0</v>
      </c>
      <c r="CK158" s="7">
        <v>6.0</v>
      </c>
      <c r="CN158" s="7">
        <v>15.0</v>
      </c>
      <c r="CO158" s="7">
        <v>8.0</v>
      </c>
      <c r="DB158" s="7">
        <v>15.0</v>
      </c>
      <c r="DC158" s="7">
        <v>8.0</v>
      </c>
      <c r="EF158" s="7">
        <v>7.0</v>
      </c>
      <c r="EG158" s="7">
        <v>8.0</v>
      </c>
      <c r="ER158" s="7">
        <v>15.0</v>
      </c>
      <c r="ET158" s="7">
        <v>30.0</v>
      </c>
      <c r="EU158" s="7">
        <v>15.0</v>
      </c>
      <c r="FB158" s="7">
        <v>45.0</v>
      </c>
      <c r="GR158" s="87">
        <v>157.0</v>
      </c>
    </row>
    <row r="159">
      <c r="A159" s="5">
        <v>45901.396538113426</v>
      </c>
      <c r="B159" s="6">
        <v>45864.0</v>
      </c>
      <c r="C159" s="6">
        <v>45900.0</v>
      </c>
      <c r="D159" s="7" t="s">
        <v>207</v>
      </c>
      <c r="E159" s="7" t="s">
        <v>205</v>
      </c>
      <c r="F159" s="7">
        <v>2.0</v>
      </c>
      <c r="G159" s="7" t="s">
        <v>70</v>
      </c>
      <c r="H159" s="7" t="s">
        <v>76</v>
      </c>
      <c r="J159" s="7">
        <v>140.0</v>
      </c>
      <c r="N159" s="7">
        <v>60.0</v>
      </c>
      <c r="T159" s="7">
        <v>50.0</v>
      </c>
      <c r="Y159" s="7">
        <v>21.0</v>
      </c>
      <c r="AA159" s="7">
        <v>2.0</v>
      </c>
      <c r="AO159" s="7">
        <v>40.0</v>
      </c>
      <c r="AP159" s="7">
        <v>40.0</v>
      </c>
      <c r="BF159" s="7">
        <v>15.0</v>
      </c>
      <c r="BG159" s="7">
        <v>12.0</v>
      </c>
      <c r="BJ159" s="7">
        <v>45.0</v>
      </c>
      <c r="BK159" s="7">
        <v>36.0</v>
      </c>
      <c r="BL159" s="7">
        <v>108.0</v>
      </c>
      <c r="BM159" s="7">
        <v>90.0</v>
      </c>
      <c r="BR159" s="7">
        <v>16.0</v>
      </c>
      <c r="BS159" s="7">
        <v>12.0</v>
      </c>
      <c r="BZ159" s="7">
        <v>290.0</v>
      </c>
      <c r="CA159" s="7">
        <v>230.0</v>
      </c>
      <c r="CB159" s="7">
        <v>60.0</v>
      </c>
      <c r="CC159" s="7">
        <v>48.0</v>
      </c>
      <c r="CL159" s="7">
        <v>12.0</v>
      </c>
      <c r="CM159" s="7">
        <v>6.0</v>
      </c>
      <c r="CN159" s="7">
        <v>12.0</v>
      </c>
      <c r="CO159" s="7">
        <v>6.0</v>
      </c>
      <c r="CT159" s="7">
        <v>7.0</v>
      </c>
      <c r="CU159" s="7">
        <v>2.0</v>
      </c>
      <c r="DB159" s="7">
        <v>24.0</v>
      </c>
      <c r="DC159" s="7">
        <v>12.0</v>
      </c>
      <c r="DL159" s="7">
        <v>4.0</v>
      </c>
      <c r="DM159" s="7">
        <v>4.0</v>
      </c>
      <c r="DR159" s="7">
        <v>8.0</v>
      </c>
      <c r="DS159" s="7">
        <v>7.0</v>
      </c>
      <c r="EF159" s="7">
        <v>4.0</v>
      </c>
      <c r="EG159" s="7">
        <v>4.0</v>
      </c>
      <c r="ER159" s="7">
        <v>15.0</v>
      </c>
      <c r="ET159" s="7">
        <v>45.0</v>
      </c>
      <c r="EU159" s="7">
        <v>15.0</v>
      </c>
      <c r="EX159" s="7">
        <v>16.0</v>
      </c>
      <c r="FB159" s="7">
        <v>120.0</v>
      </c>
      <c r="FC159" s="7">
        <v>60.0</v>
      </c>
      <c r="FR159" s="7">
        <v>15.0</v>
      </c>
      <c r="FS159" s="7">
        <v>15.0</v>
      </c>
      <c r="FX159" s="7">
        <v>1.0</v>
      </c>
      <c r="FZ159" s="7">
        <v>50.0</v>
      </c>
      <c r="GR159" s="87">
        <v>158.0</v>
      </c>
    </row>
    <row r="160">
      <c r="A160" s="5">
        <v>45901.42122376157</v>
      </c>
      <c r="B160" s="6">
        <v>45864.0</v>
      </c>
      <c r="C160" s="6">
        <v>45900.0</v>
      </c>
      <c r="D160" s="7" t="s">
        <v>212</v>
      </c>
      <c r="E160" s="7" t="s">
        <v>227</v>
      </c>
      <c r="F160" s="7">
        <v>3.0</v>
      </c>
      <c r="G160" s="7" t="s">
        <v>70</v>
      </c>
      <c r="H160" s="7" t="s">
        <v>76</v>
      </c>
      <c r="J160" s="7">
        <v>62.0</v>
      </c>
      <c r="N160" s="7">
        <v>49.0</v>
      </c>
      <c r="T160" s="7">
        <v>31.0</v>
      </c>
      <c r="AO160" s="7">
        <v>470.0</v>
      </c>
      <c r="AP160" s="7">
        <v>470.0</v>
      </c>
      <c r="BJ160" s="7">
        <v>15.0</v>
      </c>
      <c r="BK160" s="7">
        <v>10.0</v>
      </c>
      <c r="BL160" s="7">
        <v>16.0</v>
      </c>
      <c r="BM160" s="7">
        <v>13.0</v>
      </c>
      <c r="BR160" s="7">
        <v>5.0</v>
      </c>
      <c r="BS160" s="7">
        <v>5.0</v>
      </c>
      <c r="BZ160" s="7">
        <v>120.0</v>
      </c>
      <c r="CA160" s="7">
        <v>99.0</v>
      </c>
      <c r="CB160" s="7">
        <v>30.0</v>
      </c>
      <c r="CC160" s="7">
        <v>20.0</v>
      </c>
      <c r="DD160" s="7">
        <v>28.0</v>
      </c>
      <c r="DE160" s="7">
        <v>18.0</v>
      </c>
      <c r="DP160" s="7">
        <v>3.0</v>
      </c>
      <c r="DQ160" s="7">
        <v>3.0</v>
      </c>
      <c r="EF160" s="7">
        <v>4.0</v>
      </c>
      <c r="EG160" s="7">
        <v>4.0</v>
      </c>
      <c r="ES160" s="7">
        <v>15.0</v>
      </c>
      <c r="ET160" s="7">
        <v>15.0</v>
      </c>
      <c r="EX160" s="7">
        <v>10.0</v>
      </c>
      <c r="FB160" s="7">
        <v>120.0</v>
      </c>
      <c r="FC160" s="7">
        <v>30.0</v>
      </c>
      <c r="FI160" s="7">
        <v>15.0</v>
      </c>
      <c r="GR160" s="87">
        <v>159.0</v>
      </c>
    </row>
    <row r="161">
      <c r="A161" s="5">
        <v>45901.42594457176</v>
      </c>
      <c r="B161" s="6">
        <v>45864.0</v>
      </c>
      <c r="C161" s="6">
        <v>45900.0</v>
      </c>
      <c r="D161" s="7" t="s">
        <v>31</v>
      </c>
      <c r="E161" s="7" t="s">
        <v>140</v>
      </c>
      <c r="F161" s="7">
        <v>3.0</v>
      </c>
      <c r="G161" s="7" t="s">
        <v>70</v>
      </c>
      <c r="H161" s="7" t="s">
        <v>76</v>
      </c>
      <c r="J161" s="7">
        <v>98.0</v>
      </c>
      <c r="L161" s="7">
        <v>1.0</v>
      </c>
      <c r="N161" s="7">
        <v>15.0</v>
      </c>
      <c r="AL161" s="7">
        <v>50.0</v>
      </c>
      <c r="AM161" s="7">
        <v>50.0</v>
      </c>
      <c r="AR161" s="7">
        <v>300.0</v>
      </c>
      <c r="AS161" s="7">
        <v>300.0</v>
      </c>
      <c r="BF161" s="7">
        <v>25.0</v>
      </c>
      <c r="BG161" s="7">
        <v>20.0</v>
      </c>
      <c r="BJ161" s="7">
        <v>16.0</v>
      </c>
      <c r="BK161" s="7">
        <v>14.0</v>
      </c>
      <c r="BL161" s="7">
        <v>44.0</v>
      </c>
      <c r="BM161" s="7">
        <v>38.0</v>
      </c>
      <c r="BN161" s="7">
        <v>30.0</v>
      </c>
      <c r="BO161" s="7">
        <v>24.0</v>
      </c>
      <c r="BR161" s="7">
        <v>7.0</v>
      </c>
      <c r="BS161" s="7">
        <v>7.0</v>
      </c>
      <c r="BZ161" s="7">
        <v>65.0</v>
      </c>
      <c r="CA161" s="7">
        <v>50.0</v>
      </c>
      <c r="CB161" s="7">
        <v>45.0</v>
      </c>
      <c r="CC161" s="7">
        <v>36.0</v>
      </c>
      <c r="CH161" s="7">
        <v>11.0</v>
      </c>
      <c r="CI161" s="7">
        <v>7.0</v>
      </c>
      <c r="CJ161" s="7">
        <v>5.0</v>
      </c>
      <c r="CK161" s="7">
        <v>3.0</v>
      </c>
      <c r="CL161" s="7">
        <v>17.0</v>
      </c>
      <c r="CM161" s="7">
        <v>10.0</v>
      </c>
      <c r="CN161" s="7">
        <v>25.0</v>
      </c>
      <c r="CO161" s="7">
        <v>18.0</v>
      </c>
      <c r="CT161" s="7">
        <v>4.0</v>
      </c>
      <c r="CU161" s="7">
        <v>1.0</v>
      </c>
      <c r="DL161" s="7">
        <v>2.0</v>
      </c>
      <c r="DM161" s="7">
        <v>4.0</v>
      </c>
      <c r="DO161" s="7">
        <v>1.0</v>
      </c>
      <c r="DP161" s="7">
        <v>1.0</v>
      </c>
      <c r="DS161" s="7">
        <v>1.0</v>
      </c>
      <c r="DT161" s="7">
        <v>1.0</v>
      </c>
      <c r="DU161" s="7">
        <v>2.0</v>
      </c>
      <c r="DW161" s="7">
        <v>1.0</v>
      </c>
      <c r="DY161" s="7">
        <v>1.0</v>
      </c>
      <c r="EE161" s="7">
        <v>2.0</v>
      </c>
      <c r="EF161" s="7">
        <v>5.0</v>
      </c>
      <c r="EG161" s="7">
        <v>5.0</v>
      </c>
      <c r="EH161" s="7">
        <v>2.0</v>
      </c>
      <c r="EI161" s="7">
        <v>5.0</v>
      </c>
      <c r="ET161" s="7">
        <v>30.0</v>
      </c>
      <c r="EU161" s="7">
        <v>30.0</v>
      </c>
      <c r="FB161" s="7">
        <v>75.0</v>
      </c>
      <c r="FC161" s="7">
        <v>45.0</v>
      </c>
      <c r="GR161" s="87">
        <v>160.0</v>
      </c>
    </row>
    <row r="162">
      <c r="A162" s="5">
        <v>45901.45552005787</v>
      </c>
      <c r="B162" s="6">
        <v>45864.0</v>
      </c>
      <c r="C162" s="6">
        <v>45900.0</v>
      </c>
      <c r="D162" s="7" t="s">
        <v>37</v>
      </c>
      <c r="E162" s="7" t="s">
        <v>87</v>
      </c>
      <c r="F162" s="7">
        <v>3.0</v>
      </c>
      <c r="G162" s="7" t="s">
        <v>70</v>
      </c>
      <c r="H162" s="7" t="s">
        <v>76</v>
      </c>
      <c r="J162" s="7">
        <v>79.0</v>
      </c>
      <c r="K162" s="7">
        <v>6.0</v>
      </c>
      <c r="N162" s="7">
        <v>15.0</v>
      </c>
      <c r="O162" s="7">
        <v>2.0</v>
      </c>
      <c r="AL162" s="7">
        <v>50.0</v>
      </c>
      <c r="AM162" s="7">
        <v>50.0</v>
      </c>
      <c r="AO162" s="7">
        <v>10.0</v>
      </c>
      <c r="AP162" s="7">
        <v>10.0</v>
      </c>
      <c r="BJ162" s="7">
        <v>25.0</v>
      </c>
      <c r="BK162" s="7">
        <v>20.0</v>
      </c>
      <c r="BL162" s="7">
        <v>10.0</v>
      </c>
      <c r="BM162" s="7">
        <v>7.0</v>
      </c>
      <c r="BN162" s="7">
        <v>38.0</v>
      </c>
      <c r="BO162" s="7">
        <v>31.0</v>
      </c>
      <c r="BR162" s="7">
        <v>5.0</v>
      </c>
      <c r="BS162" s="7">
        <v>5.0</v>
      </c>
      <c r="BZ162" s="7">
        <v>15.0</v>
      </c>
      <c r="CA162" s="7">
        <v>11.0</v>
      </c>
      <c r="CB162" s="7">
        <v>15.0</v>
      </c>
      <c r="CC162" s="7">
        <v>12.0</v>
      </c>
      <c r="CH162" s="7">
        <v>3.0</v>
      </c>
      <c r="CI162" s="7">
        <v>2.0</v>
      </c>
      <c r="CL162" s="7">
        <v>10.0</v>
      </c>
      <c r="CM162" s="7">
        <v>6.0</v>
      </c>
      <c r="CN162" s="7">
        <v>11.0</v>
      </c>
      <c r="CO162" s="7">
        <v>7.0</v>
      </c>
      <c r="CT162" s="7">
        <v>7.0</v>
      </c>
      <c r="CU162" s="7">
        <v>4.0</v>
      </c>
      <c r="DB162" s="7">
        <v>3.0</v>
      </c>
      <c r="DC162" s="7">
        <v>2.0</v>
      </c>
      <c r="DL162" s="7">
        <v>5.0</v>
      </c>
      <c r="DM162" s="7">
        <v>5.0</v>
      </c>
      <c r="DR162" s="7">
        <v>14.0</v>
      </c>
      <c r="DS162" s="7">
        <v>13.0</v>
      </c>
      <c r="EF162" s="7">
        <v>1.0</v>
      </c>
      <c r="EG162" s="7">
        <v>1.0</v>
      </c>
      <c r="EV162" s="7">
        <v>15.0</v>
      </c>
      <c r="GR162" s="87">
        <v>161.0</v>
      </c>
    </row>
    <row r="163">
      <c r="A163" s="5">
        <v>45901.52442693287</v>
      </c>
      <c r="B163" s="6">
        <v>45864.0</v>
      </c>
      <c r="C163" s="6">
        <v>45900.0</v>
      </c>
      <c r="D163" s="7" t="s">
        <v>258</v>
      </c>
      <c r="E163" s="7" t="s">
        <v>256</v>
      </c>
      <c r="F163" s="7">
        <v>2.0</v>
      </c>
      <c r="G163" s="7" t="s">
        <v>70</v>
      </c>
      <c r="H163" s="7" t="s">
        <v>76</v>
      </c>
      <c r="J163" s="7">
        <v>20.0</v>
      </c>
      <c r="AL163" s="7">
        <v>50.0</v>
      </c>
      <c r="AM163" s="7">
        <v>50.0</v>
      </c>
      <c r="AR163" s="7">
        <v>500.0</v>
      </c>
      <c r="AS163" s="7">
        <v>500.0</v>
      </c>
      <c r="GR163" s="87">
        <v>162.0</v>
      </c>
    </row>
    <row r="164">
      <c r="A164" s="5">
        <v>45901.53968394676</v>
      </c>
      <c r="B164" s="6">
        <v>45864.0</v>
      </c>
      <c r="C164" s="6">
        <v>45900.0</v>
      </c>
      <c r="D164" s="7" t="s">
        <v>42</v>
      </c>
      <c r="E164" s="7" t="s">
        <v>279</v>
      </c>
      <c r="F164" s="7">
        <v>2.0</v>
      </c>
      <c r="G164" s="7" t="s">
        <v>70</v>
      </c>
      <c r="H164" s="7" t="s">
        <v>76</v>
      </c>
      <c r="J164" s="7">
        <v>10.0</v>
      </c>
      <c r="AL164" s="7">
        <v>50.0</v>
      </c>
      <c r="AM164" s="7">
        <v>50.0</v>
      </c>
      <c r="GR164" s="87">
        <v>163.0</v>
      </c>
    </row>
    <row r="165">
      <c r="A165" s="5">
        <v>45901.54310487269</v>
      </c>
      <c r="B165" s="6">
        <v>45864.0</v>
      </c>
      <c r="C165" s="6">
        <v>45900.0</v>
      </c>
      <c r="D165" s="7" t="s">
        <v>30</v>
      </c>
      <c r="E165" s="7" t="s">
        <v>237</v>
      </c>
      <c r="F165" s="7">
        <v>2.0</v>
      </c>
      <c r="G165" s="7" t="s">
        <v>70</v>
      </c>
      <c r="H165" s="7" t="s">
        <v>76</v>
      </c>
      <c r="AL165" s="7">
        <v>50.0</v>
      </c>
      <c r="AM165" s="7">
        <v>50.0</v>
      </c>
      <c r="CH165" s="7">
        <v>13.0</v>
      </c>
      <c r="CI165" s="7">
        <v>7.0</v>
      </c>
      <c r="DB165" s="7">
        <v>27.0</v>
      </c>
      <c r="DC165" s="7">
        <v>15.0</v>
      </c>
      <c r="GR165" s="87">
        <v>164.0</v>
      </c>
    </row>
    <row r="166">
      <c r="A166" s="5">
        <v>45901.55134626158</v>
      </c>
      <c r="B166" s="6">
        <v>45864.0</v>
      </c>
      <c r="C166" s="6">
        <v>45900.0</v>
      </c>
      <c r="D166" s="7" t="s">
        <v>34</v>
      </c>
      <c r="E166" s="7" t="s">
        <v>169</v>
      </c>
      <c r="F166" s="7">
        <v>1.0</v>
      </c>
      <c r="G166" s="7" t="s">
        <v>70</v>
      </c>
      <c r="H166" s="7" t="s">
        <v>76</v>
      </c>
      <c r="J166" s="7">
        <v>60.0</v>
      </c>
      <c r="N166" s="7">
        <v>60.0</v>
      </c>
      <c r="Q166" s="7">
        <v>1.0</v>
      </c>
      <c r="R166" s="7">
        <v>70.0</v>
      </c>
      <c r="S166" s="7">
        <v>200.0</v>
      </c>
      <c r="T166" s="7">
        <v>90.0</v>
      </c>
      <c r="AL166" s="7">
        <v>50.0</v>
      </c>
      <c r="AM166" s="7">
        <v>50.0</v>
      </c>
      <c r="BF166" s="7">
        <v>31.0</v>
      </c>
      <c r="BG166" s="7">
        <v>25.0</v>
      </c>
      <c r="BJ166" s="7">
        <v>45.0</v>
      </c>
      <c r="BK166" s="7">
        <v>35.0</v>
      </c>
      <c r="BL166" s="7">
        <v>49.0</v>
      </c>
      <c r="BM166" s="7">
        <v>40.0</v>
      </c>
      <c r="BN166" s="7">
        <v>48.0</v>
      </c>
      <c r="BO166" s="7">
        <v>40.0</v>
      </c>
      <c r="BZ166" s="7">
        <v>180.0</v>
      </c>
      <c r="CA166" s="7">
        <v>90.0</v>
      </c>
      <c r="CN166" s="7">
        <v>10.0</v>
      </c>
      <c r="CO166" s="7">
        <v>6.0</v>
      </c>
      <c r="DL166" s="7">
        <v>3.0</v>
      </c>
      <c r="DM166" s="7">
        <v>3.0</v>
      </c>
      <c r="DR166" s="7">
        <v>3.0</v>
      </c>
      <c r="DS166" s="7">
        <v>3.0</v>
      </c>
      <c r="ER166" s="7">
        <v>15.0</v>
      </c>
      <c r="ET166" s="7">
        <v>30.0</v>
      </c>
      <c r="EU166" s="7">
        <v>15.0</v>
      </c>
      <c r="EV166" s="7">
        <v>30.0</v>
      </c>
      <c r="FB166" s="7">
        <v>75.0</v>
      </c>
      <c r="FC166" s="7">
        <v>15.0</v>
      </c>
      <c r="FH166" s="7">
        <v>15.0</v>
      </c>
      <c r="FJ166" s="7">
        <v>15.0</v>
      </c>
      <c r="FK166" s="7">
        <v>15.0</v>
      </c>
      <c r="FL166" s="7">
        <v>30.0</v>
      </c>
      <c r="FR166" s="7">
        <v>30.0</v>
      </c>
      <c r="FS166" s="7">
        <v>15.0</v>
      </c>
      <c r="FX166" s="7">
        <v>1.0</v>
      </c>
      <c r="FZ166" s="7">
        <v>30.0</v>
      </c>
      <c r="GR166" s="87">
        <v>165.0</v>
      </c>
    </row>
    <row r="167">
      <c r="A167" s="5">
        <v>45901.571222569444</v>
      </c>
      <c r="B167" s="6">
        <v>45864.0</v>
      </c>
      <c r="C167" s="6">
        <v>45900.0</v>
      </c>
      <c r="D167" s="7" t="s">
        <v>40</v>
      </c>
      <c r="E167" s="7" t="s">
        <v>174</v>
      </c>
      <c r="F167" s="7">
        <v>4.0</v>
      </c>
      <c r="G167" s="7" t="s">
        <v>70</v>
      </c>
      <c r="H167" s="7" t="s">
        <v>76</v>
      </c>
      <c r="BZ167" s="7">
        <v>30.0</v>
      </c>
      <c r="CA167" s="7">
        <v>20.0</v>
      </c>
      <c r="DB167" s="7">
        <v>20.0</v>
      </c>
      <c r="DC167" s="7">
        <v>12.0</v>
      </c>
      <c r="FB167" s="7">
        <v>30.0</v>
      </c>
      <c r="GR167" s="87">
        <v>166.0</v>
      </c>
    </row>
    <row r="168">
      <c r="A168" s="5">
        <v>45901.57768199074</v>
      </c>
      <c r="B168" s="6">
        <v>45864.0</v>
      </c>
      <c r="C168" s="6">
        <v>45900.0</v>
      </c>
      <c r="D168" s="7" t="s">
        <v>20</v>
      </c>
      <c r="E168" s="7" t="s">
        <v>77</v>
      </c>
      <c r="F168" s="7">
        <v>1.0</v>
      </c>
      <c r="G168" s="7" t="s">
        <v>70</v>
      </c>
      <c r="H168" s="7" t="s">
        <v>76</v>
      </c>
      <c r="J168" s="7">
        <v>123.0</v>
      </c>
      <c r="K168" s="7">
        <v>15.0</v>
      </c>
      <c r="L168" s="7">
        <v>33.0</v>
      </c>
      <c r="N168" s="7">
        <v>35.0</v>
      </c>
      <c r="O168" s="7">
        <v>10.0</v>
      </c>
      <c r="P168" s="7">
        <v>22.0</v>
      </c>
      <c r="T168" s="7">
        <v>190.0</v>
      </c>
      <c r="AO168" s="7">
        <v>200.0</v>
      </c>
      <c r="AP168" s="7">
        <v>200.0</v>
      </c>
      <c r="AR168" s="7">
        <v>200.0</v>
      </c>
      <c r="AS168" s="7">
        <v>200.0</v>
      </c>
      <c r="BF168" s="7">
        <v>134.0</v>
      </c>
      <c r="BG168" s="7">
        <v>93.0</v>
      </c>
      <c r="BJ168" s="7">
        <v>15.0</v>
      </c>
      <c r="BK168" s="7">
        <v>12.0</v>
      </c>
      <c r="BN168" s="7">
        <v>25.0</v>
      </c>
      <c r="BO168" s="7">
        <v>16.0</v>
      </c>
      <c r="BR168" s="7">
        <v>18.0</v>
      </c>
      <c r="BS168" s="7">
        <v>18.0</v>
      </c>
      <c r="BZ168" s="7">
        <v>131.0</v>
      </c>
      <c r="CA168" s="7">
        <v>91.0</v>
      </c>
      <c r="CB168" s="7">
        <v>50.0</v>
      </c>
      <c r="CC168" s="7">
        <v>35.0</v>
      </c>
      <c r="CJ168" s="7">
        <v>13.0</v>
      </c>
      <c r="CK168" s="7">
        <v>6.0</v>
      </c>
      <c r="CN168" s="7">
        <v>12.0</v>
      </c>
      <c r="CO168" s="7">
        <v>6.0</v>
      </c>
      <c r="DB168" s="7">
        <v>11.0</v>
      </c>
      <c r="DC168" s="7">
        <v>5.0</v>
      </c>
      <c r="DL168" s="7">
        <v>1.0</v>
      </c>
      <c r="DM168" s="7">
        <v>1.0</v>
      </c>
      <c r="DR168" s="7">
        <v>2.0</v>
      </c>
      <c r="DS168" s="7">
        <v>3.0</v>
      </c>
      <c r="EF168" s="7">
        <v>2.0</v>
      </c>
      <c r="EG168" s="7">
        <v>2.0</v>
      </c>
      <c r="ET168" s="7">
        <v>15.0</v>
      </c>
      <c r="EV168" s="7">
        <v>10.0</v>
      </c>
      <c r="EX168" s="7">
        <v>10.0</v>
      </c>
      <c r="FB168" s="7">
        <v>30.0</v>
      </c>
      <c r="FC168" s="7">
        <v>15.0</v>
      </c>
      <c r="GN168" s="7">
        <v>2.0</v>
      </c>
      <c r="GO168" s="7">
        <v>2.0</v>
      </c>
      <c r="GQ168" s="7">
        <v>20.0</v>
      </c>
      <c r="GR168" s="87">
        <v>167.0</v>
      </c>
    </row>
    <row r="169">
      <c r="A169" s="5">
        <v>45902.54726472222</v>
      </c>
      <c r="B169" s="6">
        <v>45864.0</v>
      </c>
      <c r="C169" s="6">
        <v>45900.0</v>
      </c>
      <c r="D169" s="7" t="s">
        <v>32</v>
      </c>
      <c r="E169" s="7" t="s">
        <v>134</v>
      </c>
      <c r="F169" s="7">
        <v>3.0</v>
      </c>
      <c r="G169" s="7" t="s">
        <v>70</v>
      </c>
      <c r="H169" s="7" t="s">
        <v>76</v>
      </c>
      <c r="J169" s="7">
        <v>60.0</v>
      </c>
      <c r="N169" s="7">
        <v>30.0</v>
      </c>
      <c r="AL169" s="7">
        <v>50.0</v>
      </c>
      <c r="AM169" s="7">
        <v>50.0</v>
      </c>
      <c r="AO169" s="7">
        <v>10.0</v>
      </c>
      <c r="AP169" s="7">
        <v>10.0</v>
      </c>
      <c r="AR169" s="7">
        <v>600.0</v>
      </c>
      <c r="AS169" s="7">
        <v>600.0</v>
      </c>
      <c r="BF169" s="7">
        <v>32.0</v>
      </c>
      <c r="BG169" s="7">
        <v>32.0</v>
      </c>
      <c r="BJ169" s="7">
        <v>16.0</v>
      </c>
      <c r="BK169" s="7">
        <v>16.0</v>
      </c>
      <c r="BL169" s="7">
        <v>35.0</v>
      </c>
      <c r="BM169" s="7">
        <v>35.0</v>
      </c>
      <c r="BN169" s="7">
        <v>16.0</v>
      </c>
      <c r="BO169" s="7">
        <v>16.0</v>
      </c>
      <c r="BR169" s="7">
        <v>10.0</v>
      </c>
      <c r="BS169" s="7">
        <v>6.0</v>
      </c>
      <c r="BZ169" s="7">
        <v>105.0</v>
      </c>
      <c r="CA169" s="7">
        <v>105.0</v>
      </c>
      <c r="CB169" s="7">
        <v>6.0</v>
      </c>
      <c r="CC169" s="7">
        <v>6.0</v>
      </c>
      <c r="CL169" s="7">
        <v>15.0</v>
      </c>
      <c r="CM169" s="7">
        <v>8.0</v>
      </c>
      <c r="CN169" s="7">
        <v>10.0</v>
      </c>
      <c r="CO169" s="7">
        <v>6.0</v>
      </c>
      <c r="CT169" s="7">
        <v>6.0</v>
      </c>
      <c r="DB169" s="7">
        <v>7.0</v>
      </c>
      <c r="DC169" s="7">
        <v>4.0</v>
      </c>
      <c r="DD169" s="7">
        <v>10.0</v>
      </c>
      <c r="DE169" s="7">
        <v>6.0</v>
      </c>
      <c r="DR169" s="7">
        <v>4.0</v>
      </c>
      <c r="DS169" s="7">
        <v>2.0</v>
      </c>
      <c r="EF169" s="7">
        <v>12.0</v>
      </c>
      <c r="EG169" s="7">
        <v>10.0</v>
      </c>
      <c r="ET169" s="7">
        <v>30.0</v>
      </c>
      <c r="EU169" s="7">
        <v>15.0</v>
      </c>
      <c r="FB169" s="7">
        <v>60.0</v>
      </c>
      <c r="GR169" s="87">
        <v>168.0</v>
      </c>
    </row>
    <row r="170">
      <c r="A170" s="5">
        <v>45902.564307650464</v>
      </c>
      <c r="B170" s="6">
        <v>45864.0</v>
      </c>
      <c r="C170" s="6">
        <v>45900.0</v>
      </c>
      <c r="D170" s="7" t="s">
        <v>27</v>
      </c>
      <c r="E170" s="7" t="s">
        <v>120</v>
      </c>
      <c r="F170" s="7">
        <v>2.0</v>
      </c>
      <c r="G170" s="7" t="s">
        <v>70</v>
      </c>
      <c r="H170" s="7" t="s">
        <v>76</v>
      </c>
      <c r="J170" s="7">
        <v>111.0</v>
      </c>
      <c r="N170" s="7">
        <v>40.0</v>
      </c>
      <c r="AL170" s="7">
        <v>50.0</v>
      </c>
      <c r="AM170" s="7">
        <v>50.0</v>
      </c>
      <c r="AO170" s="7">
        <v>50.0</v>
      </c>
      <c r="AP170" s="7">
        <v>50.0</v>
      </c>
      <c r="BF170" s="7">
        <v>15.0</v>
      </c>
      <c r="BG170" s="7">
        <v>7.0</v>
      </c>
      <c r="BR170" s="7">
        <v>4.0</v>
      </c>
      <c r="BS170" s="7">
        <v>4.0</v>
      </c>
      <c r="BZ170" s="7">
        <v>75.0</v>
      </c>
      <c r="CA170" s="7">
        <v>45.0</v>
      </c>
      <c r="CB170" s="7">
        <v>15.0</v>
      </c>
      <c r="CC170" s="7">
        <v>7.0</v>
      </c>
      <c r="CN170" s="7">
        <v>10.0</v>
      </c>
      <c r="CO170" s="7">
        <v>6.0</v>
      </c>
      <c r="DB170" s="7">
        <v>9.0</v>
      </c>
      <c r="DC170" s="7">
        <v>5.0</v>
      </c>
      <c r="ER170" s="7">
        <v>15.0</v>
      </c>
      <c r="EX170" s="7">
        <v>15.0</v>
      </c>
      <c r="FB170" s="7">
        <v>75.0</v>
      </c>
      <c r="FC170" s="7">
        <v>15.0</v>
      </c>
      <c r="GR170" s="87">
        <v>169.0</v>
      </c>
    </row>
    <row r="171">
      <c r="A171" s="5">
        <v>45930.37137025463</v>
      </c>
      <c r="B171" s="6">
        <v>45901.0</v>
      </c>
      <c r="C171" s="6">
        <v>45930.0</v>
      </c>
      <c r="D171" s="7" t="s">
        <v>35</v>
      </c>
      <c r="E171" s="7" t="s">
        <v>283</v>
      </c>
      <c r="F171" s="7">
        <v>2.0</v>
      </c>
      <c r="G171" s="7" t="s">
        <v>70</v>
      </c>
      <c r="H171" s="7" t="s">
        <v>76</v>
      </c>
      <c r="J171" s="7">
        <v>40.0</v>
      </c>
      <c r="N171" s="7">
        <v>10.0</v>
      </c>
      <c r="BR171" s="7">
        <v>5.0</v>
      </c>
      <c r="BS171" s="7">
        <v>5.0</v>
      </c>
      <c r="BZ171" s="7">
        <v>30.0</v>
      </c>
      <c r="CA171" s="7">
        <v>22.0</v>
      </c>
      <c r="CB171" s="7">
        <v>30.0</v>
      </c>
      <c r="CC171" s="7">
        <v>23.0</v>
      </c>
      <c r="EX171" s="7">
        <v>5.0</v>
      </c>
      <c r="FB171" s="7">
        <v>30.0</v>
      </c>
      <c r="FC171" s="7">
        <v>30.0</v>
      </c>
      <c r="GR171" s="87">
        <v>170.0</v>
      </c>
    </row>
    <row r="172">
      <c r="A172" s="5">
        <v>45930.43646121528</v>
      </c>
      <c r="B172" s="6">
        <v>45901.0</v>
      </c>
      <c r="C172" s="6">
        <v>45930.0</v>
      </c>
      <c r="D172" s="7" t="s">
        <v>26</v>
      </c>
      <c r="E172" s="7" t="s">
        <v>104</v>
      </c>
      <c r="F172" s="7">
        <v>3.0</v>
      </c>
      <c r="G172" s="7" t="s">
        <v>70</v>
      </c>
      <c r="H172" s="7" t="s">
        <v>76</v>
      </c>
      <c r="J172" s="7">
        <v>42.0</v>
      </c>
      <c r="K172" s="7">
        <v>20.0</v>
      </c>
      <c r="N172" s="7">
        <v>23.0</v>
      </c>
      <c r="O172" s="7">
        <v>27.0</v>
      </c>
      <c r="BF172" s="7">
        <v>5.0</v>
      </c>
      <c r="BG172" s="7">
        <v>3.0</v>
      </c>
      <c r="BJ172" s="7">
        <v>15.0</v>
      </c>
      <c r="BK172" s="7">
        <v>10.0</v>
      </c>
      <c r="BL172" s="7">
        <v>15.0</v>
      </c>
      <c r="BM172" s="7">
        <v>10.0</v>
      </c>
      <c r="BR172" s="7">
        <v>5.0</v>
      </c>
      <c r="BS172" s="7">
        <v>2.0</v>
      </c>
      <c r="BZ172" s="7">
        <v>60.0</v>
      </c>
      <c r="CA172" s="7">
        <v>42.0</v>
      </c>
      <c r="CB172" s="7">
        <v>15.0</v>
      </c>
      <c r="CC172" s="7">
        <v>11.0</v>
      </c>
      <c r="CL172" s="7">
        <v>5.0</v>
      </c>
      <c r="CM172" s="7">
        <v>3.0</v>
      </c>
      <c r="CN172" s="7">
        <v>5.0</v>
      </c>
      <c r="CO172" s="7">
        <v>3.0</v>
      </c>
      <c r="CP172" s="7">
        <v>36.0</v>
      </c>
      <c r="CQ172" s="7">
        <v>24.0</v>
      </c>
      <c r="CT172" s="7">
        <v>1.0</v>
      </c>
      <c r="CU172" s="7">
        <v>0.0</v>
      </c>
      <c r="DB172" s="7">
        <v>28.0</v>
      </c>
      <c r="DC172" s="7">
        <v>18.0</v>
      </c>
      <c r="DD172" s="7">
        <v>18.0</v>
      </c>
      <c r="DE172" s="7">
        <v>12.0</v>
      </c>
      <c r="DL172" s="7">
        <v>2.0</v>
      </c>
      <c r="DM172" s="7">
        <v>2.0</v>
      </c>
      <c r="DP172" s="7">
        <v>1.0</v>
      </c>
      <c r="DQ172" s="7">
        <v>1.0</v>
      </c>
      <c r="DT172" s="7">
        <v>5.0</v>
      </c>
      <c r="DU172" s="7">
        <v>6.0</v>
      </c>
      <c r="EF172" s="7">
        <v>3.0</v>
      </c>
      <c r="EG172" s="7">
        <v>3.0</v>
      </c>
      <c r="EH172" s="7">
        <v>4.0</v>
      </c>
      <c r="EI172" s="7">
        <v>3.0</v>
      </c>
      <c r="ER172" s="7">
        <v>5.0</v>
      </c>
      <c r="ET172" s="7">
        <v>15.0</v>
      </c>
      <c r="EU172" s="7">
        <v>15.0</v>
      </c>
      <c r="EX172" s="7">
        <v>5.0</v>
      </c>
      <c r="FB172" s="7">
        <v>60.0</v>
      </c>
      <c r="FC172" s="7">
        <v>15.0</v>
      </c>
      <c r="GR172" s="87">
        <v>171.0</v>
      </c>
    </row>
    <row r="173">
      <c r="A173" s="5">
        <v>45930.448751250005</v>
      </c>
      <c r="B173" s="6">
        <v>45901.0</v>
      </c>
      <c r="C173" s="6">
        <v>45930.0</v>
      </c>
      <c r="D173" s="7" t="s">
        <v>24</v>
      </c>
      <c r="E173" s="7" t="s">
        <v>158</v>
      </c>
      <c r="F173" s="7">
        <v>3.0</v>
      </c>
      <c r="G173" s="7" t="s">
        <v>70</v>
      </c>
      <c r="H173" s="7" t="s">
        <v>76</v>
      </c>
      <c r="J173" s="7">
        <v>70.0</v>
      </c>
      <c r="N173" s="7">
        <v>15.0</v>
      </c>
      <c r="BL173" s="7">
        <v>10.0</v>
      </c>
      <c r="BM173" s="7">
        <v>7.0</v>
      </c>
      <c r="BR173" s="7">
        <v>5.0</v>
      </c>
      <c r="BS173" s="7">
        <v>5.0</v>
      </c>
      <c r="BZ173" s="7">
        <v>60.0</v>
      </c>
      <c r="CA173" s="7">
        <v>42.0</v>
      </c>
      <c r="CN173" s="7">
        <v>9.0</v>
      </c>
      <c r="CO173" s="7">
        <v>6.0</v>
      </c>
      <c r="CP173" s="7">
        <v>6.0</v>
      </c>
      <c r="CQ173" s="7">
        <v>4.0</v>
      </c>
      <c r="DL173" s="7">
        <v>1.0</v>
      </c>
      <c r="DQ173" s="7">
        <v>1.0</v>
      </c>
      <c r="DT173" s="7">
        <v>1.0</v>
      </c>
      <c r="DU173" s="7">
        <v>1.0</v>
      </c>
      <c r="EF173" s="7">
        <v>12.0</v>
      </c>
      <c r="EG173" s="7">
        <v>8.0</v>
      </c>
      <c r="FB173" s="7">
        <v>45.0</v>
      </c>
      <c r="FC173" s="7">
        <v>15.0</v>
      </c>
      <c r="GR173" s="87">
        <v>172.0</v>
      </c>
    </row>
    <row r="174">
      <c r="A174" s="5">
        <v>45930.54371167824</v>
      </c>
      <c r="B174" s="6">
        <v>45901.0</v>
      </c>
      <c r="C174" s="6">
        <v>45930.0</v>
      </c>
      <c r="D174" s="7" t="s">
        <v>201</v>
      </c>
      <c r="E174" s="7" t="s">
        <v>199</v>
      </c>
      <c r="F174" s="7">
        <v>2.0</v>
      </c>
      <c r="G174" s="7" t="s">
        <v>70</v>
      </c>
      <c r="H174" s="7" t="s">
        <v>76</v>
      </c>
      <c r="J174" s="7">
        <v>100.0</v>
      </c>
      <c r="N174" s="7">
        <v>54.0</v>
      </c>
      <c r="BF174" s="7">
        <v>15.0</v>
      </c>
      <c r="BG174" s="7">
        <v>12.0</v>
      </c>
      <c r="BJ174" s="7">
        <v>15.0</v>
      </c>
      <c r="BK174" s="7">
        <v>12.0</v>
      </c>
      <c r="BL174" s="7">
        <v>15.0</v>
      </c>
      <c r="BM174" s="7">
        <v>12.0</v>
      </c>
      <c r="BR174" s="7">
        <v>5.0</v>
      </c>
      <c r="BS174" s="7">
        <v>4.0</v>
      </c>
      <c r="BZ174" s="7">
        <v>30.0</v>
      </c>
      <c r="CA174" s="7">
        <v>24.0</v>
      </c>
      <c r="CB174" s="7">
        <v>15.0</v>
      </c>
      <c r="CC174" s="7">
        <v>12.0</v>
      </c>
      <c r="CP174" s="7">
        <v>32.0</v>
      </c>
      <c r="CQ174" s="7">
        <v>16.0</v>
      </c>
      <c r="CT174" s="7">
        <v>3.0</v>
      </c>
      <c r="CU174" s="7">
        <v>1.0</v>
      </c>
      <c r="DB174" s="7">
        <v>21.0</v>
      </c>
      <c r="DC174" s="7">
        <v>11.0</v>
      </c>
      <c r="DL174" s="7">
        <v>1.0</v>
      </c>
      <c r="DM174" s="7">
        <v>1.0</v>
      </c>
      <c r="DR174" s="7">
        <v>1.0</v>
      </c>
      <c r="DS174" s="7">
        <v>1.0</v>
      </c>
      <c r="DV174" s="7">
        <v>2.0</v>
      </c>
      <c r="DW174" s="7">
        <v>1.0</v>
      </c>
      <c r="EF174" s="7">
        <v>6.0</v>
      </c>
      <c r="EG174" s="7">
        <v>6.0</v>
      </c>
      <c r="ER174" s="7">
        <v>15.0</v>
      </c>
      <c r="ET174" s="7">
        <v>15.0</v>
      </c>
      <c r="EU174" s="7">
        <v>15.0</v>
      </c>
      <c r="FB174" s="7">
        <v>30.0</v>
      </c>
      <c r="FC174" s="7">
        <v>15.0</v>
      </c>
      <c r="GR174" s="87">
        <v>173.0</v>
      </c>
    </row>
    <row r="175">
      <c r="A175" s="5">
        <v>45930.55554638889</v>
      </c>
      <c r="B175" s="6">
        <v>45901.0</v>
      </c>
      <c r="C175" s="6">
        <v>45930.0</v>
      </c>
      <c r="D175" s="7" t="s">
        <v>33</v>
      </c>
      <c r="E175" s="7" t="s">
        <v>151</v>
      </c>
      <c r="F175" s="7">
        <v>2.0</v>
      </c>
      <c r="G175" s="7" t="s">
        <v>70</v>
      </c>
      <c r="H175" s="7" t="s">
        <v>76</v>
      </c>
      <c r="J175" s="7">
        <v>40.0</v>
      </c>
      <c r="K175" s="7">
        <v>4.0</v>
      </c>
      <c r="N175" s="7">
        <v>19.0</v>
      </c>
      <c r="BF175" s="7">
        <v>10.0</v>
      </c>
      <c r="BG175" s="7">
        <v>5.0</v>
      </c>
      <c r="BL175" s="7">
        <v>15.0</v>
      </c>
      <c r="BM175" s="7">
        <v>8.0</v>
      </c>
      <c r="BR175" s="7">
        <v>5.0</v>
      </c>
      <c r="BS175" s="7">
        <v>5.0</v>
      </c>
      <c r="BZ175" s="7">
        <v>45.0</v>
      </c>
      <c r="CA175" s="7">
        <v>23.0</v>
      </c>
      <c r="CP175" s="7">
        <v>4.0</v>
      </c>
      <c r="CQ175" s="7">
        <v>2.0</v>
      </c>
      <c r="DB175" s="7">
        <v>6.0</v>
      </c>
      <c r="DC175" s="7">
        <v>4.0</v>
      </c>
      <c r="ER175" s="7">
        <v>10.0</v>
      </c>
      <c r="EU175" s="7">
        <v>15.0</v>
      </c>
      <c r="EX175" s="7">
        <v>10.0</v>
      </c>
      <c r="FB175" s="7">
        <v>45.0</v>
      </c>
      <c r="GR175" s="87">
        <v>174.0</v>
      </c>
    </row>
    <row r="176">
      <c r="A176" s="5">
        <v>45930.58107396991</v>
      </c>
      <c r="B176" s="6">
        <v>45901.0</v>
      </c>
      <c r="C176" s="6">
        <v>45930.0</v>
      </c>
      <c r="D176" s="7" t="s">
        <v>41</v>
      </c>
      <c r="E176" s="7" t="s">
        <v>251</v>
      </c>
      <c r="F176" s="7">
        <v>2.0</v>
      </c>
      <c r="G176" s="7" t="s">
        <v>70</v>
      </c>
      <c r="H176" s="7" t="s">
        <v>76</v>
      </c>
      <c r="J176" s="7">
        <v>130.0</v>
      </c>
      <c r="N176" s="7">
        <v>35.0</v>
      </c>
      <c r="Q176" s="7">
        <v>1.0</v>
      </c>
      <c r="R176" s="7">
        <v>35.0</v>
      </c>
      <c r="S176" s="7">
        <v>50.0</v>
      </c>
      <c r="Y176" s="7">
        <v>11.0</v>
      </c>
      <c r="BF176" s="7">
        <v>5.0</v>
      </c>
      <c r="BG176" s="7">
        <v>3.0</v>
      </c>
      <c r="BR176" s="7">
        <v>10.0</v>
      </c>
      <c r="BS176" s="7">
        <v>8.0</v>
      </c>
      <c r="CB176" s="7">
        <v>30.0</v>
      </c>
      <c r="CC176" s="7">
        <v>22.0</v>
      </c>
      <c r="CT176" s="7">
        <v>6.0</v>
      </c>
      <c r="CU176" s="7">
        <v>3.0</v>
      </c>
      <c r="DB176" s="7">
        <v>9.0</v>
      </c>
      <c r="DC176" s="7">
        <v>6.0</v>
      </c>
      <c r="ER176" s="7">
        <v>5.0</v>
      </c>
      <c r="FB176" s="7">
        <v>45.0</v>
      </c>
      <c r="FC176" s="7">
        <v>30.0</v>
      </c>
      <c r="GR176" s="87">
        <v>175.0</v>
      </c>
    </row>
    <row r="177">
      <c r="A177" s="5">
        <v>45931.4360827662</v>
      </c>
      <c r="B177" s="6">
        <v>45901.0</v>
      </c>
      <c r="C177" s="6">
        <v>45930.0</v>
      </c>
      <c r="D177" s="7" t="s">
        <v>211</v>
      </c>
      <c r="E177" s="7" t="s">
        <v>223</v>
      </c>
      <c r="F177" s="7">
        <v>4.0</v>
      </c>
      <c r="G177" s="7" t="s">
        <v>70</v>
      </c>
      <c r="H177" s="7" t="s">
        <v>76</v>
      </c>
      <c r="BZ177" s="7">
        <v>60.0</v>
      </c>
      <c r="CA177" s="7">
        <v>48.0</v>
      </c>
      <c r="FB177" s="7">
        <v>60.0</v>
      </c>
      <c r="GR177" s="87">
        <v>176.0</v>
      </c>
    </row>
    <row r="178">
      <c r="A178" s="5">
        <v>45931.43724627315</v>
      </c>
      <c r="B178" s="6">
        <v>45901.0</v>
      </c>
      <c r="C178" s="6">
        <v>45930.0</v>
      </c>
      <c r="D178" s="7" t="s">
        <v>269</v>
      </c>
      <c r="E178" s="7" t="s">
        <v>267</v>
      </c>
      <c r="F178" s="7">
        <v>2.0</v>
      </c>
      <c r="G178" s="7" t="s">
        <v>70</v>
      </c>
      <c r="H178" s="7" t="s">
        <v>76</v>
      </c>
      <c r="J178" s="7">
        <v>110.0</v>
      </c>
      <c r="N178" s="7">
        <v>50.0</v>
      </c>
      <c r="BR178" s="7">
        <v>5.0</v>
      </c>
      <c r="BS178" s="7">
        <v>5.0</v>
      </c>
      <c r="BZ178" s="7">
        <v>45.0</v>
      </c>
      <c r="CA178" s="7">
        <v>45.0</v>
      </c>
      <c r="CP178" s="7">
        <v>26.0</v>
      </c>
      <c r="CQ178" s="7">
        <v>16.0</v>
      </c>
      <c r="DB178" s="7">
        <v>15.0</v>
      </c>
      <c r="DC178" s="7">
        <v>8.0</v>
      </c>
      <c r="DD178" s="7">
        <v>12.0</v>
      </c>
      <c r="DE178" s="7">
        <v>7.0</v>
      </c>
      <c r="DR178" s="7">
        <v>4.0</v>
      </c>
      <c r="DS178" s="7">
        <v>4.0</v>
      </c>
      <c r="EF178" s="7">
        <v>7.0</v>
      </c>
      <c r="EG178" s="7">
        <v>5.0</v>
      </c>
      <c r="EX178" s="7">
        <v>5.0</v>
      </c>
      <c r="FB178" s="7">
        <v>45.0</v>
      </c>
      <c r="GR178" s="87">
        <v>177.0</v>
      </c>
    </row>
    <row r="179">
      <c r="A179" s="5">
        <v>45931.4505440162</v>
      </c>
      <c r="B179" s="6">
        <v>45901.0</v>
      </c>
      <c r="C179" s="6">
        <v>45930.0</v>
      </c>
      <c r="D179" s="7" t="s">
        <v>212</v>
      </c>
      <c r="E179" s="7" t="s">
        <v>227</v>
      </c>
      <c r="F179" s="7">
        <v>3.0</v>
      </c>
      <c r="G179" s="7" t="s">
        <v>70</v>
      </c>
      <c r="H179" s="7" t="s">
        <v>76</v>
      </c>
      <c r="J179" s="7">
        <v>47.0</v>
      </c>
      <c r="N179" s="7">
        <v>35.0</v>
      </c>
      <c r="T179" s="7">
        <v>20.0</v>
      </c>
      <c r="BL179" s="7">
        <v>15.0</v>
      </c>
      <c r="BM179" s="7">
        <v>12.0</v>
      </c>
      <c r="BR179" s="7">
        <v>5.0</v>
      </c>
      <c r="BS179" s="7">
        <v>5.0</v>
      </c>
      <c r="CB179" s="7">
        <v>30.0</v>
      </c>
      <c r="CC179" s="7">
        <v>18.0</v>
      </c>
      <c r="CP179" s="7">
        <v>99.0</v>
      </c>
      <c r="CQ179" s="7">
        <v>55.0</v>
      </c>
      <c r="CT179" s="7">
        <v>7.0</v>
      </c>
      <c r="CU179" s="7">
        <v>5.0</v>
      </c>
      <c r="DB179" s="7">
        <v>22.0</v>
      </c>
      <c r="DC179" s="7">
        <v>12.0</v>
      </c>
      <c r="DD179" s="7">
        <v>6.0</v>
      </c>
      <c r="DE179" s="7">
        <v>6.0</v>
      </c>
      <c r="DR179" s="7">
        <v>6.0</v>
      </c>
      <c r="DS179" s="7">
        <v>2.0</v>
      </c>
      <c r="EF179" s="7">
        <v>8.0</v>
      </c>
      <c r="EG179" s="7">
        <v>7.0</v>
      </c>
      <c r="EH179" s="7">
        <v>9.0</v>
      </c>
      <c r="EI179" s="7">
        <v>6.0</v>
      </c>
      <c r="EU179" s="7">
        <v>15.0</v>
      </c>
      <c r="EX179" s="7">
        <v>5.0</v>
      </c>
      <c r="FB179" s="7">
        <v>15.0</v>
      </c>
      <c r="FC179" s="7">
        <v>30.0</v>
      </c>
      <c r="GR179" s="87">
        <v>178.0</v>
      </c>
    </row>
    <row r="180">
      <c r="A180" s="5">
        <v>45931.45380798611</v>
      </c>
      <c r="B180" s="6">
        <v>45901.0</v>
      </c>
      <c r="C180" s="6">
        <v>45930.0</v>
      </c>
      <c r="D180" s="7" t="s">
        <v>213</v>
      </c>
      <c r="E180" s="7" t="s">
        <v>231</v>
      </c>
      <c r="F180" s="7">
        <v>3.0</v>
      </c>
      <c r="G180" s="7" t="s">
        <v>70</v>
      </c>
      <c r="H180" s="7" t="s">
        <v>76</v>
      </c>
      <c r="J180" s="7">
        <v>70.0</v>
      </c>
      <c r="N180" s="7">
        <v>35.0</v>
      </c>
      <c r="BF180" s="7">
        <v>15.0</v>
      </c>
      <c r="BG180" s="7">
        <v>15.0</v>
      </c>
      <c r="BJ180" s="7">
        <v>60.0</v>
      </c>
      <c r="BK180" s="7">
        <v>60.0</v>
      </c>
      <c r="BR180" s="7">
        <v>4.0</v>
      </c>
      <c r="BS180" s="7">
        <v>4.0</v>
      </c>
      <c r="BZ180" s="7">
        <v>45.0</v>
      </c>
      <c r="CA180" s="7">
        <v>45.0</v>
      </c>
      <c r="CN180" s="7">
        <v>45.0</v>
      </c>
      <c r="CO180" s="7">
        <v>22.0</v>
      </c>
      <c r="CT180" s="7">
        <v>3.0</v>
      </c>
      <c r="CU180" s="7">
        <v>1.0</v>
      </c>
      <c r="DB180" s="7">
        <v>30.0</v>
      </c>
      <c r="DC180" s="7">
        <v>15.0</v>
      </c>
      <c r="EX180" s="7">
        <v>5.0</v>
      </c>
      <c r="FB180" s="7">
        <v>45.0</v>
      </c>
      <c r="GR180" s="87">
        <v>179.0</v>
      </c>
    </row>
    <row r="181">
      <c r="A181" s="5">
        <v>45931.45417383102</v>
      </c>
      <c r="B181" s="6">
        <v>45901.0</v>
      </c>
      <c r="C181" s="6">
        <v>45930.0</v>
      </c>
      <c r="D181" s="7" t="s">
        <v>207</v>
      </c>
      <c r="E181" s="7" t="s">
        <v>205</v>
      </c>
      <c r="F181" s="7">
        <v>2.0</v>
      </c>
      <c r="G181" s="7" t="s">
        <v>70</v>
      </c>
      <c r="H181" s="7" t="s">
        <v>76</v>
      </c>
      <c r="J181" s="7">
        <v>110.0</v>
      </c>
      <c r="N181" s="7">
        <v>61.0</v>
      </c>
      <c r="T181" s="7">
        <v>50.0</v>
      </c>
      <c r="Y181" s="7">
        <v>30.0</v>
      </c>
      <c r="AA181" s="7">
        <v>3.0</v>
      </c>
      <c r="BF181" s="7">
        <v>50.0</v>
      </c>
      <c r="BG181" s="7">
        <v>37.0</v>
      </c>
      <c r="BJ181" s="7">
        <v>30.0</v>
      </c>
      <c r="BK181" s="7">
        <v>21.0</v>
      </c>
      <c r="BL181" s="7">
        <v>15.0</v>
      </c>
      <c r="BM181" s="7">
        <v>8.0</v>
      </c>
      <c r="BR181" s="7">
        <v>15.0</v>
      </c>
      <c r="BS181" s="7">
        <v>12.0</v>
      </c>
      <c r="BZ181" s="7">
        <v>45.0</v>
      </c>
      <c r="CA181" s="7">
        <v>32.0</v>
      </c>
      <c r="CN181" s="7">
        <v>24.0</v>
      </c>
      <c r="CO181" s="7">
        <v>13.0</v>
      </c>
      <c r="CP181" s="7">
        <v>48.0</v>
      </c>
      <c r="CQ181" s="7">
        <v>31.0</v>
      </c>
      <c r="CT181" s="7">
        <v>5.0</v>
      </c>
      <c r="CU181" s="7">
        <v>2.0</v>
      </c>
      <c r="DB181" s="7">
        <v>24.0</v>
      </c>
      <c r="DC181" s="7">
        <v>15.0</v>
      </c>
      <c r="DV181" s="7">
        <v>1.0</v>
      </c>
      <c r="DW181" s="7">
        <v>1.0</v>
      </c>
      <c r="EF181" s="7">
        <v>32.0</v>
      </c>
      <c r="EG181" s="7">
        <v>23.0</v>
      </c>
      <c r="EH181" s="7">
        <v>7.0</v>
      </c>
      <c r="EI181" s="7">
        <v>8.0</v>
      </c>
      <c r="ER181" s="7">
        <v>30.0</v>
      </c>
      <c r="EU181" s="7">
        <v>15.0</v>
      </c>
      <c r="EX181" s="7">
        <v>15.0</v>
      </c>
      <c r="FB181" s="7">
        <v>105.0</v>
      </c>
      <c r="FR181" s="7">
        <v>60.0</v>
      </c>
      <c r="FX181" s="7">
        <v>1.0</v>
      </c>
      <c r="FZ181" s="7">
        <v>50.0</v>
      </c>
      <c r="GR181" s="87">
        <v>180.0</v>
      </c>
    </row>
    <row r="182">
      <c r="A182" s="5">
        <v>45931.46087135417</v>
      </c>
      <c r="B182" s="6">
        <v>45901.0</v>
      </c>
      <c r="C182" s="6">
        <v>45930.0</v>
      </c>
      <c r="D182" s="7" t="s">
        <v>192</v>
      </c>
      <c r="E182" s="7" t="s">
        <v>194</v>
      </c>
      <c r="F182" s="7">
        <v>4.0</v>
      </c>
      <c r="G182" s="7" t="s">
        <v>70</v>
      </c>
      <c r="H182" s="7" t="s">
        <v>76</v>
      </c>
      <c r="BZ182" s="7">
        <v>15.0</v>
      </c>
      <c r="CA182" s="7">
        <v>8.0</v>
      </c>
      <c r="CP182" s="7">
        <v>10.0</v>
      </c>
      <c r="CQ182" s="7">
        <v>6.0</v>
      </c>
      <c r="DB182" s="7">
        <v>8.0</v>
      </c>
      <c r="DC182" s="7">
        <v>4.0</v>
      </c>
      <c r="EF182" s="7">
        <v>2.0</v>
      </c>
      <c r="EG182" s="7">
        <v>2.0</v>
      </c>
      <c r="EH182" s="7">
        <v>4.0</v>
      </c>
      <c r="GR182" s="87">
        <v>181.0</v>
      </c>
    </row>
    <row r="183">
      <c r="A183" s="5">
        <v>45931.46826324074</v>
      </c>
      <c r="B183" s="6">
        <v>45901.0</v>
      </c>
      <c r="C183" s="6">
        <v>45930.0</v>
      </c>
      <c r="D183" s="7" t="s">
        <v>25</v>
      </c>
      <c r="E183" s="7" t="s">
        <v>246</v>
      </c>
      <c r="F183" s="7">
        <v>2.0</v>
      </c>
      <c r="G183" s="7" t="s">
        <v>70</v>
      </c>
      <c r="H183" s="7" t="s">
        <v>76</v>
      </c>
      <c r="J183" s="7">
        <v>68.0</v>
      </c>
      <c r="N183" s="7">
        <v>29.0</v>
      </c>
      <c r="BL183" s="7">
        <v>10.0</v>
      </c>
      <c r="BM183" s="7">
        <v>5.0</v>
      </c>
      <c r="BN183" s="7">
        <v>10.0</v>
      </c>
      <c r="BO183" s="7">
        <v>5.0</v>
      </c>
      <c r="BR183" s="7">
        <v>2.0</v>
      </c>
      <c r="BS183" s="7">
        <v>2.0</v>
      </c>
      <c r="BZ183" s="7">
        <v>20.0</v>
      </c>
      <c r="CA183" s="7">
        <v>10.0</v>
      </c>
      <c r="CP183" s="7">
        <v>10.0</v>
      </c>
      <c r="CQ183" s="7">
        <v>5.0</v>
      </c>
      <c r="DB183" s="7">
        <v>5.0</v>
      </c>
      <c r="DC183" s="7">
        <v>2.0</v>
      </c>
      <c r="EU183" s="7">
        <v>15.0</v>
      </c>
      <c r="FB183" s="7">
        <v>15.0</v>
      </c>
      <c r="GR183" s="87">
        <v>182.0</v>
      </c>
    </row>
    <row r="184">
      <c r="A184" s="5">
        <v>45931.471072361106</v>
      </c>
      <c r="B184" s="6">
        <v>45901.0</v>
      </c>
      <c r="C184" s="6">
        <v>45930.0</v>
      </c>
      <c r="D184" s="7" t="s">
        <v>29</v>
      </c>
      <c r="E184" s="7" t="s">
        <v>110</v>
      </c>
      <c r="F184" s="7">
        <v>3.0</v>
      </c>
      <c r="G184" s="7" t="s">
        <v>70</v>
      </c>
      <c r="H184" s="7" t="s">
        <v>76</v>
      </c>
      <c r="J184" s="7">
        <v>97.0</v>
      </c>
      <c r="N184" s="7">
        <v>35.0</v>
      </c>
      <c r="BF184" s="7">
        <v>20.0</v>
      </c>
      <c r="BG184" s="7">
        <v>20.0</v>
      </c>
      <c r="BN184" s="7">
        <v>10.0</v>
      </c>
      <c r="BO184" s="7">
        <v>10.0</v>
      </c>
      <c r="BR184" s="7">
        <v>4.0</v>
      </c>
      <c r="BS184" s="7">
        <v>4.0</v>
      </c>
      <c r="BZ184" s="7">
        <v>75.0</v>
      </c>
      <c r="CA184" s="7">
        <v>75.0</v>
      </c>
      <c r="DB184" s="7">
        <v>15.0</v>
      </c>
      <c r="DC184" s="7">
        <v>7.0</v>
      </c>
      <c r="DD184" s="7">
        <v>15.0</v>
      </c>
      <c r="DE184" s="7">
        <v>6.0</v>
      </c>
      <c r="DL184" s="7">
        <v>1.0</v>
      </c>
      <c r="DM184" s="7">
        <v>2.0</v>
      </c>
      <c r="EF184" s="7">
        <v>2.0</v>
      </c>
      <c r="EG184" s="7">
        <v>1.0</v>
      </c>
      <c r="ER184" s="7">
        <v>20.0</v>
      </c>
      <c r="FB184" s="7">
        <v>45.0</v>
      </c>
      <c r="GR184" s="87">
        <v>183.0</v>
      </c>
    </row>
    <row r="185">
      <c r="A185" s="5">
        <v>45931.47887219908</v>
      </c>
      <c r="B185" s="6">
        <v>45901.0</v>
      </c>
      <c r="C185" s="6">
        <v>45930.0</v>
      </c>
      <c r="D185" s="7" t="s">
        <v>31</v>
      </c>
      <c r="E185" s="7" t="s">
        <v>140</v>
      </c>
      <c r="F185" s="7">
        <v>3.0</v>
      </c>
      <c r="G185" s="7" t="s">
        <v>70</v>
      </c>
      <c r="H185" s="7" t="s">
        <v>76</v>
      </c>
      <c r="J185" s="7">
        <v>76.0</v>
      </c>
      <c r="N185" s="7">
        <v>15.0</v>
      </c>
      <c r="BF185" s="7">
        <v>5.0</v>
      </c>
      <c r="BG185" s="7">
        <v>5.0</v>
      </c>
      <c r="BJ185" s="7">
        <v>26.0</v>
      </c>
      <c r="BK185" s="7">
        <v>22.0</v>
      </c>
      <c r="BL185" s="7">
        <v>56.0</v>
      </c>
      <c r="BM185" s="7">
        <v>46.0</v>
      </c>
      <c r="BN185" s="7">
        <v>25.0</v>
      </c>
      <c r="BO185" s="7">
        <v>20.0</v>
      </c>
      <c r="BR185" s="7">
        <v>5.0</v>
      </c>
      <c r="BS185" s="7">
        <v>5.0</v>
      </c>
      <c r="BZ185" s="7">
        <v>50.0</v>
      </c>
      <c r="CA185" s="7">
        <v>40.0</v>
      </c>
      <c r="CB185" s="7">
        <v>40.0</v>
      </c>
      <c r="CC185" s="7">
        <v>28.0</v>
      </c>
      <c r="CJ185" s="7">
        <v>3.0</v>
      </c>
      <c r="CK185" s="7">
        <v>2.0</v>
      </c>
      <c r="CN185" s="7">
        <v>6.0</v>
      </c>
      <c r="CO185" s="7">
        <v>4.0</v>
      </c>
      <c r="CP185" s="7">
        <v>15.0</v>
      </c>
      <c r="CQ185" s="7">
        <v>10.0</v>
      </c>
      <c r="CT185" s="7">
        <v>1.0</v>
      </c>
      <c r="CU185" s="7">
        <v>1.0</v>
      </c>
      <c r="DB185" s="7">
        <v>11.0</v>
      </c>
      <c r="DC185" s="7">
        <v>8.0</v>
      </c>
      <c r="DL185" s="7">
        <v>1.0</v>
      </c>
      <c r="DM185" s="7">
        <v>3.0</v>
      </c>
      <c r="DN185" s="7">
        <v>1.0</v>
      </c>
      <c r="DO185" s="7">
        <v>1.0</v>
      </c>
      <c r="DQ185" s="7">
        <v>2.0</v>
      </c>
      <c r="DR185" s="7">
        <v>2.0</v>
      </c>
      <c r="DS185" s="7">
        <v>5.0</v>
      </c>
      <c r="DT185" s="7">
        <v>1.0</v>
      </c>
      <c r="DU185" s="7">
        <v>1.0</v>
      </c>
      <c r="DW185" s="7">
        <v>1.0</v>
      </c>
      <c r="EF185" s="7">
        <v>5.0</v>
      </c>
      <c r="EG185" s="7">
        <v>8.0</v>
      </c>
      <c r="EH185" s="7">
        <v>2.0</v>
      </c>
      <c r="EI185" s="7">
        <v>3.0</v>
      </c>
      <c r="EK185" s="7">
        <v>1.0</v>
      </c>
      <c r="ER185" s="7">
        <v>5.0</v>
      </c>
      <c r="EU185" s="7">
        <v>15.0</v>
      </c>
      <c r="FB185" s="7">
        <v>45.0</v>
      </c>
      <c r="FC185" s="7">
        <v>45.0</v>
      </c>
      <c r="GR185" s="87">
        <v>184.0</v>
      </c>
    </row>
    <row r="186">
      <c r="A186" s="5">
        <v>45931.487986747685</v>
      </c>
      <c r="B186" s="6">
        <v>45901.0</v>
      </c>
      <c r="C186" s="6">
        <v>45930.0</v>
      </c>
      <c r="D186" s="7" t="s">
        <v>258</v>
      </c>
      <c r="E186" s="7" t="s">
        <v>256</v>
      </c>
      <c r="F186" s="7">
        <v>2.0</v>
      </c>
      <c r="G186" s="7" t="s">
        <v>70</v>
      </c>
      <c r="H186" s="7" t="s">
        <v>76</v>
      </c>
      <c r="J186" s="7">
        <v>20.0</v>
      </c>
      <c r="GR186" s="87">
        <v>185.0</v>
      </c>
    </row>
    <row r="187">
      <c r="A187" s="5">
        <v>45931.49638943287</v>
      </c>
      <c r="B187" s="6">
        <v>45901.0</v>
      </c>
      <c r="C187" s="6">
        <v>45930.0</v>
      </c>
      <c r="D187" s="7" t="s">
        <v>27</v>
      </c>
      <c r="E187" s="7" t="s">
        <v>120</v>
      </c>
      <c r="F187" s="7">
        <v>2.0</v>
      </c>
      <c r="G187" s="7" t="s">
        <v>70</v>
      </c>
      <c r="H187" s="7" t="s">
        <v>76</v>
      </c>
      <c r="J187" s="7">
        <v>77.0</v>
      </c>
      <c r="BF187" s="7">
        <v>15.0</v>
      </c>
      <c r="BG187" s="7">
        <v>11.0</v>
      </c>
      <c r="BR187" s="7">
        <v>4.0</v>
      </c>
      <c r="BS187" s="7">
        <v>4.0</v>
      </c>
      <c r="BZ187" s="7">
        <v>30.0</v>
      </c>
      <c r="CA187" s="7">
        <v>22.0</v>
      </c>
      <c r="CB187" s="7">
        <v>15.0</v>
      </c>
      <c r="CC187" s="7">
        <v>9.0</v>
      </c>
      <c r="DB187" s="7">
        <v>11.0</v>
      </c>
      <c r="DC187" s="7">
        <v>6.0</v>
      </c>
      <c r="ER187" s="7">
        <v>15.0</v>
      </c>
      <c r="FB187" s="7">
        <v>30.0</v>
      </c>
      <c r="FC187" s="7">
        <v>15.0</v>
      </c>
      <c r="GR187" s="87">
        <v>186.0</v>
      </c>
    </row>
    <row r="188">
      <c r="A188" s="5">
        <v>45931.54139342593</v>
      </c>
      <c r="B188" s="6">
        <v>45901.0</v>
      </c>
      <c r="C188" s="6">
        <v>45930.0</v>
      </c>
      <c r="D188" s="7" t="s">
        <v>36</v>
      </c>
      <c r="E188" s="7" t="s">
        <v>183</v>
      </c>
      <c r="F188" s="7">
        <v>3.0</v>
      </c>
      <c r="G188" s="7" t="s">
        <v>70</v>
      </c>
      <c r="H188" s="7" t="s">
        <v>76</v>
      </c>
      <c r="J188" s="7">
        <v>80.0</v>
      </c>
      <c r="N188" s="7">
        <v>50.0</v>
      </c>
      <c r="T188" s="7">
        <v>30.0</v>
      </c>
      <c r="BF188" s="7">
        <v>15.0</v>
      </c>
      <c r="BG188" s="7">
        <v>12.0</v>
      </c>
      <c r="BR188" s="7">
        <v>12.0</v>
      </c>
      <c r="BS188" s="7">
        <v>8.0</v>
      </c>
      <c r="BZ188" s="7">
        <v>60.0</v>
      </c>
      <c r="CA188" s="7">
        <v>48.0</v>
      </c>
      <c r="CB188" s="7">
        <v>15.0</v>
      </c>
      <c r="CC188" s="7">
        <v>12.0</v>
      </c>
      <c r="CP188" s="7">
        <v>30.0</v>
      </c>
      <c r="CQ188" s="7">
        <v>14.0</v>
      </c>
      <c r="DB188" s="7">
        <v>30.0</v>
      </c>
      <c r="DC188" s="7">
        <v>12.0</v>
      </c>
      <c r="DL188" s="7">
        <v>4.0</v>
      </c>
      <c r="DM188" s="7">
        <v>3.0</v>
      </c>
      <c r="DP188" s="7">
        <v>1.0</v>
      </c>
      <c r="DR188" s="7">
        <v>1.0</v>
      </c>
      <c r="DT188" s="7">
        <v>5.0</v>
      </c>
      <c r="DU188" s="7">
        <v>4.0</v>
      </c>
      <c r="EF188" s="7">
        <v>6.0</v>
      </c>
      <c r="EG188" s="7">
        <v>4.0</v>
      </c>
      <c r="ER188" s="7">
        <v>15.0</v>
      </c>
      <c r="EX188" s="7">
        <v>10.0</v>
      </c>
      <c r="FB188" s="7">
        <v>60.0</v>
      </c>
      <c r="FC188" s="7">
        <v>15.0</v>
      </c>
      <c r="GR188" s="87">
        <v>187.0</v>
      </c>
    </row>
    <row r="189">
      <c r="A189" s="5">
        <v>45931.55500482639</v>
      </c>
      <c r="B189" s="6">
        <v>45901.0</v>
      </c>
      <c r="C189" s="6">
        <v>45930.0</v>
      </c>
      <c r="D189" s="7" t="s">
        <v>37</v>
      </c>
      <c r="E189" s="7" t="s">
        <v>87</v>
      </c>
      <c r="F189" s="7">
        <v>3.0</v>
      </c>
      <c r="G189" s="7" t="s">
        <v>70</v>
      </c>
      <c r="H189" s="7" t="s">
        <v>76</v>
      </c>
      <c r="J189" s="7">
        <v>54.0</v>
      </c>
      <c r="K189" s="7">
        <v>6.0</v>
      </c>
      <c r="N189" s="7">
        <v>10.0</v>
      </c>
      <c r="O189" s="7">
        <v>2.0</v>
      </c>
      <c r="AR189" s="7">
        <v>400.0</v>
      </c>
      <c r="AS189" s="7">
        <v>400.0</v>
      </c>
      <c r="BF189" s="7">
        <v>15.0</v>
      </c>
      <c r="BG189" s="7">
        <v>11.0</v>
      </c>
      <c r="BL189" s="7">
        <v>18.0</v>
      </c>
      <c r="BM189" s="7">
        <v>12.0</v>
      </c>
      <c r="BR189" s="7">
        <v>5.0</v>
      </c>
      <c r="BS189" s="7">
        <v>5.0</v>
      </c>
      <c r="BZ189" s="7">
        <v>30.0</v>
      </c>
      <c r="CA189" s="7">
        <v>20.0</v>
      </c>
      <c r="CB189" s="7">
        <v>15.0</v>
      </c>
      <c r="CC189" s="7">
        <v>10.0</v>
      </c>
      <c r="CH189" s="7">
        <v>15.0</v>
      </c>
      <c r="CI189" s="7">
        <v>8.0</v>
      </c>
      <c r="CL189" s="7">
        <v>12.0</v>
      </c>
      <c r="CM189" s="7">
        <v>7.0</v>
      </c>
      <c r="CN189" s="7">
        <v>22.0</v>
      </c>
      <c r="CO189" s="7">
        <v>12.0</v>
      </c>
      <c r="CP189" s="7">
        <v>35.0</v>
      </c>
      <c r="CQ189" s="7">
        <v>18.0</v>
      </c>
      <c r="DB189" s="7">
        <v>36.0</v>
      </c>
      <c r="DC189" s="7">
        <v>18.0</v>
      </c>
      <c r="DD189" s="7">
        <v>4.0</v>
      </c>
      <c r="DE189" s="7">
        <v>2.0</v>
      </c>
      <c r="DR189" s="7">
        <v>2.0</v>
      </c>
      <c r="DS189" s="7">
        <v>2.0</v>
      </c>
      <c r="EF189" s="7">
        <v>19.0</v>
      </c>
      <c r="EG189" s="7">
        <v>20.0</v>
      </c>
      <c r="ER189" s="7">
        <v>15.0</v>
      </c>
      <c r="EU189" s="7">
        <v>15.0</v>
      </c>
      <c r="FB189" s="7">
        <v>30.0</v>
      </c>
      <c r="GR189" s="87">
        <v>188.0</v>
      </c>
    </row>
    <row r="190">
      <c r="A190" s="5">
        <v>45933.30848736111</v>
      </c>
      <c r="B190" s="6">
        <v>45901.0</v>
      </c>
      <c r="C190" s="6">
        <v>45930.0</v>
      </c>
      <c r="D190" s="7" t="s">
        <v>127</v>
      </c>
      <c r="E190" s="7" t="s">
        <v>145</v>
      </c>
      <c r="F190" s="7">
        <v>4.0</v>
      </c>
      <c r="G190" s="7" t="s">
        <v>70</v>
      </c>
      <c r="H190" s="7" t="s">
        <v>76</v>
      </c>
      <c r="EF190" s="7">
        <v>2.0</v>
      </c>
      <c r="EG190" s="7">
        <v>1.0</v>
      </c>
      <c r="GR190" s="87">
        <v>189.0</v>
      </c>
    </row>
    <row r="191">
      <c r="A191" s="5">
        <v>45933.41171630787</v>
      </c>
      <c r="B191" s="6">
        <v>45901.0</v>
      </c>
      <c r="C191" s="6">
        <v>45930.0</v>
      </c>
      <c r="D191" s="7" t="s">
        <v>20</v>
      </c>
      <c r="E191" s="7" t="s">
        <v>77</v>
      </c>
      <c r="F191" s="7">
        <v>1.0</v>
      </c>
      <c r="G191" s="7" t="s">
        <v>70</v>
      </c>
      <c r="H191" s="7" t="s">
        <v>76</v>
      </c>
      <c r="J191" s="7">
        <v>174.0</v>
      </c>
      <c r="K191" s="7">
        <v>30.0</v>
      </c>
      <c r="L191" s="7">
        <v>43.0</v>
      </c>
      <c r="N191" s="7">
        <v>20.0</v>
      </c>
      <c r="O191" s="7">
        <v>5.0</v>
      </c>
      <c r="P191" s="7">
        <v>10.0</v>
      </c>
      <c r="T191" s="7">
        <v>160.0</v>
      </c>
      <c r="AA191" s="7">
        <v>1.0</v>
      </c>
      <c r="BF191" s="7">
        <v>10.0</v>
      </c>
      <c r="BG191" s="7">
        <v>8.0</v>
      </c>
      <c r="BJ191" s="7">
        <v>15.0</v>
      </c>
      <c r="BK191" s="7">
        <v>12.0</v>
      </c>
      <c r="BL191" s="7">
        <v>15.0</v>
      </c>
      <c r="BM191" s="7">
        <v>12.0</v>
      </c>
      <c r="BR191" s="7">
        <v>2.0</v>
      </c>
      <c r="BS191" s="7">
        <v>2.0</v>
      </c>
      <c r="BZ191" s="7">
        <v>30.0</v>
      </c>
      <c r="CA191" s="7">
        <v>24.0</v>
      </c>
      <c r="CP191" s="7">
        <v>21.0</v>
      </c>
      <c r="CQ191" s="7">
        <v>10.0</v>
      </c>
      <c r="CT191" s="7">
        <v>2.0</v>
      </c>
      <c r="CU191" s="7">
        <v>1.0</v>
      </c>
      <c r="DB191" s="7">
        <v>22.0</v>
      </c>
      <c r="DC191" s="7">
        <v>14.0</v>
      </c>
      <c r="DR191" s="7">
        <v>2.0</v>
      </c>
      <c r="DS191" s="7">
        <v>1.0</v>
      </c>
      <c r="EF191" s="7">
        <v>2.0</v>
      </c>
      <c r="EG191" s="7">
        <v>3.0</v>
      </c>
      <c r="ER191" s="7">
        <v>10.0</v>
      </c>
      <c r="ET191" s="7">
        <v>15.0</v>
      </c>
      <c r="EU191" s="7">
        <v>15.0</v>
      </c>
      <c r="EX191" s="7">
        <v>10.0</v>
      </c>
      <c r="FB191" s="7">
        <v>30.0</v>
      </c>
      <c r="GN191" s="7">
        <v>2.0</v>
      </c>
      <c r="GO191" s="7">
        <v>2.0</v>
      </c>
      <c r="GQ191" s="7">
        <v>20.0</v>
      </c>
      <c r="GR191" s="87">
        <v>190.0</v>
      </c>
    </row>
    <row r="192">
      <c r="A192" s="5">
        <v>45933.43636065972</v>
      </c>
      <c r="B192" s="6">
        <v>45901.0</v>
      </c>
      <c r="C192" s="6">
        <v>45930.0</v>
      </c>
      <c r="D192" s="7" t="s">
        <v>23</v>
      </c>
      <c r="E192" s="7" t="s">
        <v>92</v>
      </c>
      <c r="F192" s="7">
        <v>3.0</v>
      </c>
      <c r="G192" s="7" t="s">
        <v>70</v>
      </c>
      <c r="H192" s="7" t="s">
        <v>76</v>
      </c>
      <c r="J192" s="7">
        <v>117.0</v>
      </c>
      <c r="K192" s="7">
        <v>5.0</v>
      </c>
      <c r="L192" s="7">
        <v>1.0</v>
      </c>
      <c r="N192" s="7">
        <v>85.0</v>
      </c>
      <c r="BF192" s="7">
        <v>62.0</v>
      </c>
      <c r="BG192" s="7">
        <v>62.0</v>
      </c>
      <c r="BR192" s="7">
        <v>10.0</v>
      </c>
      <c r="BS192" s="7">
        <v>10.0</v>
      </c>
      <c r="BZ192" s="7">
        <v>15.0</v>
      </c>
      <c r="CA192" s="7">
        <v>15.0</v>
      </c>
      <c r="CP192" s="7">
        <v>20.0</v>
      </c>
      <c r="CQ192" s="7">
        <v>13.0</v>
      </c>
      <c r="CT192" s="7">
        <v>1.0</v>
      </c>
      <c r="CU192" s="7">
        <v>1.0</v>
      </c>
      <c r="DB192" s="7">
        <v>15.0</v>
      </c>
      <c r="DC192" s="7">
        <v>11.0</v>
      </c>
      <c r="DP192" s="7">
        <v>6.0</v>
      </c>
      <c r="DQ192" s="7">
        <v>4.0</v>
      </c>
      <c r="DR192" s="7">
        <v>12.0</v>
      </c>
      <c r="DS192" s="7">
        <v>8.0</v>
      </c>
      <c r="DY192" s="7">
        <v>1.0</v>
      </c>
      <c r="EF192" s="7">
        <v>6.0</v>
      </c>
      <c r="EG192" s="7">
        <v>4.0</v>
      </c>
      <c r="ER192" s="7">
        <v>30.0</v>
      </c>
      <c r="EX192" s="7">
        <v>5.0</v>
      </c>
      <c r="FB192" s="7">
        <v>15.0</v>
      </c>
      <c r="GR192" s="87">
        <v>191.0</v>
      </c>
    </row>
    <row r="193">
      <c r="A193" s="5">
        <v>45933.443268773146</v>
      </c>
      <c r="B193" s="6">
        <v>45901.0</v>
      </c>
      <c r="C193" s="6">
        <v>45930.0</v>
      </c>
      <c r="D193" s="7" t="s">
        <v>38</v>
      </c>
      <c r="E193" s="7" t="s">
        <v>188</v>
      </c>
      <c r="F193" s="7">
        <v>2.0</v>
      </c>
      <c r="G193" s="7" t="s">
        <v>70</v>
      </c>
      <c r="H193" s="7" t="s">
        <v>76</v>
      </c>
      <c r="J193" s="7">
        <v>60.0</v>
      </c>
      <c r="N193" s="7">
        <v>30.0</v>
      </c>
      <c r="BR193" s="7">
        <v>5.0</v>
      </c>
      <c r="BS193" s="7">
        <v>5.0</v>
      </c>
      <c r="BZ193" s="7">
        <v>15.0</v>
      </c>
      <c r="CA193" s="7">
        <v>8.0</v>
      </c>
      <c r="DB193" s="7">
        <v>15.0</v>
      </c>
      <c r="DC193" s="7">
        <v>6.0</v>
      </c>
      <c r="EH193" s="7">
        <v>2.0</v>
      </c>
      <c r="EI193" s="7">
        <v>2.0</v>
      </c>
      <c r="FB193" s="7">
        <v>30.0</v>
      </c>
      <c r="FR193" s="7">
        <v>15.0</v>
      </c>
      <c r="GR193" s="87">
        <v>192.0</v>
      </c>
    </row>
    <row r="194">
      <c r="A194" s="5">
        <v>45933.49405828703</v>
      </c>
      <c r="B194" s="6">
        <v>45901.0</v>
      </c>
      <c r="C194" s="6">
        <v>45930.0</v>
      </c>
      <c r="D194" s="7" t="s">
        <v>32</v>
      </c>
      <c r="E194" s="7" t="s">
        <v>134</v>
      </c>
      <c r="F194" s="7">
        <v>3.0</v>
      </c>
      <c r="G194" s="7" t="s">
        <v>70</v>
      </c>
      <c r="H194" s="7" t="s">
        <v>76</v>
      </c>
      <c r="J194" s="7">
        <v>63.0</v>
      </c>
      <c r="N194" s="7">
        <v>28.0</v>
      </c>
      <c r="BF194" s="7">
        <v>5.0</v>
      </c>
      <c r="BG194" s="7">
        <v>5.0</v>
      </c>
      <c r="BJ194" s="7">
        <v>13.0</v>
      </c>
      <c r="BK194" s="7">
        <v>13.0</v>
      </c>
      <c r="BL194" s="7">
        <v>16.0</v>
      </c>
      <c r="BM194" s="7">
        <v>16.0</v>
      </c>
      <c r="BN194" s="7">
        <v>18.0</v>
      </c>
      <c r="BO194" s="7">
        <v>18.0</v>
      </c>
      <c r="BR194" s="7">
        <v>5.0</v>
      </c>
      <c r="BS194" s="7">
        <v>3.0</v>
      </c>
      <c r="BZ194" s="7">
        <v>26.0</v>
      </c>
      <c r="CA194" s="7">
        <v>26.0</v>
      </c>
      <c r="CL194" s="7">
        <v>3.0</v>
      </c>
      <c r="CM194" s="7">
        <v>2.0</v>
      </c>
      <c r="CN194" s="7">
        <v>5.0</v>
      </c>
      <c r="CO194" s="7">
        <v>4.0</v>
      </c>
      <c r="CP194" s="7">
        <v>4.0</v>
      </c>
      <c r="CQ194" s="7">
        <v>3.0</v>
      </c>
      <c r="CT194" s="7">
        <v>1.0</v>
      </c>
      <c r="DB194" s="7">
        <v>5.0</v>
      </c>
      <c r="DC194" s="7">
        <v>3.0</v>
      </c>
      <c r="DR194" s="7">
        <v>4.0</v>
      </c>
      <c r="DS194" s="7">
        <v>2.0</v>
      </c>
      <c r="DT194" s="7">
        <v>8.0</v>
      </c>
      <c r="DU194" s="7">
        <v>7.0</v>
      </c>
      <c r="DY194" s="7">
        <v>1.0</v>
      </c>
      <c r="EF194" s="7">
        <v>9.0</v>
      </c>
      <c r="EG194" s="7">
        <v>6.0</v>
      </c>
      <c r="ER194" s="7">
        <v>5.0</v>
      </c>
      <c r="FB194" s="7">
        <v>30.0</v>
      </c>
      <c r="GR194" s="87">
        <v>193.0</v>
      </c>
    </row>
    <row r="195">
      <c r="A195" s="5">
        <v>45933.556431516205</v>
      </c>
      <c r="B195" s="6">
        <v>45901.0</v>
      </c>
      <c r="C195" s="6">
        <v>45930.0</v>
      </c>
      <c r="D195" s="7" t="s">
        <v>34</v>
      </c>
      <c r="E195" s="7" t="s">
        <v>169</v>
      </c>
      <c r="F195" s="7">
        <v>1.0</v>
      </c>
      <c r="G195" s="7" t="s">
        <v>70</v>
      </c>
      <c r="H195" s="7" t="s">
        <v>76</v>
      </c>
      <c r="J195" s="7">
        <v>50.0</v>
      </c>
      <c r="T195" s="7">
        <v>60.0</v>
      </c>
      <c r="BJ195" s="7">
        <v>15.0</v>
      </c>
      <c r="BK195" s="7">
        <v>12.0</v>
      </c>
      <c r="BL195" s="7">
        <v>15.0</v>
      </c>
      <c r="BM195" s="7">
        <v>13.0</v>
      </c>
      <c r="BZ195" s="7">
        <v>30.0</v>
      </c>
      <c r="CA195" s="7">
        <v>20.0</v>
      </c>
      <c r="CP195" s="7">
        <v>20.0</v>
      </c>
      <c r="CQ195" s="7">
        <v>12.0</v>
      </c>
      <c r="DB195" s="7">
        <v>18.0</v>
      </c>
      <c r="DC195" s="7">
        <v>12.0</v>
      </c>
      <c r="DL195" s="7">
        <v>3.0</v>
      </c>
      <c r="DM195" s="7">
        <v>3.0</v>
      </c>
      <c r="DR195" s="7">
        <v>8.0</v>
      </c>
      <c r="DS195" s="7">
        <v>8.0</v>
      </c>
      <c r="EF195" s="7">
        <v>5.0</v>
      </c>
      <c r="EG195" s="7">
        <v>5.0</v>
      </c>
      <c r="ET195" s="7">
        <v>15.0</v>
      </c>
      <c r="EU195" s="7">
        <v>15.0</v>
      </c>
      <c r="FB195" s="7">
        <v>30.0</v>
      </c>
      <c r="GR195" s="87">
        <v>194.0</v>
      </c>
    </row>
    <row r="196">
      <c r="A196" s="5">
        <v>45933.56022</v>
      </c>
      <c r="B196" s="6">
        <v>45901.0</v>
      </c>
      <c r="C196" s="6">
        <v>45930.0</v>
      </c>
      <c r="D196" s="7" t="s">
        <v>42</v>
      </c>
      <c r="E196" s="7" t="s">
        <v>279</v>
      </c>
      <c r="F196" s="7">
        <v>2.0</v>
      </c>
      <c r="G196" s="7" t="s">
        <v>70</v>
      </c>
      <c r="H196" s="7" t="s">
        <v>76</v>
      </c>
      <c r="J196" s="7">
        <v>20.0</v>
      </c>
      <c r="GR196" s="87">
        <v>195.0</v>
      </c>
    </row>
    <row r="197">
      <c r="A197" s="5">
        <v>45934.50631415509</v>
      </c>
      <c r="B197" s="6">
        <v>45901.0</v>
      </c>
      <c r="C197" s="6">
        <v>45930.0</v>
      </c>
      <c r="D197" s="7" t="s">
        <v>30</v>
      </c>
      <c r="E197" s="7" t="s">
        <v>237</v>
      </c>
      <c r="F197" s="7">
        <v>2.0</v>
      </c>
      <c r="G197" s="7" t="s">
        <v>70</v>
      </c>
      <c r="H197" s="7" t="s">
        <v>76</v>
      </c>
      <c r="J197" s="7">
        <v>10.0</v>
      </c>
      <c r="GR197" s="87">
        <v>196.0</v>
      </c>
    </row>
    <row r="198">
      <c r="A198" s="5">
        <v>45961.420017094904</v>
      </c>
      <c r="B198" s="6">
        <v>45931.0</v>
      </c>
      <c r="C198" s="6">
        <v>45961.0</v>
      </c>
      <c r="D198" s="7" t="s">
        <v>26</v>
      </c>
      <c r="E198" s="7" t="s">
        <v>104</v>
      </c>
      <c r="F198" s="7">
        <v>3.0</v>
      </c>
      <c r="G198" s="7" t="s">
        <v>70</v>
      </c>
      <c r="H198" s="7" t="s">
        <v>76</v>
      </c>
      <c r="J198" s="7">
        <v>4.0</v>
      </c>
      <c r="GR198" s="87">
        <v>197.0</v>
      </c>
    </row>
    <row r="199">
      <c r="A199" s="5">
        <v>45961.42627924768</v>
      </c>
      <c r="B199" s="6">
        <v>45931.0</v>
      </c>
      <c r="C199" s="6">
        <v>45961.0</v>
      </c>
      <c r="D199" s="7" t="s">
        <v>24</v>
      </c>
      <c r="E199" s="7" t="s">
        <v>158</v>
      </c>
      <c r="F199" s="7">
        <v>3.0</v>
      </c>
      <c r="G199" s="7" t="s">
        <v>70</v>
      </c>
      <c r="H199" s="7" t="s">
        <v>76</v>
      </c>
      <c r="J199" s="7">
        <v>4.0</v>
      </c>
      <c r="EX199" s="7">
        <v>10.0</v>
      </c>
      <c r="GR199" s="87">
        <v>198.0</v>
      </c>
    </row>
    <row r="200">
      <c r="A200" s="5">
        <v>45961.524748842596</v>
      </c>
      <c r="B200" s="6">
        <v>45931.0</v>
      </c>
      <c r="C200" s="6">
        <v>45961.0</v>
      </c>
      <c r="D200" s="7" t="s">
        <v>213</v>
      </c>
      <c r="E200" s="7" t="s">
        <v>231</v>
      </c>
      <c r="F200" s="7">
        <v>3.0</v>
      </c>
      <c r="G200" s="7" t="s">
        <v>70</v>
      </c>
      <c r="H200" s="7" t="s">
        <v>76</v>
      </c>
      <c r="J200" s="7">
        <v>8.0</v>
      </c>
      <c r="N200" s="7">
        <v>5.0</v>
      </c>
      <c r="GR200" s="87">
        <v>199.0</v>
      </c>
    </row>
    <row r="201">
      <c r="A201" s="5">
        <v>45961.70280460648</v>
      </c>
      <c r="B201" s="6">
        <v>45931.0</v>
      </c>
      <c r="C201" s="6">
        <v>45961.0</v>
      </c>
      <c r="D201" s="7" t="s">
        <v>201</v>
      </c>
      <c r="E201" s="7" t="s">
        <v>199</v>
      </c>
      <c r="F201" s="7">
        <v>2.0</v>
      </c>
      <c r="G201" s="7" t="s">
        <v>70</v>
      </c>
      <c r="H201" s="7" t="s">
        <v>76</v>
      </c>
      <c r="J201" s="7">
        <v>8.0</v>
      </c>
      <c r="N201" s="7">
        <v>4.0</v>
      </c>
      <c r="AH201" s="7">
        <v>2700.0</v>
      </c>
      <c r="GR201" s="87">
        <v>200.0</v>
      </c>
    </row>
    <row r="202">
      <c r="A202" s="5">
        <v>45962.31794753472</v>
      </c>
      <c r="B202" s="6">
        <v>45931.0</v>
      </c>
      <c r="C202" s="6">
        <v>45961.0</v>
      </c>
      <c r="D202" s="7" t="s">
        <v>32</v>
      </c>
      <c r="E202" s="7" t="s">
        <v>134</v>
      </c>
      <c r="F202" s="7">
        <v>3.0</v>
      </c>
      <c r="G202" s="7" t="s">
        <v>70</v>
      </c>
      <c r="H202" s="7" t="s">
        <v>76</v>
      </c>
      <c r="J202" s="7">
        <v>10.0</v>
      </c>
      <c r="N202" s="7">
        <v>4.0</v>
      </c>
      <c r="AH202" s="7">
        <v>1900.0</v>
      </c>
      <c r="ET202" s="7">
        <v>15.0</v>
      </c>
      <c r="EX202" s="7">
        <v>10.0</v>
      </c>
      <c r="FB202" s="7">
        <v>30.0</v>
      </c>
      <c r="GR202" s="87">
        <v>201.0</v>
      </c>
    </row>
    <row r="203">
      <c r="A203" s="5">
        <v>45962.41853951389</v>
      </c>
      <c r="B203" s="6">
        <v>45931.0</v>
      </c>
      <c r="C203" s="6">
        <v>45961.0</v>
      </c>
      <c r="D203" s="7" t="s">
        <v>31</v>
      </c>
      <c r="E203" s="7" t="s">
        <v>140</v>
      </c>
      <c r="F203" s="7">
        <v>3.0</v>
      </c>
      <c r="G203" s="7" t="s">
        <v>70</v>
      </c>
      <c r="H203" s="7" t="s">
        <v>76</v>
      </c>
      <c r="J203" s="7">
        <v>31.0</v>
      </c>
      <c r="N203" s="7">
        <v>3.0</v>
      </c>
      <c r="AH203" s="7">
        <v>1600.0</v>
      </c>
      <c r="ER203" s="7">
        <v>10.0</v>
      </c>
      <c r="EU203" s="7">
        <v>5.0</v>
      </c>
      <c r="EX203" s="7">
        <v>10.0</v>
      </c>
      <c r="FB203" s="7">
        <v>60.0</v>
      </c>
      <c r="FC203" s="7">
        <v>30.0</v>
      </c>
      <c r="GR203" s="87">
        <v>202.0</v>
      </c>
    </row>
    <row r="204">
      <c r="A204" s="5">
        <v>45962.4321100463</v>
      </c>
      <c r="B204" s="6">
        <v>45931.0</v>
      </c>
      <c r="C204" s="6">
        <v>45961.0</v>
      </c>
      <c r="D204" s="7" t="s">
        <v>192</v>
      </c>
      <c r="E204" s="7" t="s">
        <v>194</v>
      </c>
      <c r="F204" s="7">
        <v>4.0</v>
      </c>
      <c r="G204" s="7" t="s">
        <v>70</v>
      </c>
      <c r="H204" s="7" t="s">
        <v>76</v>
      </c>
      <c r="BZ204" s="7">
        <v>20.0</v>
      </c>
      <c r="CA204" s="7">
        <v>10.0</v>
      </c>
      <c r="CL204" s="7">
        <v>8.0</v>
      </c>
      <c r="CM204" s="7">
        <v>5.0</v>
      </c>
      <c r="DB204" s="7">
        <v>8.0</v>
      </c>
      <c r="DC204" s="7">
        <v>5.0</v>
      </c>
      <c r="FB204" s="7">
        <v>20.0</v>
      </c>
      <c r="GR204" s="87">
        <v>203.0</v>
      </c>
    </row>
    <row r="205">
      <c r="A205" s="5">
        <v>45962.477996180554</v>
      </c>
      <c r="B205" s="6">
        <v>45931.0</v>
      </c>
      <c r="C205" s="6">
        <v>45961.0</v>
      </c>
      <c r="D205" s="7" t="s">
        <v>38</v>
      </c>
      <c r="E205" s="7" t="s">
        <v>188</v>
      </c>
      <c r="F205" s="7">
        <v>2.0</v>
      </c>
      <c r="G205" s="7" t="s">
        <v>70</v>
      </c>
      <c r="H205" s="7" t="s">
        <v>76</v>
      </c>
      <c r="J205" s="7">
        <v>50.0</v>
      </c>
      <c r="N205" s="7">
        <v>25.0</v>
      </c>
      <c r="AH205" s="7">
        <v>2150.0</v>
      </c>
      <c r="AI205" s="7">
        <v>1300.0</v>
      </c>
      <c r="AJ205" s="7">
        <v>1300.0</v>
      </c>
      <c r="BR205" s="7">
        <v>2.0</v>
      </c>
      <c r="BS205" s="7">
        <v>2.0</v>
      </c>
      <c r="BZ205" s="7">
        <v>25.0</v>
      </c>
      <c r="CA205" s="7">
        <v>13.0</v>
      </c>
      <c r="CN205" s="7">
        <v>8.0</v>
      </c>
      <c r="CO205" s="7">
        <v>4.0</v>
      </c>
      <c r="CT205" s="7">
        <v>5.0</v>
      </c>
      <c r="CU205" s="7">
        <v>2.0</v>
      </c>
      <c r="DB205" s="7">
        <v>8.0</v>
      </c>
      <c r="DC205" s="7">
        <v>4.0</v>
      </c>
      <c r="EX205" s="7">
        <v>5.0</v>
      </c>
      <c r="FB205" s="7">
        <v>45.0</v>
      </c>
      <c r="FR205" s="7">
        <v>20.0</v>
      </c>
      <c r="GR205" s="87">
        <v>204.0</v>
      </c>
    </row>
    <row r="206">
      <c r="A206" s="5">
        <v>45962.48249444444</v>
      </c>
      <c r="B206" s="6">
        <v>45931.0</v>
      </c>
      <c r="C206" s="6">
        <v>45961.0</v>
      </c>
      <c r="D206" s="7" t="s">
        <v>25</v>
      </c>
      <c r="E206" s="7" t="s">
        <v>246</v>
      </c>
      <c r="F206" s="7">
        <v>2.0</v>
      </c>
      <c r="G206" s="7" t="s">
        <v>70</v>
      </c>
      <c r="H206" s="7" t="s">
        <v>76</v>
      </c>
      <c r="J206" s="7">
        <v>60.0</v>
      </c>
      <c r="N206" s="7">
        <v>25.0</v>
      </c>
      <c r="AH206" s="7">
        <v>2000.0</v>
      </c>
      <c r="AI206" s="7">
        <v>1500.0</v>
      </c>
      <c r="AJ206" s="7">
        <v>1500.0</v>
      </c>
      <c r="BL206" s="7">
        <v>10.0</v>
      </c>
      <c r="BM206" s="7">
        <v>5.0</v>
      </c>
      <c r="BR206" s="7">
        <v>5.0</v>
      </c>
      <c r="BS206" s="7">
        <v>5.0</v>
      </c>
      <c r="BZ206" s="7">
        <v>10.0</v>
      </c>
      <c r="CA206" s="7">
        <v>5.0</v>
      </c>
      <c r="CP206" s="7">
        <v>5.0</v>
      </c>
      <c r="CQ206" s="7">
        <v>2.0</v>
      </c>
      <c r="CT206" s="7">
        <v>2.0</v>
      </c>
      <c r="DB206" s="7">
        <v>5.0</v>
      </c>
      <c r="DC206" s="7">
        <v>3.0</v>
      </c>
      <c r="EX206" s="7">
        <v>5.0</v>
      </c>
      <c r="GR206" s="87">
        <v>205.0</v>
      </c>
    </row>
    <row r="207">
      <c r="A207" s="5">
        <v>45962.49139519676</v>
      </c>
      <c r="B207" s="6">
        <v>45931.0</v>
      </c>
      <c r="C207" s="6">
        <v>45961.0</v>
      </c>
      <c r="D207" s="7" t="s">
        <v>212</v>
      </c>
      <c r="E207" s="7" t="s">
        <v>227</v>
      </c>
      <c r="F207" s="7">
        <v>3.0</v>
      </c>
      <c r="G207" s="7" t="s">
        <v>70</v>
      </c>
      <c r="H207" s="7" t="s">
        <v>76</v>
      </c>
      <c r="J207" s="7">
        <v>5.0</v>
      </c>
      <c r="GR207" s="87">
        <v>206.0</v>
      </c>
    </row>
    <row r="208">
      <c r="A208" s="5">
        <v>45962.49604886574</v>
      </c>
      <c r="B208" s="6">
        <v>45931.0</v>
      </c>
      <c r="C208" s="6">
        <v>45961.0</v>
      </c>
      <c r="D208" s="7" t="s">
        <v>33</v>
      </c>
      <c r="E208" s="7" t="s">
        <v>151</v>
      </c>
      <c r="F208" s="7">
        <v>2.0</v>
      </c>
      <c r="G208" s="7" t="s">
        <v>70</v>
      </c>
      <c r="H208" s="7" t="s">
        <v>76</v>
      </c>
      <c r="J208" s="7">
        <v>33.0</v>
      </c>
      <c r="K208" s="7">
        <v>1.0</v>
      </c>
      <c r="N208" s="7">
        <v>13.0</v>
      </c>
      <c r="AH208" s="7">
        <v>3550.0</v>
      </c>
      <c r="AI208" s="7">
        <v>1200.0</v>
      </c>
      <c r="AJ208" s="7">
        <v>1200.0</v>
      </c>
      <c r="BJ208" s="7">
        <v>15.0</v>
      </c>
      <c r="BK208" s="7">
        <v>8.0</v>
      </c>
      <c r="BR208" s="7">
        <v>6.0</v>
      </c>
      <c r="BS208" s="7">
        <v>6.0</v>
      </c>
      <c r="BZ208" s="7">
        <v>30.0</v>
      </c>
      <c r="CA208" s="7">
        <v>15.0</v>
      </c>
      <c r="CP208" s="7">
        <v>4.0</v>
      </c>
      <c r="CQ208" s="7">
        <v>2.0</v>
      </c>
      <c r="CT208" s="7">
        <v>3.0</v>
      </c>
      <c r="CU208" s="7">
        <v>2.0</v>
      </c>
      <c r="DR208" s="7">
        <v>1.0</v>
      </c>
      <c r="ET208" s="7">
        <v>15.0</v>
      </c>
      <c r="EX208" s="7">
        <v>10.0</v>
      </c>
      <c r="FB208" s="7">
        <v>30.0</v>
      </c>
      <c r="GR208" s="87">
        <v>207.0</v>
      </c>
    </row>
    <row r="209">
      <c r="A209" s="5">
        <v>45962.49874546296</v>
      </c>
      <c r="B209" s="6">
        <v>45931.0</v>
      </c>
      <c r="C209" s="6">
        <v>45961.0</v>
      </c>
      <c r="D209" s="7" t="s">
        <v>269</v>
      </c>
      <c r="E209" s="7" t="s">
        <v>267</v>
      </c>
      <c r="F209" s="7">
        <v>2.0</v>
      </c>
      <c r="G209" s="7" t="s">
        <v>70</v>
      </c>
      <c r="H209" s="7" t="s">
        <v>76</v>
      </c>
      <c r="J209" s="7">
        <v>90.0</v>
      </c>
      <c r="N209" s="7">
        <v>47.0</v>
      </c>
      <c r="AH209" s="7">
        <v>3100.0</v>
      </c>
      <c r="AI209" s="7">
        <v>1500.0</v>
      </c>
      <c r="AJ209" s="7">
        <v>1500.0</v>
      </c>
      <c r="BJ209" s="7">
        <v>15.0</v>
      </c>
      <c r="BK209" s="7">
        <v>15.0</v>
      </c>
      <c r="BR209" s="7">
        <v>5.0</v>
      </c>
      <c r="BS209" s="7">
        <v>5.0</v>
      </c>
      <c r="BZ209" s="7">
        <v>45.0</v>
      </c>
      <c r="CA209" s="7">
        <v>45.0</v>
      </c>
      <c r="CP209" s="7">
        <v>26.0</v>
      </c>
      <c r="CQ209" s="7">
        <v>16.0</v>
      </c>
      <c r="CT209" s="7">
        <v>5.0</v>
      </c>
      <c r="CU209" s="7">
        <v>1.0</v>
      </c>
      <c r="DB209" s="7">
        <v>27.0</v>
      </c>
      <c r="DC209" s="7">
        <v>15.0</v>
      </c>
      <c r="EF209" s="7">
        <v>8.0</v>
      </c>
      <c r="EG209" s="7">
        <v>6.0</v>
      </c>
      <c r="ET209" s="7">
        <v>15.0</v>
      </c>
      <c r="EX209" s="7">
        <v>5.0</v>
      </c>
      <c r="FB209" s="7">
        <v>45.0</v>
      </c>
      <c r="GR209" s="87">
        <v>208.0</v>
      </c>
    </row>
    <row r="210">
      <c r="A210" s="5">
        <v>45962.559001319445</v>
      </c>
      <c r="B210" s="6">
        <v>45931.0</v>
      </c>
      <c r="C210" s="6">
        <v>45961.0</v>
      </c>
      <c r="D210" s="7" t="s">
        <v>37</v>
      </c>
      <c r="E210" s="7" t="s">
        <v>87</v>
      </c>
      <c r="F210" s="7">
        <v>3.0</v>
      </c>
      <c r="G210" s="7" t="s">
        <v>70</v>
      </c>
      <c r="H210" s="7" t="s">
        <v>76</v>
      </c>
      <c r="J210" s="7">
        <v>35.0</v>
      </c>
      <c r="K210" s="7">
        <v>7.0</v>
      </c>
      <c r="N210" s="7">
        <v>5.0</v>
      </c>
      <c r="O210" s="7">
        <v>8.0</v>
      </c>
      <c r="AH210" s="7">
        <v>1750.0</v>
      </c>
      <c r="AW210" s="7">
        <v>800.0</v>
      </c>
      <c r="AX210" s="7">
        <v>800.0</v>
      </c>
      <c r="AY210" s="7">
        <v>800.0</v>
      </c>
      <c r="FB210" s="7">
        <v>75.0</v>
      </c>
      <c r="GR210" s="87">
        <v>209.0</v>
      </c>
    </row>
    <row r="211">
      <c r="A211" s="5">
        <v>45962.574175625</v>
      </c>
      <c r="B211" s="6">
        <v>45931.0</v>
      </c>
      <c r="C211" s="6">
        <v>45961.0</v>
      </c>
      <c r="D211" s="7" t="s">
        <v>23</v>
      </c>
      <c r="E211" s="7" t="s">
        <v>92</v>
      </c>
      <c r="F211" s="7">
        <v>3.0</v>
      </c>
      <c r="G211" s="7" t="s">
        <v>70</v>
      </c>
      <c r="H211" s="7" t="s">
        <v>76</v>
      </c>
      <c r="J211" s="7">
        <v>9.0</v>
      </c>
      <c r="K211" s="7">
        <v>1.0</v>
      </c>
      <c r="L211" s="7">
        <v>2.0</v>
      </c>
      <c r="N211" s="7">
        <v>8.0</v>
      </c>
      <c r="AH211" s="7">
        <v>1650.0</v>
      </c>
      <c r="ET211" s="7">
        <v>15.0</v>
      </c>
      <c r="EX211" s="7">
        <v>10.0</v>
      </c>
      <c r="FB211" s="7">
        <v>30.0</v>
      </c>
      <c r="GR211" s="87">
        <v>210.0</v>
      </c>
    </row>
    <row r="212">
      <c r="A212" s="5">
        <v>45963.207882511575</v>
      </c>
      <c r="B212" s="6">
        <v>45931.0</v>
      </c>
      <c r="C212" s="6">
        <v>45961.0</v>
      </c>
      <c r="D212" s="7" t="s">
        <v>29</v>
      </c>
      <c r="E212" s="7" t="s">
        <v>110</v>
      </c>
      <c r="F212" s="7">
        <v>3.0</v>
      </c>
      <c r="G212" s="7" t="s">
        <v>70</v>
      </c>
      <c r="H212" s="7" t="s">
        <v>76</v>
      </c>
      <c r="J212" s="7">
        <v>23.0</v>
      </c>
      <c r="N212" s="7">
        <v>5.0</v>
      </c>
      <c r="ET212" s="7">
        <v>15.0</v>
      </c>
      <c r="EX212" s="7">
        <v>10.0</v>
      </c>
      <c r="FB212" s="7">
        <v>15.0</v>
      </c>
      <c r="GR212" s="87">
        <v>211.0</v>
      </c>
    </row>
    <row r="213">
      <c r="A213" s="5">
        <v>45963.41026145833</v>
      </c>
      <c r="B213" s="6">
        <v>45931.0</v>
      </c>
      <c r="C213" s="6">
        <v>45961.0</v>
      </c>
      <c r="D213" s="7" t="s">
        <v>35</v>
      </c>
      <c r="E213" s="7" t="s">
        <v>283</v>
      </c>
      <c r="F213" s="7">
        <v>2.0</v>
      </c>
      <c r="G213" s="7" t="s">
        <v>70</v>
      </c>
      <c r="H213" s="7" t="s">
        <v>76</v>
      </c>
      <c r="J213" s="7">
        <v>40.0</v>
      </c>
      <c r="N213" s="7">
        <v>40.0</v>
      </c>
      <c r="AH213" s="7">
        <v>4250.0</v>
      </c>
      <c r="AI213" s="7">
        <v>1500.0</v>
      </c>
      <c r="AJ213" s="7">
        <v>1500.0</v>
      </c>
      <c r="BZ213" s="7">
        <v>30.0</v>
      </c>
      <c r="CA213" s="7">
        <v>20.0</v>
      </c>
      <c r="CT213" s="7">
        <v>5.0</v>
      </c>
      <c r="CU213" s="7">
        <v>2.0</v>
      </c>
      <c r="DL213" s="7">
        <v>3.0</v>
      </c>
      <c r="DM213" s="7">
        <v>3.0</v>
      </c>
      <c r="DP213" s="7">
        <v>3.0</v>
      </c>
      <c r="DQ213" s="7">
        <v>3.0</v>
      </c>
      <c r="DR213" s="7">
        <v>3.0</v>
      </c>
      <c r="DS213" s="7">
        <v>3.0</v>
      </c>
      <c r="EX213" s="7">
        <v>10.0</v>
      </c>
      <c r="FB213" s="7">
        <v>30.0</v>
      </c>
      <c r="GR213" s="87">
        <v>212.0</v>
      </c>
    </row>
    <row r="214">
      <c r="A214" s="5">
        <v>45964.47218892361</v>
      </c>
      <c r="B214" s="6">
        <v>45931.0</v>
      </c>
      <c r="C214" s="6">
        <v>45961.0</v>
      </c>
      <c r="D214" s="7" t="s">
        <v>41</v>
      </c>
      <c r="E214" s="7" t="s">
        <v>251</v>
      </c>
      <c r="F214" s="7">
        <v>2.0</v>
      </c>
      <c r="G214" s="7" t="s">
        <v>70</v>
      </c>
      <c r="H214" s="7" t="s">
        <v>76</v>
      </c>
      <c r="J214" s="7">
        <v>115.0</v>
      </c>
      <c r="N214" s="7">
        <v>30.0</v>
      </c>
      <c r="Q214" s="7">
        <v>1.0</v>
      </c>
      <c r="R214" s="7">
        <v>31.0</v>
      </c>
      <c r="S214" s="7">
        <v>52.0</v>
      </c>
      <c r="Y214" s="7">
        <v>19.0</v>
      </c>
      <c r="AA214" s="7">
        <v>1.0</v>
      </c>
      <c r="AH214" s="7">
        <v>3100.0</v>
      </c>
      <c r="AI214" s="7">
        <v>1250.0</v>
      </c>
      <c r="AJ214" s="7">
        <v>1250.0</v>
      </c>
      <c r="BR214" s="7">
        <v>4.0</v>
      </c>
      <c r="BS214" s="7">
        <v>4.0</v>
      </c>
      <c r="BZ214" s="7">
        <v>20.0</v>
      </c>
      <c r="CA214" s="7">
        <v>16.0</v>
      </c>
      <c r="CH214" s="7">
        <v>28.0</v>
      </c>
      <c r="CI214" s="7">
        <v>16.0</v>
      </c>
      <c r="CL214" s="7">
        <v>11.0</v>
      </c>
      <c r="CM214" s="7">
        <v>7.0</v>
      </c>
      <c r="CN214" s="7">
        <v>20.0</v>
      </c>
      <c r="CO214" s="7">
        <v>12.0</v>
      </c>
      <c r="CP214" s="7">
        <v>16.0</v>
      </c>
      <c r="CQ214" s="7">
        <v>9.0</v>
      </c>
      <c r="CT214" s="7">
        <v>10.0</v>
      </c>
      <c r="CU214" s="7">
        <v>3.0</v>
      </c>
      <c r="DB214" s="7">
        <v>30.0</v>
      </c>
      <c r="DC214" s="7">
        <v>18.0</v>
      </c>
      <c r="DD214" s="7">
        <v>29.0</v>
      </c>
      <c r="DE214" s="7">
        <v>14.0</v>
      </c>
      <c r="EF214" s="7">
        <v>3.0</v>
      </c>
      <c r="EG214" s="7">
        <v>3.0</v>
      </c>
      <c r="EH214" s="7">
        <v>3.0</v>
      </c>
      <c r="EI214" s="7">
        <v>2.0</v>
      </c>
      <c r="GR214" s="87">
        <v>213.0</v>
      </c>
    </row>
    <row r="215">
      <c r="A215" s="5">
        <v>45964.493544108795</v>
      </c>
      <c r="B215" s="6">
        <v>45931.0</v>
      </c>
      <c r="C215" s="6">
        <v>45961.0</v>
      </c>
      <c r="D215" s="7" t="s">
        <v>27</v>
      </c>
      <c r="E215" s="7" t="s">
        <v>120</v>
      </c>
      <c r="F215" s="7">
        <v>2.0</v>
      </c>
      <c r="G215" s="7" t="s">
        <v>70</v>
      </c>
      <c r="H215" s="7" t="s">
        <v>76</v>
      </c>
      <c r="J215" s="7">
        <v>73.0</v>
      </c>
      <c r="N215" s="7">
        <v>25.0</v>
      </c>
      <c r="AH215" s="7">
        <v>2450.0</v>
      </c>
      <c r="AI215" s="7">
        <v>1200.0</v>
      </c>
      <c r="AJ215" s="7">
        <v>1200.0</v>
      </c>
      <c r="BF215" s="7">
        <v>5.0</v>
      </c>
      <c r="BG215" s="7">
        <v>4.0</v>
      </c>
      <c r="BL215" s="7">
        <v>15.0</v>
      </c>
      <c r="BM215" s="7">
        <v>11.0</v>
      </c>
      <c r="BR215" s="7">
        <v>2.0</v>
      </c>
      <c r="BS215" s="7">
        <v>2.0</v>
      </c>
      <c r="BZ215" s="7">
        <v>30.0</v>
      </c>
      <c r="CA215" s="7">
        <v>24.0</v>
      </c>
      <c r="CP215" s="7">
        <v>16.0</v>
      </c>
      <c r="CQ215" s="7">
        <v>10.0</v>
      </c>
      <c r="CT215" s="7">
        <v>10.0</v>
      </c>
      <c r="CU215" s="7">
        <v>4.0</v>
      </c>
      <c r="DB215" s="7">
        <v>15.0</v>
      </c>
      <c r="DC215" s="7">
        <v>9.0</v>
      </c>
      <c r="ER215" s="7">
        <v>5.0</v>
      </c>
      <c r="EU215" s="7">
        <v>15.0</v>
      </c>
      <c r="EX215" s="7">
        <v>10.0</v>
      </c>
      <c r="FB215" s="7">
        <v>30.0</v>
      </c>
      <c r="GR215" s="87">
        <v>214.0</v>
      </c>
    </row>
    <row r="216">
      <c r="A216" s="5">
        <v>45964.539724849536</v>
      </c>
      <c r="B216" s="6">
        <v>45931.0</v>
      </c>
      <c r="C216" s="6">
        <v>45961.0</v>
      </c>
      <c r="D216" s="7" t="s">
        <v>40</v>
      </c>
      <c r="E216" s="7" t="s">
        <v>174</v>
      </c>
      <c r="F216" s="7">
        <v>4.0</v>
      </c>
      <c r="G216" s="7" t="s">
        <v>70</v>
      </c>
      <c r="H216" s="7" t="s">
        <v>76</v>
      </c>
      <c r="BZ216" s="7">
        <v>30.0</v>
      </c>
      <c r="CA216" s="7">
        <v>20.0</v>
      </c>
      <c r="DB216" s="7">
        <v>15.0</v>
      </c>
      <c r="DC216" s="7">
        <v>8.0</v>
      </c>
      <c r="EF216" s="7">
        <v>6.0</v>
      </c>
      <c r="EG216" s="7">
        <v>4.0</v>
      </c>
      <c r="FB216" s="7">
        <v>30.0</v>
      </c>
      <c r="GR216" s="87">
        <v>215.0</v>
      </c>
    </row>
    <row r="217">
      <c r="A217" s="5">
        <v>45965.49269284723</v>
      </c>
      <c r="B217" s="6">
        <v>45931.0</v>
      </c>
      <c r="C217" s="6">
        <v>45961.0</v>
      </c>
      <c r="D217" s="7" t="s">
        <v>258</v>
      </c>
      <c r="E217" s="7" t="s">
        <v>256</v>
      </c>
      <c r="F217" s="7">
        <v>2.0</v>
      </c>
      <c r="G217" s="7" t="s">
        <v>70</v>
      </c>
      <c r="H217" s="7" t="s">
        <v>76</v>
      </c>
      <c r="J217" s="7">
        <v>20.0</v>
      </c>
      <c r="AH217" s="7">
        <v>3850.0</v>
      </c>
      <c r="AI217" s="7">
        <v>850.0</v>
      </c>
      <c r="AJ217" s="7">
        <v>850.0</v>
      </c>
      <c r="GR217" s="87">
        <v>216.0</v>
      </c>
    </row>
    <row r="218">
      <c r="A218" s="5">
        <v>45967.51492638889</v>
      </c>
      <c r="B218" s="6">
        <v>45931.0</v>
      </c>
      <c r="C218" s="6">
        <v>45961.0</v>
      </c>
      <c r="D218" s="7" t="s">
        <v>42</v>
      </c>
      <c r="E218" s="7" t="s">
        <v>279</v>
      </c>
      <c r="F218" s="7">
        <v>2.0</v>
      </c>
      <c r="G218" s="7" t="s">
        <v>70</v>
      </c>
      <c r="H218" s="7" t="s">
        <v>76</v>
      </c>
      <c r="AH218" s="7">
        <v>3050.0</v>
      </c>
      <c r="AW218" s="7">
        <v>1200.0</v>
      </c>
      <c r="AX218" s="7">
        <v>1200.0</v>
      </c>
      <c r="AY218" s="7">
        <v>1200.0</v>
      </c>
      <c r="GR218" s="87">
        <v>217.0</v>
      </c>
    </row>
    <row r="219">
      <c r="A219" s="5">
        <v>45967.51826923611</v>
      </c>
      <c r="B219" s="6">
        <v>45931.0</v>
      </c>
      <c r="C219" s="6">
        <v>45961.0</v>
      </c>
      <c r="D219" s="7" t="s">
        <v>39</v>
      </c>
      <c r="E219" s="7" t="s">
        <v>179</v>
      </c>
      <c r="F219" s="7">
        <v>4.0</v>
      </c>
      <c r="G219" s="7" t="s">
        <v>70</v>
      </c>
      <c r="H219" s="7" t="s">
        <v>76</v>
      </c>
      <c r="CL219" s="7">
        <v>18.0</v>
      </c>
      <c r="CM219" s="7">
        <v>12.0</v>
      </c>
      <c r="DB219" s="7">
        <v>21.0</v>
      </c>
      <c r="DC219" s="7">
        <v>17.0</v>
      </c>
      <c r="EF219" s="7">
        <v>6.0</v>
      </c>
      <c r="EG219" s="7">
        <v>4.0</v>
      </c>
      <c r="GR219" s="87">
        <v>218.0</v>
      </c>
    </row>
    <row r="220">
      <c r="A220" s="5">
        <v>45967.526681331015</v>
      </c>
      <c r="B220" s="6">
        <v>45931.0</v>
      </c>
      <c r="C220" s="6">
        <v>45961.0</v>
      </c>
      <c r="D220" s="7" t="s">
        <v>20</v>
      </c>
      <c r="E220" s="7" t="s">
        <v>77</v>
      </c>
      <c r="F220" s="7">
        <v>1.0</v>
      </c>
      <c r="G220" s="7" t="s">
        <v>70</v>
      </c>
      <c r="H220" s="7" t="s">
        <v>76</v>
      </c>
      <c r="J220" s="7">
        <v>107.0</v>
      </c>
      <c r="K220" s="7">
        <v>13.0</v>
      </c>
      <c r="L220" s="7">
        <v>20.0</v>
      </c>
      <c r="N220" s="7">
        <v>30.0</v>
      </c>
      <c r="O220" s="7">
        <v>7.0</v>
      </c>
      <c r="P220" s="7">
        <v>10.0</v>
      </c>
      <c r="T220" s="7">
        <v>180.0</v>
      </c>
      <c r="AH220" s="7">
        <v>4750.0</v>
      </c>
      <c r="AI220" s="7">
        <v>1350.0</v>
      </c>
      <c r="AJ220" s="7">
        <v>1350.0</v>
      </c>
      <c r="BF220" s="7">
        <v>5.0</v>
      </c>
      <c r="BG220" s="7">
        <v>4.0</v>
      </c>
      <c r="BJ220" s="7">
        <v>15.0</v>
      </c>
      <c r="BK220" s="7">
        <v>11.0</v>
      </c>
      <c r="BL220" s="7">
        <v>10.0</v>
      </c>
      <c r="BM220" s="7">
        <v>8.0</v>
      </c>
      <c r="BZ220" s="7">
        <v>45.0</v>
      </c>
      <c r="CA220" s="7">
        <v>30.0</v>
      </c>
      <c r="CB220" s="7">
        <v>15.0</v>
      </c>
      <c r="CC220" s="7">
        <v>11.0</v>
      </c>
      <c r="CL220" s="7">
        <v>38.0</v>
      </c>
      <c r="CM220" s="7">
        <v>20.0</v>
      </c>
      <c r="CN220" s="7">
        <v>100.0</v>
      </c>
      <c r="CO220" s="7">
        <v>56.0</v>
      </c>
      <c r="CP220" s="7">
        <v>6.0</v>
      </c>
      <c r="CQ220" s="7">
        <v>4.0</v>
      </c>
      <c r="CT220" s="7">
        <v>8.0</v>
      </c>
      <c r="CU220" s="7">
        <v>5.0</v>
      </c>
      <c r="DB220" s="7">
        <v>95.0</v>
      </c>
      <c r="DC220" s="7">
        <v>57.0</v>
      </c>
      <c r="DR220" s="7">
        <v>9.0</v>
      </c>
      <c r="DS220" s="7">
        <v>6.0</v>
      </c>
      <c r="DY220" s="7">
        <v>2.0</v>
      </c>
      <c r="EF220" s="7">
        <v>8.0</v>
      </c>
      <c r="EG220" s="7">
        <v>7.0</v>
      </c>
      <c r="ER220" s="7">
        <v>5.0</v>
      </c>
      <c r="ET220" s="7">
        <v>15.0</v>
      </c>
      <c r="EU220" s="7">
        <v>10.0</v>
      </c>
      <c r="FB220" s="7">
        <v>45.0</v>
      </c>
      <c r="FC220" s="7">
        <v>15.0</v>
      </c>
      <c r="GN220" s="7">
        <v>2.0</v>
      </c>
      <c r="GO220" s="7">
        <v>2.0</v>
      </c>
      <c r="GQ220" s="7">
        <v>20.0</v>
      </c>
      <c r="GR220" s="87">
        <v>219.0</v>
      </c>
    </row>
    <row r="221">
      <c r="A221" s="5">
        <v>45967.55417819445</v>
      </c>
      <c r="B221" s="6">
        <v>45931.0</v>
      </c>
      <c r="C221" s="6">
        <v>45961.0</v>
      </c>
      <c r="D221" s="7" t="s">
        <v>30</v>
      </c>
      <c r="E221" s="7" t="s">
        <v>237</v>
      </c>
      <c r="F221" s="7">
        <v>2.0</v>
      </c>
      <c r="G221" s="7" t="s">
        <v>70</v>
      </c>
      <c r="H221" s="7" t="s">
        <v>76</v>
      </c>
      <c r="AH221" s="7">
        <v>4550.0</v>
      </c>
      <c r="AI221" s="7">
        <v>1000.0</v>
      </c>
      <c r="AJ221" s="7">
        <v>1000.0</v>
      </c>
      <c r="GR221" s="87">
        <v>220.0</v>
      </c>
    </row>
    <row r="222">
      <c r="A222" s="5">
        <v>45967.635549872684</v>
      </c>
      <c r="B222" s="6">
        <v>45931.0</v>
      </c>
      <c r="C222" s="6">
        <v>45961.0</v>
      </c>
      <c r="D222" s="7" t="s">
        <v>207</v>
      </c>
      <c r="E222" s="7" t="s">
        <v>205</v>
      </c>
      <c r="F222" s="7">
        <v>2.0</v>
      </c>
      <c r="G222" s="7" t="s">
        <v>70</v>
      </c>
      <c r="H222" s="7" t="s">
        <v>76</v>
      </c>
      <c r="J222" s="7">
        <v>108.0</v>
      </c>
      <c r="N222" s="7">
        <v>44.0</v>
      </c>
      <c r="T222" s="7">
        <v>60.0</v>
      </c>
      <c r="Y222" s="7">
        <v>35.0</v>
      </c>
      <c r="AH222" s="7">
        <v>3100.0</v>
      </c>
      <c r="AI222" s="7">
        <v>1900.0</v>
      </c>
      <c r="AJ222" s="7">
        <v>1900.0</v>
      </c>
      <c r="BF222" s="7">
        <v>45.0</v>
      </c>
      <c r="BG222" s="7">
        <v>31.0</v>
      </c>
      <c r="BJ222" s="7">
        <v>15.0</v>
      </c>
      <c r="BK222" s="7">
        <v>8.0</v>
      </c>
      <c r="BN222" s="7">
        <v>20.0</v>
      </c>
      <c r="BO222" s="7">
        <v>11.0</v>
      </c>
      <c r="BR222" s="7">
        <v>15.0</v>
      </c>
      <c r="BS222" s="7">
        <v>15.0</v>
      </c>
      <c r="CH222" s="7">
        <v>10.0</v>
      </c>
      <c r="CI222" s="7">
        <v>5.0</v>
      </c>
      <c r="CL222" s="7">
        <v>24.0</v>
      </c>
      <c r="CM222" s="7">
        <v>14.0</v>
      </c>
      <c r="CN222" s="7">
        <v>12.0</v>
      </c>
      <c r="CO222" s="7">
        <v>7.0</v>
      </c>
      <c r="CP222" s="7">
        <v>30.0</v>
      </c>
      <c r="CQ222" s="7">
        <v>18.0</v>
      </c>
      <c r="CT222" s="7">
        <v>14.0</v>
      </c>
      <c r="CU222" s="7">
        <v>4.0</v>
      </c>
      <c r="DB222" s="7">
        <v>70.0</v>
      </c>
      <c r="DC222" s="7">
        <v>37.0</v>
      </c>
      <c r="DD222" s="7">
        <v>24.0</v>
      </c>
      <c r="DE222" s="7">
        <v>13.0</v>
      </c>
      <c r="EF222" s="7">
        <v>22.0</v>
      </c>
      <c r="EG222" s="7">
        <v>23.0</v>
      </c>
      <c r="ER222" s="7">
        <v>15.0</v>
      </c>
      <c r="ET222" s="7">
        <v>15.0</v>
      </c>
      <c r="EX222" s="7">
        <v>15.0</v>
      </c>
      <c r="FB222" s="7">
        <v>30.0</v>
      </c>
      <c r="FC222" s="7">
        <v>15.0</v>
      </c>
      <c r="FR222" s="7">
        <v>30.0</v>
      </c>
      <c r="FS222" s="7">
        <v>15.0</v>
      </c>
      <c r="FX222" s="7">
        <v>1.0</v>
      </c>
      <c r="FZ222" s="7">
        <v>70.0</v>
      </c>
      <c r="GR222" s="87">
        <v>221.0</v>
      </c>
    </row>
    <row r="223">
      <c r="A223" s="5">
        <v>45970.58852075231</v>
      </c>
      <c r="B223" s="6">
        <v>45931.0</v>
      </c>
      <c r="C223" s="6">
        <v>45961.0</v>
      </c>
      <c r="D223" s="7" t="s">
        <v>211</v>
      </c>
      <c r="E223" s="7" t="s">
        <v>223</v>
      </c>
      <c r="F223" s="7">
        <v>4.0</v>
      </c>
      <c r="G223" s="7" t="s">
        <v>70</v>
      </c>
      <c r="H223" s="7" t="s">
        <v>76</v>
      </c>
      <c r="BZ223" s="7">
        <v>30.0</v>
      </c>
      <c r="CA223" s="7">
        <v>21.0</v>
      </c>
      <c r="CB223" s="7">
        <v>15.0</v>
      </c>
      <c r="CC223" s="7">
        <v>12.0</v>
      </c>
      <c r="DR223" s="7">
        <v>7.0</v>
      </c>
      <c r="DS223" s="7">
        <v>8.0</v>
      </c>
      <c r="FB223" s="7">
        <v>30.0</v>
      </c>
      <c r="FC223" s="7">
        <v>15.0</v>
      </c>
      <c r="GR223" s="87">
        <v>222.0</v>
      </c>
    </row>
    <row r="224">
      <c r="A224" s="5">
        <v>45970.73552474537</v>
      </c>
      <c r="B224" s="6">
        <v>45931.0</v>
      </c>
      <c r="C224" s="6">
        <v>45961.0</v>
      </c>
      <c r="D224" s="7" t="s">
        <v>36</v>
      </c>
      <c r="E224" s="7" t="s">
        <v>183</v>
      </c>
      <c r="F224" s="7">
        <v>3.0</v>
      </c>
      <c r="G224" s="7" t="s">
        <v>70</v>
      </c>
      <c r="H224" s="7" t="s">
        <v>76</v>
      </c>
      <c r="J224" s="7">
        <v>70.0</v>
      </c>
      <c r="N224" s="7">
        <v>40.0</v>
      </c>
      <c r="T224" s="7">
        <v>35.0</v>
      </c>
      <c r="AH224" s="7">
        <v>2250.0</v>
      </c>
      <c r="AI224" s="7">
        <v>1250.0</v>
      </c>
      <c r="AJ224" s="7">
        <v>1250.0</v>
      </c>
      <c r="BL224" s="7">
        <v>15.0</v>
      </c>
      <c r="BM224" s="7">
        <v>12.0</v>
      </c>
      <c r="BR224" s="7">
        <v>2.0</v>
      </c>
      <c r="BS224" s="7">
        <v>2.0</v>
      </c>
      <c r="BZ224" s="7">
        <v>75.0</v>
      </c>
      <c r="CA224" s="7">
        <v>60.0</v>
      </c>
      <c r="CB224" s="7">
        <v>15.0</v>
      </c>
      <c r="CC224" s="7">
        <v>12.0</v>
      </c>
      <c r="CH224" s="7">
        <v>28.0</v>
      </c>
      <c r="CI224" s="7">
        <v>14.0</v>
      </c>
      <c r="CL224" s="7">
        <v>18.0</v>
      </c>
      <c r="CM224" s="7">
        <v>9.0</v>
      </c>
      <c r="CN224" s="7">
        <v>37.0</v>
      </c>
      <c r="CO224" s="7">
        <v>18.0</v>
      </c>
      <c r="CP224" s="7">
        <v>38.0</v>
      </c>
      <c r="CQ224" s="7">
        <v>19.0</v>
      </c>
      <c r="CT224" s="7">
        <v>3.0</v>
      </c>
      <c r="CU224" s="7">
        <v>1.0</v>
      </c>
      <c r="DB224" s="7">
        <v>48.0</v>
      </c>
      <c r="DC224" s="7">
        <v>23.0</v>
      </c>
      <c r="DD224" s="7">
        <v>5.0</v>
      </c>
      <c r="DE224" s="7">
        <v>3.0</v>
      </c>
      <c r="DL224" s="7">
        <v>2.0</v>
      </c>
      <c r="DM224" s="7">
        <v>2.0</v>
      </c>
      <c r="DT224" s="7">
        <v>6.0</v>
      </c>
      <c r="DU224" s="7">
        <v>5.0</v>
      </c>
      <c r="EF224" s="7">
        <v>6.0</v>
      </c>
      <c r="EG224" s="7">
        <v>5.0</v>
      </c>
      <c r="EH224" s="7">
        <v>6.0</v>
      </c>
      <c r="EI224" s="7">
        <v>6.0</v>
      </c>
      <c r="EU224" s="7">
        <v>15.0</v>
      </c>
      <c r="FB224" s="7">
        <v>75.0</v>
      </c>
      <c r="FC224" s="7">
        <v>15.0</v>
      </c>
      <c r="GR224" s="87">
        <v>223.0</v>
      </c>
    </row>
    <row r="225">
      <c r="A225" s="5">
        <v>45971.426796747684</v>
      </c>
      <c r="B225" s="6">
        <v>45931.0</v>
      </c>
      <c r="C225" s="6">
        <v>45961.0</v>
      </c>
      <c r="D225" s="7" t="s">
        <v>34</v>
      </c>
      <c r="E225" s="7" t="s">
        <v>169</v>
      </c>
      <c r="F225" s="7">
        <v>1.0</v>
      </c>
      <c r="G225" s="7" t="s">
        <v>70</v>
      </c>
      <c r="H225" s="7" t="s">
        <v>76</v>
      </c>
      <c r="J225" s="7">
        <v>50.0</v>
      </c>
      <c r="N225" s="7">
        <v>60.0</v>
      </c>
      <c r="T225" s="7">
        <v>60.0</v>
      </c>
      <c r="AH225" s="7">
        <v>2850.0</v>
      </c>
      <c r="AI225" s="7">
        <v>1000.0</v>
      </c>
      <c r="AJ225" s="7">
        <v>1000.0</v>
      </c>
      <c r="AW225" s="7">
        <v>900.0</v>
      </c>
      <c r="BF225" s="7">
        <v>15.0</v>
      </c>
      <c r="BG225" s="7">
        <v>12.0</v>
      </c>
      <c r="BJ225" s="7">
        <v>15.0</v>
      </c>
      <c r="BK225" s="7">
        <v>12.0</v>
      </c>
      <c r="BR225" s="7">
        <v>10.0</v>
      </c>
      <c r="BS225" s="7">
        <v>10.0</v>
      </c>
      <c r="BZ225" s="7">
        <v>30.0</v>
      </c>
      <c r="CA225" s="7">
        <v>20.0</v>
      </c>
      <c r="CH225" s="7">
        <v>50.0</v>
      </c>
      <c r="CI225" s="7">
        <v>35.0</v>
      </c>
      <c r="CJ225" s="7">
        <v>10.0</v>
      </c>
      <c r="CK225" s="7">
        <v>6.0</v>
      </c>
      <c r="CN225" s="7">
        <v>50.0</v>
      </c>
      <c r="CO225" s="7">
        <v>32.0</v>
      </c>
      <c r="CP225" s="7">
        <v>10.0</v>
      </c>
      <c r="CQ225" s="7">
        <v>5.0</v>
      </c>
      <c r="DB225" s="7">
        <v>40.0</v>
      </c>
      <c r="DC225" s="7">
        <v>30.0</v>
      </c>
      <c r="DD225" s="7">
        <v>12.0</v>
      </c>
      <c r="DE225" s="7">
        <v>6.0</v>
      </c>
      <c r="DL225" s="7">
        <v>2.0</v>
      </c>
      <c r="DM225" s="7">
        <v>3.0</v>
      </c>
      <c r="DR225" s="7">
        <v>8.0</v>
      </c>
      <c r="DS225" s="7">
        <v>8.0</v>
      </c>
      <c r="EF225" s="7">
        <v>5.0</v>
      </c>
      <c r="EG225" s="7">
        <v>5.0</v>
      </c>
      <c r="EK225" s="7">
        <v>3.0</v>
      </c>
      <c r="ER225" s="7">
        <v>15.0</v>
      </c>
      <c r="ET225" s="7">
        <v>15.0</v>
      </c>
      <c r="FB225" s="7">
        <v>60.0</v>
      </c>
      <c r="FR225" s="7">
        <v>30.0</v>
      </c>
      <c r="GR225" s="87">
        <v>224.0</v>
      </c>
    </row>
    <row r="226">
      <c r="A226" s="5">
        <v>45991.50213866898</v>
      </c>
      <c r="B226" s="6">
        <v>45962.0</v>
      </c>
      <c r="C226" s="6">
        <v>45991.0</v>
      </c>
      <c r="D226" s="7" t="s">
        <v>35</v>
      </c>
      <c r="E226" s="7" t="s">
        <v>283</v>
      </c>
      <c r="F226" s="7">
        <v>2.0</v>
      </c>
      <c r="G226" s="7" t="s">
        <v>70</v>
      </c>
      <c r="H226" s="7" t="s">
        <v>76</v>
      </c>
      <c r="J226" s="7">
        <v>40.0</v>
      </c>
      <c r="N226" s="7">
        <v>40.0</v>
      </c>
      <c r="AI226" s="7">
        <v>2900.0</v>
      </c>
      <c r="AJ226" s="7">
        <v>2900.0</v>
      </c>
      <c r="BR226" s="7">
        <v>5.0</v>
      </c>
      <c r="BS226" s="7">
        <v>3.0</v>
      </c>
      <c r="CN226" s="7">
        <v>35.0</v>
      </c>
      <c r="CO226" s="7">
        <v>20.0</v>
      </c>
      <c r="CT226" s="7">
        <v>5.0</v>
      </c>
      <c r="CU226" s="7">
        <v>2.0</v>
      </c>
      <c r="DB226" s="7">
        <v>90.0</v>
      </c>
      <c r="DC226" s="7">
        <v>51.0</v>
      </c>
      <c r="EF226" s="7">
        <v>4.0</v>
      </c>
      <c r="EG226" s="7">
        <v>3.0</v>
      </c>
      <c r="GR226" s="87">
        <v>225.0</v>
      </c>
    </row>
    <row r="227">
      <c r="A227" s="5">
        <v>45992.54297282407</v>
      </c>
      <c r="B227" s="6">
        <v>45962.0</v>
      </c>
      <c r="C227" s="6">
        <v>45991.0</v>
      </c>
      <c r="D227" s="7" t="s">
        <v>192</v>
      </c>
      <c r="E227" s="7" t="s">
        <v>194</v>
      </c>
      <c r="F227" s="7">
        <v>4.0</v>
      </c>
      <c r="G227" s="7" t="s">
        <v>70</v>
      </c>
      <c r="H227" s="7" t="s">
        <v>76</v>
      </c>
      <c r="BZ227" s="7">
        <v>20.0</v>
      </c>
      <c r="CA227" s="7">
        <v>10.0</v>
      </c>
      <c r="CH227" s="7">
        <v>8.0</v>
      </c>
      <c r="CI227" s="7">
        <v>4.0</v>
      </c>
      <c r="DB227" s="7">
        <v>8.0</v>
      </c>
      <c r="DC227" s="7">
        <v>4.0</v>
      </c>
      <c r="FB227" s="7">
        <v>20.0</v>
      </c>
      <c r="GR227" s="87">
        <v>226.0</v>
      </c>
    </row>
    <row r="228">
      <c r="A228" s="5">
        <v>45992.58608009259</v>
      </c>
      <c r="B228" s="6">
        <v>45962.0</v>
      </c>
      <c r="C228" s="6">
        <v>45991.0</v>
      </c>
      <c r="D228" s="7" t="s">
        <v>23</v>
      </c>
      <c r="E228" s="7" t="s">
        <v>92</v>
      </c>
      <c r="F228" s="7">
        <v>3.0</v>
      </c>
      <c r="G228" s="7" t="s">
        <v>70</v>
      </c>
      <c r="H228" s="7" t="s">
        <v>76</v>
      </c>
      <c r="J228" s="7">
        <v>9.0</v>
      </c>
      <c r="L228" s="7">
        <v>1.0</v>
      </c>
      <c r="AI228" s="7">
        <v>1650.0</v>
      </c>
      <c r="AJ228" s="7">
        <v>1650.0</v>
      </c>
      <c r="BJ228" s="7">
        <v>15.0</v>
      </c>
      <c r="BK228" s="7">
        <v>15.0</v>
      </c>
      <c r="BZ228" s="7">
        <v>30.0</v>
      </c>
      <c r="CA228" s="7">
        <v>30.0</v>
      </c>
      <c r="CN228" s="7">
        <v>76.0</v>
      </c>
      <c r="CO228" s="7">
        <v>50.0</v>
      </c>
      <c r="CT228" s="7">
        <v>6.0</v>
      </c>
      <c r="CU228" s="7">
        <v>2.0</v>
      </c>
      <c r="DB228" s="7">
        <v>45.0</v>
      </c>
      <c r="DC228" s="7">
        <v>30.0</v>
      </c>
      <c r="DD228" s="7">
        <v>6.0</v>
      </c>
      <c r="DE228" s="7">
        <v>4.0</v>
      </c>
      <c r="DR228" s="7">
        <v>20.0</v>
      </c>
      <c r="DS228" s="7">
        <v>12.0</v>
      </c>
      <c r="EF228" s="7">
        <v>20.0</v>
      </c>
      <c r="EG228" s="7">
        <v>16.0</v>
      </c>
      <c r="ER228" s="7">
        <v>15.0</v>
      </c>
      <c r="FB228" s="7">
        <v>30.0</v>
      </c>
      <c r="GR228" s="87">
        <v>227.0</v>
      </c>
    </row>
    <row r="229">
      <c r="A229" s="5">
        <v>45992.61999481481</v>
      </c>
      <c r="B229" s="6">
        <v>45962.0</v>
      </c>
      <c r="C229" s="6">
        <v>45991.0</v>
      </c>
      <c r="D229" s="7" t="s">
        <v>269</v>
      </c>
      <c r="E229" s="7" t="s">
        <v>267</v>
      </c>
      <c r="F229" s="7">
        <v>2.0</v>
      </c>
      <c r="G229" s="7" t="s">
        <v>70</v>
      </c>
      <c r="H229" s="7" t="s">
        <v>76</v>
      </c>
      <c r="J229" s="7">
        <v>90.0</v>
      </c>
      <c r="N229" s="7">
        <v>45.0</v>
      </c>
      <c r="AI229" s="7">
        <v>1600.0</v>
      </c>
      <c r="AJ229" s="7">
        <v>1600.0</v>
      </c>
      <c r="BF229" s="7">
        <v>15.0</v>
      </c>
      <c r="BG229" s="7">
        <v>15.0</v>
      </c>
      <c r="BR229" s="7">
        <v>5.0</v>
      </c>
      <c r="BS229" s="7">
        <v>5.0</v>
      </c>
      <c r="BZ229" s="7">
        <v>30.0</v>
      </c>
      <c r="CA229" s="7">
        <v>30.0</v>
      </c>
      <c r="CT229" s="7">
        <v>5.0</v>
      </c>
      <c r="CU229" s="7">
        <v>2.0</v>
      </c>
      <c r="DB229" s="7">
        <v>41.0</v>
      </c>
      <c r="DC229" s="7">
        <v>24.0</v>
      </c>
      <c r="DD229" s="7">
        <v>15.0</v>
      </c>
      <c r="DE229" s="7">
        <v>8.0</v>
      </c>
      <c r="DT229" s="7">
        <v>6.0</v>
      </c>
      <c r="DU229" s="7">
        <v>7.0</v>
      </c>
      <c r="EF229" s="7">
        <v>7.0</v>
      </c>
      <c r="EG229" s="7">
        <v>7.0</v>
      </c>
      <c r="ER229" s="7">
        <v>15.0</v>
      </c>
      <c r="EU229" s="7">
        <v>15.0</v>
      </c>
      <c r="EX229" s="7">
        <v>15.0</v>
      </c>
      <c r="FB229" s="7">
        <v>30.0</v>
      </c>
      <c r="GR229" s="87">
        <v>228.0</v>
      </c>
    </row>
    <row r="230">
      <c r="A230" s="5">
        <v>45992.65107356482</v>
      </c>
      <c r="B230" s="6">
        <v>45962.0</v>
      </c>
      <c r="C230" s="6">
        <v>45991.0</v>
      </c>
      <c r="D230" s="7" t="s">
        <v>201</v>
      </c>
      <c r="E230" s="7" t="s">
        <v>199</v>
      </c>
      <c r="F230" s="7">
        <v>2.0</v>
      </c>
      <c r="G230" s="7" t="s">
        <v>70</v>
      </c>
      <c r="H230" s="7" t="s">
        <v>76</v>
      </c>
      <c r="J230" s="7">
        <v>100.0</v>
      </c>
      <c r="N230" s="7">
        <v>50.0</v>
      </c>
      <c r="AI230" s="7">
        <v>3450.0</v>
      </c>
      <c r="AJ230" s="7">
        <v>3450.0</v>
      </c>
      <c r="BF230" s="7">
        <v>15.0</v>
      </c>
      <c r="BG230" s="7">
        <v>12.0</v>
      </c>
      <c r="BJ230" s="7">
        <v>15.0</v>
      </c>
      <c r="BK230" s="7">
        <v>12.0</v>
      </c>
      <c r="BR230" s="7">
        <v>5.0</v>
      </c>
      <c r="BS230" s="7">
        <v>4.0</v>
      </c>
      <c r="BZ230" s="7">
        <v>120.0</v>
      </c>
      <c r="CA230" s="7">
        <v>90.0</v>
      </c>
      <c r="CB230" s="7">
        <v>15.0</v>
      </c>
      <c r="CC230" s="7">
        <v>12.0</v>
      </c>
      <c r="CL230" s="7">
        <v>11.0</v>
      </c>
      <c r="CM230" s="7">
        <v>6.0</v>
      </c>
      <c r="CN230" s="7">
        <v>23.0</v>
      </c>
      <c r="CO230" s="7">
        <v>12.0</v>
      </c>
      <c r="CT230" s="7">
        <v>4.0</v>
      </c>
      <c r="DB230" s="7">
        <v>87.0</v>
      </c>
      <c r="DC230" s="7">
        <v>45.0</v>
      </c>
      <c r="DL230" s="7">
        <v>1.0</v>
      </c>
      <c r="DM230" s="7">
        <v>2.0</v>
      </c>
      <c r="DT230" s="7">
        <v>3.0</v>
      </c>
      <c r="DU230" s="7">
        <v>3.0</v>
      </c>
      <c r="EF230" s="7">
        <v>12.0</v>
      </c>
      <c r="EG230" s="7">
        <v>11.0</v>
      </c>
      <c r="ER230" s="7">
        <v>15.0</v>
      </c>
      <c r="ET230" s="7">
        <v>15.0</v>
      </c>
      <c r="EX230" s="7">
        <v>20.0</v>
      </c>
      <c r="FB230" s="7">
        <v>120.0</v>
      </c>
      <c r="FC230" s="7">
        <v>15.0</v>
      </c>
      <c r="GR230" s="87">
        <v>229.0</v>
      </c>
    </row>
    <row r="231">
      <c r="A231" s="5">
        <v>45992.74853542824</v>
      </c>
      <c r="B231" s="6">
        <v>45962.0</v>
      </c>
      <c r="C231" s="6">
        <v>45991.0</v>
      </c>
      <c r="D231" s="7" t="s">
        <v>26</v>
      </c>
      <c r="E231" s="7" t="s">
        <v>104</v>
      </c>
      <c r="F231" s="7">
        <v>3.0</v>
      </c>
      <c r="G231" s="7" t="s">
        <v>70</v>
      </c>
      <c r="H231" s="7" t="s">
        <v>76</v>
      </c>
      <c r="J231" s="7">
        <v>9.0</v>
      </c>
      <c r="K231" s="7">
        <v>6.0</v>
      </c>
      <c r="AH231" s="7">
        <v>2850.0</v>
      </c>
      <c r="AI231" s="7">
        <v>2950.0</v>
      </c>
      <c r="AJ231" s="7">
        <v>2950.0</v>
      </c>
      <c r="BF231" s="7">
        <v>30.0</v>
      </c>
      <c r="BG231" s="7">
        <v>20.0</v>
      </c>
      <c r="BJ231" s="7">
        <v>15.0</v>
      </c>
      <c r="BK231" s="7">
        <v>10.0</v>
      </c>
      <c r="BL231" s="7">
        <v>15.0</v>
      </c>
      <c r="BM231" s="7">
        <v>10.0</v>
      </c>
      <c r="BR231" s="7">
        <v>4.0</v>
      </c>
      <c r="BS231" s="7">
        <v>4.0</v>
      </c>
      <c r="BZ231" s="7">
        <v>65.0</v>
      </c>
      <c r="CA231" s="7">
        <v>44.0</v>
      </c>
      <c r="CB231" s="7">
        <v>55.0</v>
      </c>
      <c r="CC231" s="7">
        <v>38.0</v>
      </c>
      <c r="CH231" s="7">
        <v>14.0</v>
      </c>
      <c r="CI231" s="7">
        <v>10.0</v>
      </c>
      <c r="CJ231" s="7">
        <v>9.0</v>
      </c>
      <c r="CK231" s="7">
        <v>6.0</v>
      </c>
      <c r="CL231" s="7">
        <v>25.0</v>
      </c>
      <c r="CM231" s="7">
        <v>19.0</v>
      </c>
      <c r="CN231" s="7">
        <v>35.0</v>
      </c>
      <c r="CO231" s="7">
        <v>24.0</v>
      </c>
      <c r="CT231" s="7">
        <v>5.0</v>
      </c>
      <c r="CU231" s="7">
        <v>3.0</v>
      </c>
      <c r="DB231" s="7">
        <v>40.0</v>
      </c>
      <c r="DC231" s="7">
        <v>28.0</v>
      </c>
      <c r="EF231" s="7">
        <v>7.0</v>
      </c>
      <c r="EG231" s="7">
        <v>6.0</v>
      </c>
      <c r="EH231" s="7">
        <v>2.0</v>
      </c>
      <c r="EI231" s="7">
        <v>2.0</v>
      </c>
      <c r="ER231" s="7">
        <v>60.0</v>
      </c>
      <c r="ET231" s="7">
        <v>15.0</v>
      </c>
      <c r="EU231" s="7">
        <v>30.0</v>
      </c>
      <c r="EX231" s="7">
        <v>5.0</v>
      </c>
      <c r="FB231" s="7">
        <v>165.0</v>
      </c>
      <c r="FC231" s="7">
        <v>75.0</v>
      </c>
      <c r="GR231" s="87">
        <v>230.0</v>
      </c>
    </row>
    <row r="232">
      <c r="A232" s="5">
        <v>45992.76505011574</v>
      </c>
      <c r="B232" s="6">
        <v>45962.0</v>
      </c>
      <c r="C232" s="6">
        <v>45991.0</v>
      </c>
      <c r="D232" s="7" t="s">
        <v>24</v>
      </c>
      <c r="E232" s="7" t="s">
        <v>158</v>
      </c>
      <c r="F232" s="7">
        <v>3.0</v>
      </c>
      <c r="G232" s="7" t="s">
        <v>70</v>
      </c>
      <c r="H232" s="7" t="s">
        <v>76</v>
      </c>
      <c r="J232" s="7">
        <v>18.0</v>
      </c>
      <c r="AH232" s="7">
        <v>1650.0</v>
      </c>
      <c r="AI232" s="7">
        <v>1650.0</v>
      </c>
      <c r="AJ232" s="7">
        <v>1650.0</v>
      </c>
      <c r="BJ232" s="7">
        <v>5.0</v>
      </c>
      <c r="BK232" s="7">
        <v>3.0</v>
      </c>
      <c r="BL232" s="7">
        <v>5.0</v>
      </c>
      <c r="BM232" s="7">
        <v>3.0</v>
      </c>
      <c r="BR232" s="7">
        <v>6.0</v>
      </c>
      <c r="BS232" s="7">
        <v>6.0</v>
      </c>
      <c r="BZ232" s="7">
        <v>15.0</v>
      </c>
      <c r="CA232" s="7">
        <v>11.0</v>
      </c>
      <c r="CB232" s="7">
        <v>15.0</v>
      </c>
      <c r="CC232" s="7">
        <v>11.0</v>
      </c>
      <c r="CH232" s="7">
        <v>8.0</v>
      </c>
      <c r="CI232" s="7">
        <v>6.0</v>
      </c>
      <c r="CL232" s="7">
        <v>24.0</v>
      </c>
      <c r="CM232" s="7">
        <v>18.0</v>
      </c>
      <c r="CN232" s="7">
        <v>9.0</v>
      </c>
      <c r="CO232" s="7">
        <v>6.0</v>
      </c>
      <c r="CP232" s="7">
        <v>10.0</v>
      </c>
      <c r="CQ232" s="7">
        <v>7.0</v>
      </c>
      <c r="CT232" s="7">
        <v>5.0</v>
      </c>
      <c r="CU232" s="7">
        <v>3.0</v>
      </c>
      <c r="DB232" s="7">
        <v>65.0</v>
      </c>
      <c r="DC232" s="7">
        <v>40.0</v>
      </c>
      <c r="DT232" s="7">
        <v>18.0</v>
      </c>
      <c r="DU232" s="7">
        <v>14.0</v>
      </c>
      <c r="EF232" s="7">
        <v>2.0</v>
      </c>
      <c r="EG232" s="7">
        <v>2.0</v>
      </c>
      <c r="FB232" s="7">
        <v>60.0</v>
      </c>
      <c r="GR232" s="87">
        <v>231.0</v>
      </c>
    </row>
    <row r="233">
      <c r="A233" s="5">
        <v>45992.88456280093</v>
      </c>
      <c r="B233" s="6">
        <v>45962.0</v>
      </c>
      <c r="C233" s="6">
        <v>45991.0</v>
      </c>
      <c r="D233" s="7" t="s">
        <v>29</v>
      </c>
      <c r="E233" s="7" t="s">
        <v>110</v>
      </c>
      <c r="F233" s="7">
        <v>3.0</v>
      </c>
      <c r="G233" s="7" t="s">
        <v>70</v>
      </c>
      <c r="H233" s="7" t="s">
        <v>76</v>
      </c>
      <c r="J233" s="7">
        <v>33.0</v>
      </c>
      <c r="N233" s="7">
        <v>8.0</v>
      </c>
      <c r="AH233" s="7">
        <v>2400.0</v>
      </c>
      <c r="AI233" s="7">
        <v>2400.0</v>
      </c>
      <c r="BF233" s="7">
        <v>15.0</v>
      </c>
      <c r="BG233" s="7">
        <v>15.0</v>
      </c>
      <c r="BJ233" s="7">
        <v>15.0</v>
      </c>
      <c r="BK233" s="7">
        <v>15.0</v>
      </c>
      <c r="BL233" s="7">
        <v>10.0</v>
      </c>
      <c r="BM233" s="7">
        <v>10.0</v>
      </c>
      <c r="BR233" s="7">
        <v>8.0</v>
      </c>
      <c r="BS233" s="7">
        <v>8.0</v>
      </c>
      <c r="BZ233" s="7">
        <v>10.0</v>
      </c>
      <c r="CA233" s="7">
        <v>10.0</v>
      </c>
      <c r="CH233" s="7">
        <v>30.0</v>
      </c>
      <c r="CI233" s="7">
        <v>18.0</v>
      </c>
      <c r="CL233" s="7">
        <v>25.0</v>
      </c>
      <c r="CM233" s="7">
        <v>12.0</v>
      </c>
      <c r="CN233" s="7">
        <v>45.0</v>
      </c>
      <c r="CO233" s="7">
        <v>18.0</v>
      </c>
      <c r="CP233" s="7">
        <v>40.0</v>
      </c>
      <c r="CQ233" s="7">
        <v>21.0</v>
      </c>
      <c r="CT233" s="7">
        <v>5.0</v>
      </c>
      <c r="CU233" s="7">
        <v>2.0</v>
      </c>
      <c r="DB233" s="7">
        <v>70.0</v>
      </c>
      <c r="DC233" s="7">
        <v>32.0</v>
      </c>
      <c r="DD233" s="7">
        <v>30.0</v>
      </c>
      <c r="DE233" s="7">
        <v>16.0</v>
      </c>
      <c r="EF233" s="7">
        <v>3.0</v>
      </c>
      <c r="EG233" s="7">
        <v>2.0</v>
      </c>
      <c r="ER233" s="7">
        <v>15.0</v>
      </c>
      <c r="EU233" s="7">
        <v>15.0</v>
      </c>
      <c r="FB233" s="7">
        <v>45.0</v>
      </c>
      <c r="GR233" s="87">
        <v>232.0</v>
      </c>
    </row>
    <row r="234">
      <c r="A234" s="5">
        <v>45993.34257710648</v>
      </c>
      <c r="B234" s="6">
        <v>45962.0</v>
      </c>
      <c r="C234" s="6">
        <v>45991.0</v>
      </c>
      <c r="D234" s="7" t="s">
        <v>37</v>
      </c>
      <c r="E234" s="7" t="s">
        <v>87</v>
      </c>
      <c r="F234" s="7">
        <v>3.0</v>
      </c>
      <c r="G234" s="7" t="s">
        <v>70</v>
      </c>
      <c r="H234" s="7" t="s">
        <v>76</v>
      </c>
      <c r="J234" s="7">
        <v>33.0</v>
      </c>
      <c r="K234" s="7">
        <v>2.0</v>
      </c>
      <c r="N234" s="7">
        <v>10.0</v>
      </c>
      <c r="AI234" s="7">
        <v>1750.0</v>
      </c>
      <c r="AJ234" s="7">
        <v>1750.0</v>
      </c>
      <c r="BF234" s="7">
        <v>10.0</v>
      </c>
      <c r="BG234" s="7">
        <v>7.0</v>
      </c>
      <c r="BL234" s="7">
        <v>30.0</v>
      </c>
      <c r="BM234" s="7">
        <v>22.0</v>
      </c>
      <c r="BR234" s="7">
        <v>4.0</v>
      </c>
      <c r="BS234" s="7">
        <v>4.0</v>
      </c>
      <c r="BZ234" s="7">
        <v>100.0</v>
      </c>
      <c r="CA234" s="7">
        <v>78.0</v>
      </c>
      <c r="CB234" s="7">
        <v>30.0</v>
      </c>
      <c r="CC234" s="7">
        <v>23.0</v>
      </c>
      <c r="CL234" s="7">
        <v>18.0</v>
      </c>
      <c r="CM234" s="7">
        <v>13.0</v>
      </c>
      <c r="CN234" s="7">
        <v>7.0</v>
      </c>
      <c r="CO234" s="7">
        <v>3.0</v>
      </c>
      <c r="CP234" s="7">
        <v>28.0</v>
      </c>
      <c r="CQ234" s="7">
        <v>18.0</v>
      </c>
      <c r="CT234" s="7">
        <v>5.0</v>
      </c>
      <c r="CU234" s="7">
        <v>1.0</v>
      </c>
      <c r="DB234" s="7">
        <v>10.0</v>
      </c>
      <c r="DC234" s="7">
        <v>6.0</v>
      </c>
      <c r="DD234" s="7">
        <v>10.0</v>
      </c>
      <c r="DE234" s="7">
        <v>6.0</v>
      </c>
      <c r="DL234" s="7">
        <v>1.0</v>
      </c>
      <c r="DM234" s="7">
        <v>1.0</v>
      </c>
      <c r="DR234" s="7">
        <v>1.0</v>
      </c>
      <c r="DS234" s="7">
        <v>1.0</v>
      </c>
      <c r="DT234" s="7">
        <v>6.0</v>
      </c>
      <c r="DU234" s="7">
        <v>6.0</v>
      </c>
      <c r="EF234" s="7">
        <v>20.0</v>
      </c>
      <c r="EG234" s="7">
        <v>22.0</v>
      </c>
      <c r="EH234" s="7">
        <v>2.0</v>
      </c>
      <c r="EI234" s="7">
        <v>2.0</v>
      </c>
      <c r="ER234" s="7">
        <v>15.0</v>
      </c>
      <c r="EU234" s="7">
        <v>30.0</v>
      </c>
      <c r="EX234" s="7">
        <v>10.0</v>
      </c>
      <c r="FB234" s="7">
        <v>30.0</v>
      </c>
      <c r="FC234" s="7">
        <v>30.0</v>
      </c>
      <c r="GR234" s="87">
        <v>233.0</v>
      </c>
    </row>
    <row r="235">
      <c r="A235" s="5">
        <v>45993.43607303241</v>
      </c>
      <c r="B235" s="6">
        <v>45962.0</v>
      </c>
      <c r="C235" s="6">
        <v>45991.0</v>
      </c>
      <c r="D235" s="7" t="s">
        <v>36</v>
      </c>
      <c r="E235" s="7" t="s">
        <v>183</v>
      </c>
      <c r="F235" s="7">
        <v>3.0</v>
      </c>
      <c r="G235" s="7" t="s">
        <v>70</v>
      </c>
      <c r="H235" s="7" t="s">
        <v>76</v>
      </c>
      <c r="J235" s="7">
        <v>70.0</v>
      </c>
      <c r="N235" s="7">
        <v>30.0</v>
      </c>
      <c r="T235" s="7">
        <v>35.0</v>
      </c>
      <c r="AI235" s="7">
        <v>1000.0</v>
      </c>
      <c r="AJ235" s="7">
        <v>1000.0</v>
      </c>
      <c r="BF235" s="7">
        <v>15.0</v>
      </c>
      <c r="BG235" s="7">
        <v>12.0</v>
      </c>
      <c r="BL235" s="7">
        <v>15.0</v>
      </c>
      <c r="BM235" s="7">
        <v>12.0</v>
      </c>
      <c r="BZ235" s="7">
        <v>60.0</v>
      </c>
      <c r="CA235" s="7">
        <v>48.0</v>
      </c>
      <c r="CL235" s="7">
        <v>12.0</v>
      </c>
      <c r="CM235" s="7">
        <v>7.0</v>
      </c>
      <c r="CT235" s="7">
        <v>7.0</v>
      </c>
      <c r="CU235" s="7">
        <v>3.0</v>
      </c>
      <c r="DB235" s="7">
        <v>35.0</v>
      </c>
      <c r="DC235" s="7">
        <v>18.0</v>
      </c>
      <c r="DL235" s="7">
        <v>1.0</v>
      </c>
      <c r="DT235" s="7">
        <v>1.0</v>
      </c>
      <c r="DU235" s="7">
        <v>1.0</v>
      </c>
      <c r="EF235" s="7">
        <v>6.0</v>
      </c>
      <c r="EG235" s="7">
        <v>6.0</v>
      </c>
      <c r="EH235" s="7">
        <v>7.0</v>
      </c>
      <c r="EI235" s="7">
        <v>6.0</v>
      </c>
      <c r="ER235" s="7">
        <v>15.0</v>
      </c>
      <c r="EU235" s="7">
        <v>15.0</v>
      </c>
      <c r="FB235" s="7">
        <v>60.0</v>
      </c>
      <c r="GR235" s="87">
        <v>234.0</v>
      </c>
    </row>
    <row r="236">
      <c r="A236" s="5">
        <v>45993.45905017361</v>
      </c>
      <c r="B236" s="6">
        <v>45962.0</v>
      </c>
      <c r="C236" s="6">
        <v>45991.0</v>
      </c>
      <c r="D236" s="7" t="s">
        <v>214</v>
      </c>
      <c r="E236" s="7" t="s">
        <v>217</v>
      </c>
      <c r="F236" s="7">
        <v>4.0</v>
      </c>
      <c r="G236" s="7" t="s">
        <v>70</v>
      </c>
      <c r="H236" s="7" t="s">
        <v>76</v>
      </c>
      <c r="BZ236" s="7">
        <v>30.0</v>
      </c>
      <c r="CA236" s="7">
        <v>25.0</v>
      </c>
      <c r="CB236" s="7">
        <v>15.0</v>
      </c>
      <c r="CC236" s="7">
        <v>13.0</v>
      </c>
      <c r="CJ236" s="7">
        <v>5.0</v>
      </c>
      <c r="CK236" s="7">
        <v>2.0</v>
      </c>
      <c r="FB236" s="7">
        <v>30.0</v>
      </c>
      <c r="FC236" s="7">
        <v>15.0</v>
      </c>
      <c r="GR236" s="87">
        <v>235.0</v>
      </c>
    </row>
    <row r="237">
      <c r="A237" s="5">
        <v>45993.46182240741</v>
      </c>
      <c r="B237" s="6">
        <v>45962.0</v>
      </c>
      <c r="C237" s="6">
        <v>45991.0</v>
      </c>
      <c r="D237" s="7" t="s">
        <v>38</v>
      </c>
      <c r="E237" s="7" t="s">
        <v>188</v>
      </c>
      <c r="F237" s="7">
        <v>2.0</v>
      </c>
      <c r="G237" s="7" t="s">
        <v>70</v>
      </c>
      <c r="H237" s="7" t="s">
        <v>76</v>
      </c>
      <c r="J237" s="7">
        <v>50.0</v>
      </c>
      <c r="N237" s="7">
        <v>28.0</v>
      </c>
      <c r="AI237" s="7">
        <v>1150.0</v>
      </c>
      <c r="AJ237" s="7">
        <v>1150.0</v>
      </c>
      <c r="BF237" s="7">
        <v>15.0</v>
      </c>
      <c r="BG237" s="7">
        <v>8.0</v>
      </c>
      <c r="BR237" s="7">
        <v>3.0</v>
      </c>
      <c r="BS237" s="7">
        <v>3.0</v>
      </c>
      <c r="BZ237" s="7">
        <v>10.0</v>
      </c>
      <c r="CA237" s="7">
        <v>5.0</v>
      </c>
      <c r="CT237" s="7">
        <v>5.0</v>
      </c>
      <c r="CU237" s="7">
        <v>1.0</v>
      </c>
      <c r="DB237" s="7">
        <v>30.0</v>
      </c>
      <c r="DC237" s="7">
        <v>15.0</v>
      </c>
      <c r="ER237" s="7">
        <v>15.0</v>
      </c>
      <c r="FB237" s="7">
        <v>30.0</v>
      </c>
      <c r="FR237" s="7">
        <v>20.0</v>
      </c>
      <c r="GR237" s="87">
        <v>236.0</v>
      </c>
    </row>
    <row r="238">
      <c r="A238" s="5">
        <v>45993.461928414355</v>
      </c>
      <c r="B238" s="6">
        <v>45962.0</v>
      </c>
      <c r="C238" s="6">
        <v>45991.0</v>
      </c>
      <c r="D238" s="7" t="s">
        <v>25</v>
      </c>
      <c r="E238" s="7" t="s">
        <v>246</v>
      </c>
      <c r="F238" s="7">
        <v>2.0</v>
      </c>
      <c r="G238" s="7" t="s">
        <v>70</v>
      </c>
      <c r="H238" s="7" t="s">
        <v>76</v>
      </c>
      <c r="J238" s="7">
        <v>60.0</v>
      </c>
      <c r="N238" s="7">
        <v>28.0</v>
      </c>
      <c r="AI238" s="7">
        <v>500.0</v>
      </c>
      <c r="AJ238" s="7">
        <v>500.0</v>
      </c>
      <c r="BL238" s="7">
        <v>10.0</v>
      </c>
      <c r="BM238" s="7">
        <v>5.0</v>
      </c>
      <c r="BR238" s="7">
        <v>2.0</v>
      </c>
      <c r="BS238" s="7">
        <v>2.0</v>
      </c>
      <c r="BZ238" s="7">
        <v>10.0</v>
      </c>
      <c r="CA238" s="7">
        <v>5.0</v>
      </c>
      <c r="CP238" s="7">
        <v>5.0</v>
      </c>
      <c r="CQ238" s="7">
        <v>3.0</v>
      </c>
      <c r="CT238" s="7">
        <v>6.0</v>
      </c>
      <c r="DB238" s="7">
        <v>25.0</v>
      </c>
      <c r="DC238" s="7">
        <v>10.0</v>
      </c>
      <c r="DR238" s="7">
        <v>2.0</v>
      </c>
      <c r="DS238" s="7">
        <v>1.0</v>
      </c>
      <c r="DT238" s="7">
        <v>3.0</v>
      </c>
      <c r="DU238" s="7">
        <v>2.0</v>
      </c>
      <c r="ER238" s="7">
        <v>15.0</v>
      </c>
      <c r="GR238" s="87">
        <v>237.0</v>
      </c>
    </row>
    <row r="239">
      <c r="A239" s="5">
        <v>45993.49222486111</v>
      </c>
      <c r="B239" s="6">
        <v>45962.0</v>
      </c>
      <c r="C239" s="6">
        <v>45991.0</v>
      </c>
      <c r="D239" s="7" t="s">
        <v>32</v>
      </c>
      <c r="E239" s="7" t="s">
        <v>134</v>
      </c>
      <c r="F239" s="7">
        <v>3.0</v>
      </c>
      <c r="G239" s="7" t="s">
        <v>70</v>
      </c>
      <c r="H239" s="7" t="s">
        <v>76</v>
      </c>
      <c r="J239" s="7">
        <v>25.0</v>
      </c>
      <c r="N239" s="7">
        <v>7.0</v>
      </c>
      <c r="AI239" s="7">
        <v>2250.0</v>
      </c>
      <c r="AJ239" s="7">
        <v>2250.0</v>
      </c>
      <c r="BF239" s="7">
        <v>10.0</v>
      </c>
      <c r="BG239" s="7">
        <v>10.0</v>
      </c>
      <c r="BJ239" s="7">
        <v>14.0</v>
      </c>
      <c r="BK239" s="7">
        <v>14.0</v>
      </c>
      <c r="BL239" s="7">
        <v>10.0</v>
      </c>
      <c r="BM239" s="7">
        <v>10.0</v>
      </c>
      <c r="BN239" s="7">
        <v>8.0</v>
      </c>
      <c r="BO239" s="7">
        <v>8.0</v>
      </c>
      <c r="BR239" s="7">
        <v>10.0</v>
      </c>
      <c r="BS239" s="7">
        <v>10.0</v>
      </c>
      <c r="BZ239" s="7">
        <v>30.0</v>
      </c>
      <c r="CA239" s="7">
        <v>30.0</v>
      </c>
      <c r="CH239" s="7">
        <v>32.0</v>
      </c>
      <c r="CI239" s="7">
        <v>18.0</v>
      </c>
      <c r="CL239" s="7">
        <v>16.0</v>
      </c>
      <c r="CM239" s="7">
        <v>9.0</v>
      </c>
      <c r="CN239" s="7">
        <v>35.0</v>
      </c>
      <c r="CO239" s="7">
        <v>19.0</v>
      </c>
      <c r="CP239" s="7">
        <v>16.0</v>
      </c>
      <c r="CQ239" s="7">
        <v>7.0</v>
      </c>
      <c r="CT239" s="7">
        <v>6.0</v>
      </c>
      <c r="DB239" s="7">
        <v>105.0</v>
      </c>
      <c r="DC239" s="7">
        <v>45.0</v>
      </c>
      <c r="DD239" s="7">
        <v>6.0</v>
      </c>
      <c r="DE239" s="7">
        <v>4.0</v>
      </c>
      <c r="DL239" s="7">
        <v>6.0</v>
      </c>
      <c r="DM239" s="7">
        <v>8.0</v>
      </c>
      <c r="DR239" s="7">
        <v>4.0</v>
      </c>
      <c r="DS239" s="7">
        <v>2.0</v>
      </c>
      <c r="EF239" s="7">
        <v>20.0</v>
      </c>
      <c r="EG239" s="7">
        <v>12.0</v>
      </c>
      <c r="EH239" s="7">
        <v>13.0</v>
      </c>
      <c r="EI239" s="7">
        <v>9.0</v>
      </c>
      <c r="ER239" s="7">
        <v>15.0</v>
      </c>
      <c r="EU239" s="7">
        <v>15.0</v>
      </c>
      <c r="FB239" s="7">
        <v>75.0</v>
      </c>
      <c r="GR239" s="87">
        <v>238.0</v>
      </c>
    </row>
    <row r="240">
      <c r="A240" s="5">
        <v>45993.55833375</v>
      </c>
      <c r="B240" s="6">
        <v>45962.0</v>
      </c>
      <c r="C240" s="6">
        <v>45991.0</v>
      </c>
      <c r="D240" s="7" t="s">
        <v>33</v>
      </c>
      <c r="E240" s="7" t="s">
        <v>151</v>
      </c>
      <c r="F240" s="7">
        <v>2.0</v>
      </c>
      <c r="G240" s="7" t="s">
        <v>70</v>
      </c>
      <c r="H240" s="7" t="s">
        <v>76</v>
      </c>
      <c r="J240" s="7">
        <v>36.0</v>
      </c>
      <c r="N240" s="7">
        <v>15.0</v>
      </c>
      <c r="AI240" s="7">
        <v>2900.0</v>
      </c>
      <c r="AJ240" s="7">
        <v>2900.0</v>
      </c>
      <c r="BF240" s="7">
        <v>10.0</v>
      </c>
      <c r="BG240" s="7">
        <v>5.0</v>
      </c>
      <c r="BN240" s="7">
        <v>17.0</v>
      </c>
      <c r="BO240" s="7">
        <v>9.0</v>
      </c>
      <c r="BR240" s="7">
        <v>5.0</v>
      </c>
      <c r="BS240" s="7">
        <v>5.0</v>
      </c>
      <c r="BZ240" s="7">
        <v>13.0</v>
      </c>
      <c r="CA240" s="7">
        <v>7.0</v>
      </c>
      <c r="CL240" s="7">
        <v>13.0</v>
      </c>
      <c r="CM240" s="7">
        <v>6.0</v>
      </c>
      <c r="CT240" s="7">
        <v>5.0</v>
      </c>
      <c r="CU240" s="7">
        <v>1.0</v>
      </c>
      <c r="DB240" s="7">
        <v>5.0</v>
      </c>
      <c r="DC240" s="7">
        <v>3.0</v>
      </c>
      <c r="DD240" s="7">
        <v>6.0</v>
      </c>
      <c r="DE240" s="7">
        <v>3.0</v>
      </c>
      <c r="ER240" s="7">
        <v>15.0</v>
      </c>
      <c r="EU240" s="7">
        <v>15.0</v>
      </c>
      <c r="FB240" s="7">
        <v>30.0</v>
      </c>
      <c r="GR240" s="87">
        <v>239.0</v>
      </c>
    </row>
    <row r="241">
      <c r="A241" s="5">
        <v>45993.56736583333</v>
      </c>
      <c r="B241" s="6">
        <v>45962.0</v>
      </c>
      <c r="C241" s="6">
        <v>45991.0</v>
      </c>
      <c r="D241" s="7" t="s">
        <v>31</v>
      </c>
      <c r="E241" s="7" t="s">
        <v>140</v>
      </c>
      <c r="F241" s="7">
        <v>3.0</v>
      </c>
      <c r="G241" s="7" t="s">
        <v>70</v>
      </c>
      <c r="H241" s="7" t="s">
        <v>76</v>
      </c>
      <c r="J241" s="7">
        <v>12.0</v>
      </c>
      <c r="N241" s="7">
        <v>1.0</v>
      </c>
      <c r="AI241" s="7">
        <v>1750.0</v>
      </c>
      <c r="AJ241" s="7">
        <v>1750.0</v>
      </c>
      <c r="BF241" s="7">
        <v>15.0</v>
      </c>
      <c r="BG241" s="7">
        <v>12.0</v>
      </c>
      <c r="BL241" s="7">
        <v>10.0</v>
      </c>
      <c r="BM241" s="7">
        <v>7.0</v>
      </c>
      <c r="BZ241" s="7">
        <v>150.0</v>
      </c>
      <c r="CA241" s="7">
        <v>130.0</v>
      </c>
      <c r="CB241" s="7">
        <v>50.0</v>
      </c>
      <c r="CC241" s="7">
        <v>40.0</v>
      </c>
      <c r="CH241" s="7">
        <v>15.0</v>
      </c>
      <c r="CI241" s="7">
        <v>11.0</v>
      </c>
      <c r="CL241" s="7">
        <v>10.0</v>
      </c>
      <c r="CM241" s="7">
        <v>7.0</v>
      </c>
      <c r="CN241" s="7">
        <v>30.0</v>
      </c>
      <c r="CO241" s="7">
        <v>22.0</v>
      </c>
      <c r="CP241" s="7">
        <v>20.0</v>
      </c>
      <c r="CQ241" s="7">
        <v>14.0</v>
      </c>
      <c r="CT241" s="7">
        <v>7.0</v>
      </c>
      <c r="CU241" s="7">
        <v>2.0</v>
      </c>
      <c r="DB241" s="7">
        <v>42.0</v>
      </c>
      <c r="DC241" s="7">
        <v>30.0</v>
      </c>
      <c r="DD241" s="7">
        <v>30.0</v>
      </c>
      <c r="DE241" s="7">
        <v>22.0</v>
      </c>
      <c r="DL241" s="7">
        <v>2.0</v>
      </c>
      <c r="DM241" s="7">
        <v>2.0</v>
      </c>
      <c r="DN241" s="7">
        <v>1.0</v>
      </c>
      <c r="DO241" s="7">
        <v>2.0</v>
      </c>
      <c r="DP241" s="7">
        <v>1.0</v>
      </c>
      <c r="DQ241" s="7">
        <v>1.0</v>
      </c>
      <c r="DR241" s="7">
        <v>3.0</v>
      </c>
      <c r="DS241" s="7">
        <v>4.0</v>
      </c>
      <c r="DT241" s="7">
        <v>1.0</v>
      </c>
      <c r="DU241" s="7">
        <v>1.0</v>
      </c>
      <c r="DW241" s="7">
        <v>1.0</v>
      </c>
      <c r="EF241" s="7">
        <v>3.0</v>
      </c>
      <c r="EG241" s="7">
        <v>6.0</v>
      </c>
      <c r="EI241" s="7">
        <v>2.0</v>
      </c>
      <c r="EK241" s="7">
        <v>1.0</v>
      </c>
      <c r="ER241" s="7">
        <v>15.0</v>
      </c>
      <c r="EU241" s="7">
        <v>15.0</v>
      </c>
      <c r="FB241" s="7">
        <v>105.0</v>
      </c>
      <c r="FC241" s="7">
        <v>30.0</v>
      </c>
      <c r="GR241" s="87">
        <v>240.0</v>
      </c>
    </row>
    <row r="242">
      <c r="A242" s="5">
        <v>45994.471909618056</v>
      </c>
      <c r="B242" s="6">
        <v>45962.0</v>
      </c>
      <c r="C242" s="6">
        <v>45991.0</v>
      </c>
      <c r="D242" s="7" t="s">
        <v>20</v>
      </c>
      <c r="E242" s="7" t="s">
        <v>77</v>
      </c>
      <c r="F242" s="7">
        <v>1.0</v>
      </c>
      <c r="G242" s="7" t="s">
        <v>70</v>
      </c>
      <c r="H242" s="7" t="s">
        <v>76</v>
      </c>
      <c r="I242" s="7">
        <v>2.0</v>
      </c>
      <c r="J242" s="7">
        <v>68.0</v>
      </c>
      <c r="K242" s="7">
        <v>13.0</v>
      </c>
      <c r="L242" s="7">
        <v>20.0</v>
      </c>
      <c r="M242" s="7">
        <v>2.0</v>
      </c>
      <c r="N242" s="7">
        <v>20.0</v>
      </c>
      <c r="O242" s="7">
        <v>6.0</v>
      </c>
      <c r="P242" s="7">
        <v>10.0</v>
      </c>
      <c r="T242" s="7">
        <v>190.0</v>
      </c>
      <c r="AI242" s="7">
        <v>3400.0</v>
      </c>
      <c r="AJ242" s="7">
        <v>3400.0</v>
      </c>
      <c r="BF242" s="7">
        <v>15.0</v>
      </c>
      <c r="BG242" s="7">
        <v>12.0</v>
      </c>
      <c r="BL242" s="7">
        <v>15.0</v>
      </c>
      <c r="BM242" s="7">
        <v>11.0</v>
      </c>
      <c r="BR242" s="7">
        <v>7.0</v>
      </c>
      <c r="BS242" s="7">
        <v>7.0</v>
      </c>
      <c r="BZ242" s="7">
        <v>30.0</v>
      </c>
      <c r="CA242" s="7">
        <v>20.0</v>
      </c>
      <c r="CB242" s="7">
        <v>15.0</v>
      </c>
      <c r="CC242" s="7">
        <v>11.0</v>
      </c>
      <c r="CH242" s="7">
        <v>93.0</v>
      </c>
      <c r="CI242" s="7">
        <v>56.0</v>
      </c>
      <c r="CL242" s="7">
        <v>12.0</v>
      </c>
      <c r="CM242" s="7">
        <v>6.0</v>
      </c>
      <c r="CP242" s="7">
        <v>16.0</v>
      </c>
      <c r="CQ242" s="7">
        <v>9.0</v>
      </c>
      <c r="CT242" s="7">
        <v>18.0</v>
      </c>
      <c r="CU242" s="7">
        <v>7.0</v>
      </c>
      <c r="DB242" s="7">
        <v>91.0</v>
      </c>
      <c r="DC242" s="7">
        <v>55.0</v>
      </c>
      <c r="DD242" s="7">
        <v>35.0</v>
      </c>
      <c r="DE242" s="7">
        <v>19.0</v>
      </c>
      <c r="DL242" s="7">
        <v>2.0</v>
      </c>
      <c r="DM242" s="7">
        <v>3.0</v>
      </c>
      <c r="DP242" s="7">
        <v>7.0</v>
      </c>
      <c r="DQ242" s="7">
        <v>5.0</v>
      </c>
      <c r="EF242" s="7">
        <v>10.0</v>
      </c>
      <c r="EG242" s="7">
        <v>8.0</v>
      </c>
      <c r="ER242" s="7">
        <v>15.0</v>
      </c>
      <c r="EU242" s="7">
        <v>15.0</v>
      </c>
      <c r="EX242" s="7">
        <v>15.0</v>
      </c>
      <c r="FB242" s="7">
        <v>30.0</v>
      </c>
      <c r="FC242" s="7">
        <v>15.0</v>
      </c>
      <c r="GN242" s="7">
        <v>2.0</v>
      </c>
      <c r="GO242" s="7">
        <v>2.0</v>
      </c>
      <c r="GQ242" s="7">
        <v>20.0</v>
      </c>
      <c r="GR242" s="87">
        <v>241.0</v>
      </c>
    </row>
    <row r="243">
      <c r="A243" s="5">
        <v>45994.50286978009</v>
      </c>
      <c r="B243" s="6">
        <v>45962.0</v>
      </c>
      <c r="C243" s="6">
        <v>45991.0</v>
      </c>
      <c r="D243" s="7" t="s">
        <v>212</v>
      </c>
      <c r="E243" s="7" t="s">
        <v>227</v>
      </c>
      <c r="F243" s="7">
        <v>3.0</v>
      </c>
      <c r="G243" s="7" t="s">
        <v>70</v>
      </c>
      <c r="H243" s="7" t="s">
        <v>76</v>
      </c>
      <c r="J243" s="7">
        <v>22.0</v>
      </c>
      <c r="N243" s="7">
        <v>16.0</v>
      </c>
      <c r="T243" s="7">
        <v>11.0</v>
      </c>
      <c r="AH243" s="7">
        <v>2950.0</v>
      </c>
      <c r="AI243" s="7">
        <v>2950.0</v>
      </c>
      <c r="AJ243" s="7">
        <v>2950.0</v>
      </c>
      <c r="BF243" s="7">
        <v>15.0</v>
      </c>
      <c r="BG243" s="7">
        <v>12.0</v>
      </c>
      <c r="BJ243" s="7">
        <v>15.0</v>
      </c>
      <c r="BK243" s="7">
        <v>13.0</v>
      </c>
      <c r="BL243" s="7">
        <v>15.0</v>
      </c>
      <c r="BM243" s="7">
        <v>12.0</v>
      </c>
      <c r="BR243" s="7">
        <v>15.0</v>
      </c>
      <c r="BS243" s="7">
        <v>15.0</v>
      </c>
      <c r="BZ243" s="7">
        <v>30.0</v>
      </c>
      <c r="CA243" s="7">
        <v>25.0</v>
      </c>
      <c r="CB243" s="7">
        <v>45.0</v>
      </c>
      <c r="CC243" s="7">
        <v>38.0</v>
      </c>
      <c r="CL243" s="7">
        <v>10.0</v>
      </c>
      <c r="CM243" s="7">
        <v>6.0</v>
      </c>
      <c r="CN243" s="7">
        <v>13.0</v>
      </c>
      <c r="CO243" s="7">
        <v>8.0</v>
      </c>
      <c r="CT243" s="7">
        <v>5.0</v>
      </c>
      <c r="CU243" s="7">
        <v>2.0</v>
      </c>
      <c r="DB243" s="7">
        <v>99.0</v>
      </c>
      <c r="DC243" s="7">
        <v>56.0</v>
      </c>
      <c r="DD243" s="7">
        <v>20.0</v>
      </c>
      <c r="DE243" s="7">
        <v>9.0</v>
      </c>
      <c r="DL243" s="7">
        <v>4.0</v>
      </c>
      <c r="DM243" s="7">
        <v>3.0</v>
      </c>
      <c r="DT243" s="7">
        <v>7.0</v>
      </c>
      <c r="DU243" s="7">
        <v>6.0</v>
      </c>
      <c r="EF243" s="7">
        <v>11.0</v>
      </c>
      <c r="EG243" s="7">
        <v>9.0</v>
      </c>
      <c r="ER243" s="7">
        <v>15.0</v>
      </c>
      <c r="ET243" s="7">
        <v>15.0</v>
      </c>
      <c r="EU243" s="7">
        <v>15.0</v>
      </c>
      <c r="EX243" s="7">
        <v>20.0</v>
      </c>
      <c r="FB243" s="7">
        <v>30.0</v>
      </c>
      <c r="FC243" s="7">
        <v>75.0</v>
      </c>
      <c r="FR243" s="7">
        <v>30.0</v>
      </c>
      <c r="FS243" s="7">
        <v>15.0</v>
      </c>
      <c r="GR243" s="87">
        <v>242.0</v>
      </c>
    </row>
    <row r="244">
      <c r="A244" s="5">
        <v>45994.50790658565</v>
      </c>
      <c r="B244" s="6">
        <v>45962.0</v>
      </c>
      <c r="C244" s="6">
        <v>45991.0</v>
      </c>
      <c r="D244" s="7" t="s">
        <v>213</v>
      </c>
      <c r="E244" s="7" t="s">
        <v>231</v>
      </c>
      <c r="F244" s="7">
        <v>3.0</v>
      </c>
      <c r="G244" s="7" t="s">
        <v>70</v>
      </c>
      <c r="H244" s="7" t="s">
        <v>76</v>
      </c>
      <c r="J244" s="7">
        <v>50.0</v>
      </c>
      <c r="N244" s="7">
        <v>30.0</v>
      </c>
      <c r="AH244" s="7">
        <v>950.0</v>
      </c>
      <c r="AI244" s="7">
        <v>1600.0</v>
      </c>
      <c r="AJ244" s="7">
        <v>1600.0</v>
      </c>
      <c r="BN244" s="7">
        <v>30.0</v>
      </c>
      <c r="BO244" s="7">
        <v>30.0</v>
      </c>
      <c r="BR244" s="7">
        <v>5.0</v>
      </c>
      <c r="BS244" s="7">
        <v>5.0</v>
      </c>
      <c r="BZ244" s="7">
        <v>15.0</v>
      </c>
      <c r="CA244" s="7">
        <v>15.0</v>
      </c>
      <c r="CJ244" s="7">
        <v>30.0</v>
      </c>
      <c r="CK244" s="7">
        <v>15.0</v>
      </c>
      <c r="CT244" s="7">
        <v>5.0</v>
      </c>
      <c r="CU244" s="7">
        <v>1.0</v>
      </c>
      <c r="DB244" s="7">
        <v>107.0</v>
      </c>
      <c r="DC244" s="7">
        <v>52.0</v>
      </c>
      <c r="DD244" s="7">
        <v>6.0</v>
      </c>
      <c r="DE244" s="7">
        <v>3.0</v>
      </c>
      <c r="EF244" s="7">
        <v>30.0</v>
      </c>
      <c r="EG244" s="7">
        <v>30.0</v>
      </c>
      <c r="EU244" s="7">
        <v>15.0</v>
      </c>
      <c r="EX244" s="7">
        <v>25.0</v>
      </c>
      <c r="FB244" s="7">
        <v>15.0</v>
      </c>
      <c r="GR244" s="87">
        <v>243.0</v>
      </c>
    </row>
    <row r="245">
      <c r="A245" s="5">
        <v>45999.50346383102</v>
      </c>
      <c r="B245" s="6">
        <v>45962.0</v>
      </c>
      <c r="C245" s="6">
        <v>45991.0</v>
      </c>
      <c r="D245" s="7" t="s">
        <v>27</v>
      </c>
      <c r="E245" s="7" t="s">
        <v>120</v>
      </c>
      <c r="F245" s="7">
        <v>2.0</v>
      </c>
      <c r="G245" s="7" t="s">
        <v>70</v>
      </c>
      <c r="H245" s="7" t="s">
        <v>76</v>
      </c>
      <c r="J245" s="7">
        <v>76.0</v>
      </c>
      <c r="N245" s="7">
        <v>13.0</v>
      </c>
      <c r="AI245" s="7">
        <v>1600.0</v>
      </c>
      <c r="AJ245" s="7">
        <v>1600.0</v>
      </c>
      <c r="BL245" s="7">
        <v>15.0</v>
      </c>
      <c r="BM245" s="7">
        <v>9.0</v>
      </c>
      <c r="BR245" s="7">
        <v>5.0</v>
      </c>
      <c r="BS245" s="7">
        <v>4.0</v>
      </c>
      <c r="BZ245" s="7">
        <v>15.0</v>
      </c>
      <c r="CA245" s="7">
        <v>11.0</v>
      </c>
      <c r="CH245" s="7">
        <v>7.0</v>
      </c>
      <c r="CI245" s="7">
        <v>4.0</v>
      </c>
      <c r="CT245" s="7">
        <v>4.0</v>
      </c>
      <c r="CU245" s="7">
        <v>1.0</v>
      </c>
      <c r="DB245" s="7">
        <v>45.0</v>
      </c>
      <c r="DC245" s="7">
        <v>29.0</v>
      </c>
      <c r="DD245" s="7">
        <v>7.0</v>
      </c>
      <c r="DE245" s="7">
        <v>4.0</v>
      </c>
      <c r="EU245" s="7">
        <v>15.0</v>
      </c>
      <c r="FB245" s="7">
        <v>15.0</v>
      </c>
      <c r="GR245" s="87">
        <v>244.0</v>
      </c>
    </row>
    <row r="246">
      <c r="A246" s="5">
        <v>46046.54640859953</v>
      </c>
      <c r="B246" s="6">
        <v>45962.0</v>
      </c>
      <c r="C246" s="6">
        <v>45991.0</v>
      </c>
      <c r="D246" s="7" t="s">
        <v>41</v>
      </c>
      <c r="E246" s="7" t="s">
        <v>251</v>
      </c>
      <c r="F246" s="7">
        <v>2.0</v>
      </c>
      <c r="G246" s="7" t="s">
        <v>70</v>
      </c>
      <c r="H246" s="7" t="s">
        <v>76</v>
      </c>
      <c r="J246" s="7">
        <v>115.0</v>
      </c>
      <c r="N246" s="7">
        <v>35.0</v>
      </c>
      <c r="Q246" s="7">
        <v>1.0</v>
      </c>
      <c r="R246" s="7">
        <v>20.0</v>
      </c>
      <c r="S246" s="7">
        <v>25.0</v>
      </c>
      <c r="Y246" s="7">
        <v>28.0</v>
      </c>
      <c r="AI246" s="7">
        <v>1850.0</v>
      </c>
      <c r="AJ246" s="7">
        <v>1850.0</v>
      </c>
      <c r="BF246" s="7">
        <v>15.0</v>
      </c>
      <c r="BG246" s="7">
        <v>9.0</v>
      </c>
      <c r="BL246" s="7">
        <v>15.0</v>
      </c>
      <c r="BM246" s="7">
        <v>8.0</v>
      </c>
      <c r="BR246" s="7">
        <v>5.0</v>
      </c>
      <c r="BS246" s="7">
        <v>3.0</v>
      </c>
      <c r="BZ246" s="7">
        <v>25.0</v>
      </c>
      <c r="CA246" s="7">
        <v>17.0</v>
      </c>
      <c r="CH246" s="7">
        <v>7.0</v>
      </c>
      <c r="CI246" s="7">
        <v>4.0</v>
      </c>
      <c r="CL246" s="7">
        <v>11.0</v>
      </c>
      <c r="CM246" s="7">
        <v>6.0</v>
      </c>
      <c r="CN246" s="7">
        <v>45.0</v>
      </c>
      <c r="CO246" s="7">
        <v>26.0</v>
      </c>
      <c r="CP246" s="7">
        <v>7.0</v>
      </c>
      <c r="CQ246" s="7">
        <v>4.0</v>
      </c>
      <c r="CT246" s="7">
        <v>8.0</v>
      </c>
      <c r="CU246" s="7">
        <v>3.0</v>
      </c>
      <c r="DB246" s="7">
        <v>180.0</v>
      </c>
      <c r="DC246" s="7">
        <v>100.0</v>
      </c>
      <c r="ER246" s="7">
        <v>15.0</v>
      </c>
      <c r="EU246" s="7">
        <v>15.0</v>
      </c>
      <c r="EX246" s="7">
        <v>20.0</v>
      </c>
      <c r="GR246" s="87">
        <v>245.0</v>
      </c>
    </row>
    <row r="247">
      <c r="A247" s="5">
        <v>46046.54158748843</v>
      </c>
      <c r="B247" s="6">
        <v>45962.0</v>
      </c>
      <c r="C247" s="6">
        <v>45991.0</v>
      </c>
      <c r="D247" s="7" t="s">
        <v>258</v>
      </c>
      <c r="E247" s="7" t="s">
        <v>256</v>
      </c>
      <c r="F247" s="7">
        <v>2.0</v>
      </c>
      <c r="G247" s="7" t="s">
        <v>70</v>
      </c>
      <c r="H247" s="7" t="s">
        <v>76</v>
      </c>
      <c r="J247" s="7">
        <v>20.0</v>
      </c>
      <c r="AI247" s="7">
        <v>3000.0</v>
      </c>
      <c r="AJ247" s="7">
        <v>3000.0</v>
      </c>
      <c r="GR247" s="87">
        <v>246.0</v>
      </c>
    </row>
    <row r="248">
      <c r="A248" s="5">
        <v>46046.58243023149</v>
      </c>
      <c r="B248" s="6">
        <v>45962.0</v>
      </c>
      <c r="C248" s="6">
        <v>45991.0</v>
      </c>
      <c r="D248" s="7" t="s">
        <v>34</v>
      </c>
      <c r="E248" s="7" t="s">
        <v>169</v>
      </c>
      <c r="F248" s="7">
        <v>1.0</v>
      </c>
      <c r="G248" s="7" t="s">
        <v>70</v>
      </c>
      <c r="H248" s="7" t="s">
        <v>76</v>
      </c>
      <c r="J248" s="7">
        <v>80.0</v>
      </c>
      <c r="N248" s="7">
        <v>60.0</v>
      </c>
      <c r="T248" s="7">
        <v>50.0</v>
      </c>
      <c r="AI248" s="7">
        <v>1850.0</v>
      </c>
      <c r="AJ248" s="7">
        <v>1850.0</v>
      </c>
      <c r="AR248" s="7">
        <v>800.0</v>
      </c>
      <c r="AS248" s="7">
        <v>800.0</v>
      </c>
      <c r="BF248" s="7">
        <v>15.0</v>
      </c>
      <c r="BG248" s="7">
        <v>12.0</v>
      </c>
      <c r="BJ248" s="7">
        <v>15.0</v>
      </c>
      <c r="BK248" s="7">
        <v>12.0</v>
      </c>
      <c r="BL248" s="7">
        <v>15.0</v>
      </c>
      <c r="BM248" s="7">
        <v>12.0</v>
      </c>
      <c r="BZ248" s="7">
        <v>30.0</v>
      </c>
      <c r="CA248" s="7">
        <v>20.0</v>
      </c>
      <c r="CB248" s="7">
        <v>30.0</v>
      </c>
      <c r="CC248" s="7">
        <v>20.0</v>
      </c>
      <c r="CH248" s="7">
        <v>20.0</v>
      </c>
      <c r="CI248" s="7">
        <v>12.0</v>
      </c>
      <c r="CL248" s="7">
        <v>30.0</v>
      </c>
      <c r="CM248" s="7">
        <v>20.0</v>
      </c>
      <c r="CN248" s="7">
        <v>30.0</v>
      </c>
      <c r="CO248" s="7">
        <v>22.0</v>
      </c>
      <c r="CP248" s="7">
        <v>30.0</v>
      </c>
      <c r="CQ248" s="7">
        <v>20.0</v>
      </c>
      <c r="DB248" s="7">
        <v>70.0</v>
      </c>
      <c r="DC248" s="7">
        <v>50.0</v>
      </c>
      <c r="DL248" s="7">
        <v>5.0</v>
      </c>
      <c r="DM248" s="7">
        <v>5.0</v>
      </c>
      <c r="DP248" s="7">
        <v>3.0</v>
      </c>
      <c r="DQ248" s="7">
        <v>3.0</v>
      </c>
      <c r="DR248" s="7">
        <v>3.0</v>
      </c>
      <c r="DS248" s="7">
        <v>2.0</v>
      </c>
      <c r="EF248" s="7">
        <v>8.0</v>
      </c>
      <c r="EG248" s="7">
        <v>9.0</v>
      </c>
      <c r="ER248" s="7">
        <v>15.0</v>
      </c>
      <c r="ET248" s="7">
        <v>15.0</v>
      </c>
      <c r="EU248" s="7">
        <v>15.0</v>
      </c>
      <c r="FB248" s="7">
        <v>60.0</v>
      </c>
      <c r="FC248" s="7">
        <v>30.0</v>
      </c>
      <c r="FR248" s="7">
        <v>30.0</v>
      </c>
      <c r="GR248" s="87">
        <v>247.0</v>
      </c>
    </row>
    <row r="249">
      <c r="A249" s="5">
        <v>46046.78200748842</v>
      </c>
      <c r="B249" s="6">
        <v>45962.0</v>
      </c>
      <c r="C249" s="6">
        <v>45991.0</v>
      </c>
      <c r="D249" s="7" t="s">
        <v>42</v>
      </c>
      <c r="E249" s="7" t="s">
        <v>279</v>
      </c>
      <c r="F249" s="7">
        <v>2.0</v>
      </c>
      <c r="G249" s="7" t="s">
        <v>70</v>
      </c>
      <c r="H249" s="7" t="s">
        <v>76</v>
      </c>
      <c r="J249" s="7">
        <v>10.0</v>
      </c>
      <c r="AI249" s="7">
        <v>3050.0</v>
      </c>
      <c r="AJ249" s="7">
        <v>3050.0</v>
      </c>
      <c r="AR249" s="7">
        <v>600.0</v>
      </c>
      <c r="AS249" s="7">
        <v>600.0</v>
      </c>
      <c r="GR249" s="87">
        <v>248.0</v>
      </c>
    </row>
    <row r="250">
      <c r="A250" s="5">
        <v>46046.694225150466</v>
      </c>
      <c r="B250" s="6">
        <v>45962.0</v>
      </c>
      <c r="C250" s="6">
        <v>45991.0</v>
      </c>
      <c r="D250" s="7" t="s">
        <v>207</v>
      </c>
      <c r="E250" s="7" t="s">
        <v>205</v>
      </c>
      <c r="F250" s="7">
        <v>2.0</v>
      </c>
      <c r="G250" s="7" t="s">
        <v>70</v>
      </c>
      <c r="H250" s="7" t="s">
        <v>76</v>
      </c>
      <c r="J250" s="7">
        <v>100.0</v>
      </c>
      <c r="N250" s="7">
        <v>46.0</v>
      </c>
      <c r="T250" s="7">
        <v>65.0</v>
      </c>
      <c r="Y250" s="7">
        <v>20.0</v>
      </c>
      <c r="AI250" s="7">
        <v>1900.0</v>
      </c>
      <c r="AJ250" s="7">
        <v>1900.0</v>
      </c>
      <c r="BF250" s="7">
        <v>45.0</v>
      </c>
      <c r="BG250" s="7">
        <v>29.0</v>
      </c>
      <c r="BR250" s="7">
        <v>15.0</v>
      </c>
      <c r="BS250" s="7">
        <v>15.0</v>
      </c>
      <c r="CH250" s="7">
        <v>12.0</v>
      </c>
      <c r="CI250" s="7">
        <v>7.0</v>
      </c>
      <c r="CL250" s="7">
        <v>36.0</v>
      </c>
      <c r="CM250" s="7">
        <v>21.0</v>
      </c>
      <c r="CN250" s="7">
        <v>90.0</v>
      </c>
      <c r="CO250" s="7">
        <v>47.0</v>
      </c>
      <c r="CT250" s="7">
        <v>12.0</v>
      </c>
      <c r="CU250" s="7">
        <v>3.0</v>
      </c>
      <c r="DB250" s="7">
        <v>230.0</v>
      </c>
      <c r="DC250" s="7">
        <v>137.0</v>
      </c>
      <c r="DD250" s="7">
        <v>48.0</v>
      </c>
      <c r="DE250" s="7">
        <v>25.0</v>
      </c>
      <c r="EF250" s="7">
        <v>7.0</v>
      </c>
      <c r="EG250" s="7">
        <v>8.0</v>
      </c>
      <c r="EH250" s="7">
        <v>3.0</v>
      </c>
      <c r="EI250" s="7">
        <v>5.0</v>
      </c>
      <c r="ER250" s="7">
        <v>30.0</v>
      </c>
      <c r="EU250" s="7">
        <v>30.0</v>
      </c>
      <c r="EX250" s="7">
        <v>15.0</v>
      </c>
      <c r="FB250" s="7">
        <v>30.0</v>
      </c>
      <c r="FH250" s="7">
        <v>15.0</v>
      </c>
      <c r="FK250" s="7">
        <v>30.0</v>
      </c>
      <c r="FR250" s="7">
        <v>30.0</v>
      </c>
      <c r="GR250" s="87">
        <v>249.0</v>
      </c>
    </row>
    <row r="251">
      <c r="A251" s="5">
        <v>46046.78418887731</v>
      </c>
      <c r="B251" s="6">
        <v>45962.0</v>
      </c>
      <c r="C251" s="6">
        <v>45991.0</v>
      </c>
      <c r="D251" s="7" t="s">
        <v>211</v>
      </c>
      <c r="E251" s="7" t="s">
        <v>223</v>
      </c>
      <c r="F251" s="7">
        <v>4.0</v>
      </c>
      <c r="G251" s="7" t="s">
        <v>70</v>
      </c>
      <c r="H251" s="7" t="s">
        <v>76</v>
      </c>
      <c r="BF251" s="7">
        <v>15.0</v>
      </c>
      <c r="BG251" s="7">
        <v>9.0</v>
      </c>
      <c r="BL251" s="7">
        <v>30.0</v>
      </c>
      <c r="BM251" s="7">
        <v>21.0</v>
      </c>
      <c r="BZ251" s="7">
        <v>30.0</v>
      </c>
      <c r="CA251" s="7">
        <v>23.0</v>
      </c>
      <c r="DB251" s="7">
        <v>12.0</v>
      </c>
      <c r="DC251" s="7">
        <v>5.0</v>
      </c>
      <c r="DD251" s="7">
        <v>12.0</v>
      </c>
      <c r="DE251" s="7">
        <v>7.0</v>
      </c>
      <c r="EF251" s="7">
        <v>12.0</v>
      </c>
      <c r="EG251" s="7">
        <v>11.0</v>
      </c>
      <c r="ER251" s="7">
        <v>15.0</v>
      </c>
      <c r="EU251" s="7">
        <v>30.0</v>
      </c>
      <c r="FB251" s="7">
        <v>30.0</v>
      </c>
      <c r="GR251" s="87">
        <v>250.0</v>
      </c>
    </row>
    <row r="252">
      <c r="A252" s="5">
        <v>46046.784698449075</v>
      </c>
      <c r="B252" s="6">
        <v>45962.0</v>
      </c>
      <c r="C252" s="6">
        <v>45991.0</v>
      </c>
      <c r="D252" s="7" t="s">
        <v>30</v>
      </c>
      <c r="E252" s="7" t="s">
        <v>237</v>
      </c>
      <c r="F252" s="7">
        <v>2.0</v>
      </c>
      <c r="G252" s="7" t="s">
        <v>70</v>
      </c>
      <c r="H252" s="7" t="s">
        <v>76</v>
      </c>
      <c r="J252" s="7">
        <v>10.0</v>
      </c>
      <c r="AI252" s="7">
        <v>3550.0</v>
      </c>
      <c r="AJ252" s="7">
        <v>3550.0</v>
      </c>
      <c r="GR252" s="87">
        <v>251.0</v>
      </c>
    </row>
    <row r="253">
      <c r="A253" s="5">
        <v>46046.88052207176</v>
      </c>
      <c r="B253" s="6">
        <v>45962.0</v>
      </c>
      <c r="C253" s="6">
        <v>45991.0</v>
      </c>
      <c r="D253" s="7" t="s">
        <v>40</v>
      </c>
      <c r="E253" s="7" t="s">
        <v>174</v>
      </c>
      <c r="F253" s="7">
        <v>4.0</v>
      </c>
      <c r="G253" s="7" t="s">
        <v>70</v>
      </c>
      <c r="H253" s="7" t="s">
        <v>76</v>
      </c>
      <c r="BZ253" s="7">
        <v>30.0</v>
      </c>
      <c r="CA253" s="7">
        <v>20.0</v>
      </c>
      <c r="DB253" s="7">
        <v>20.0</v>
      </c>
      <c r="DC253" s="7">
        <v>10.0</v>
      </c>
      <c r="EF253" s="7">
        <v>4.0</v>
      </c>
      <c r="EG253" s="7">
        <v>5.0</v>
      </c>
      <c r="FB253" s="7">
        <v>30.0</v>
      </c>
      <c r="GR253" s="87">
        <v>252.0</v>
      </c>
    </row>
    <row r="254">
      <c r="A254" s="5">
        <v>46022.465967048614</v>
      </c>
      <c r="B254" s="6">
        <v>45992.0</v>
      </c>
      <c r="C254" s="6">
        <v>46022.0</v>
      </c>
      <c r="D254" s="7" t="s">
        <v>26</v>
      </c>
      <c r="E254" s="7" t="s">
        <v>104</v>
      </c>
      <c r="F254" s="7">
        <v>3.0</v>
      </c>
      <c r="G254" s="7" t="s">
        <v>70</v>
      </c>
      <c r="H254" s="7" t="s">
        <v>76</v>
      </c>
      <c r="J254" s="7">
        <v>38.0</v>
      </c>
      <c r="K254" s="7">
        <v>10.0</v>
      </c>
      <c r="N254" s="7">
        <v>9.0</v>
      </c>
      <c r="O254" s="7">
        <v>8.0</v>
      </c>
      <c r="AE254" s="7">
        <v>50.0</v>
      </c>
      <c r="BC254" s="7">
        <v>10.0</v>
      </c>
      <c r="BF254" s="7">
        <v>30.0</v>
      </c>
      <c r="BG254" s="7">
        <v>20.0</v>
      </c>
      <c r="BL254" s="7">
        <v>15.0</v>
      </c>
      <c r="BM254" s="7">
        <v>10.0</v>
      </c>
      <c r="BN254" s="7">
        <v>90.0</v>
      </c>
      <c r="BO254" s="7">
        <v>63.0</v>
      </c>
      <c r="BR254" s="7">
        <v>20.0</v>
      </c>
      <c r="BS254" s="7">
        <v>11.0</v>
      </c>
      <c r="BZ254" s="7">
        <v>190.0</v>
      </c>
      <c r="CA254" s="7">
        <v>133.0</v>
      </c>
      <c r="CB254" s="7">
        <v>65.0</v>
      </c>
      <c r="CC254" s="7">
        <v>44.0</v>
      </c>
      <c r="CH254" s="7">
        <v>3.0</v>
      </c>
      <c r="CI254" s="7">
        <v>2.0</v>
      </c>
      <c r="CL254" s="7">
        <v>8.0</v>
      </c>
      <c r="CM254" s="7">
        <v>6.0</v>
      </c>
      <c r="CN254" s="7">
        <v>8.0</v>
      </c>
      <c r="CO254" s="7">
        <v>6.0</v>
      </c>
      <c r="CT254" s="7">
        <v>2.0</v>
      </c>
      <c r="CU254" s="7">
        <v>1.0</v>
      </c>
      <c r="DB254" s="7">
        <v>35.0</v>
      </c>
      <c r="DC254" s="7">
        <v>26.0</v>
      </c>
      <c r="DD254" s="7">
        <v>8.0</v>
      </c>
      <c r="DE254" s="7">
        <v>6.0</v>
      </c>
      <c r="DT254" s="7">
        <v>2.0</v>
      </c>
      <c r="DU254" s="7">
        <v>2.0</v>
      </c>
      <c r="EF254" s="7">
        <v>3.0</v>
      </c>
      <c r="EG254" s="7">
        <v>3.0</v>
      </c>
      <c r="EH254" s="7">
        <v>4.0</v>
      </c>
      <c r="EI254" s="7">
        <v>4.0</v>
      </c>
      <c r="EV254" s="7">
        <v>120.0</v>
      </c>
      <c r="EX254" s="7">
        <v>30.0</v>
      </c>
      <c r="FB254" s="7">
        <v>90.0</v>
      </c>
      <c r="FC254" s="7">
        <v>45.0</v>
      </c>
      <c r="GR254" s="87">
        <v>253.0</v>
      </c>
    </row>
    <row r="255">
      <c r="A255" s="5">
        <v>46022.491452372684</v>
      </c>
      <c r="B255" s="6">
        <v>45992.0</v>
      </c>
      <c r="C255" s="6">
        <v>46022.0</v>
      </c>
      <c r="D255" s="7" t="s">
        <v>23</v>
      </c>
      <c r="E255" s="7" t="s">
        <v>92</v>
      </c>
      <c r="F255" s="7">
        <v>3.0</v>
      </c>
      <c r="G255" s="7" t="s">
        <v>70</v>
      </c>
      <c r="H255" s="7" t="s">
        <v>76</v>
      </c>
      <c r="J255" s="7">
        <v>79.0</v>
      </c>
      <c r="L255" s="7">
        <v>1.0</v>
      </c>
      <c r="N255" s="7">
        <v>48.0</v>
      </c>
      <c r="BC255" s="7">
        <v>20.0</v>
      </c>
      <c r="BF255" s="7">
        <v>15.0</v>
      </c>
      <c r="BG255" s="7">
        <v>15.0</v>
      </c>
      <c r="BN255" s="7">
        <v>25.0</v>
      </c>
      <c r="BO255" s="7">
        <v>25.0</v>
      </c>
      <c r="BR255" s="7">
        <v>2.0</v>
      </c>
      <c r="BS255" s="7">
        <v>2.0</v>
      </c>
      <c r="BZ255" s="7">
        <v>30.0</v>
      </c>
      <c r="CA255" s="7">
        <v>30.0</v>
      </c>
      <c r="CH255" s="7">
        <v>60.0</v>
      </c>
      <c r="CI255" s="7">
        <v>43.0</v>
      </c>
      <c r="CT255" s="7">
        <v>10.0</v>
      </c>
      <c r="CU255" s="7">
        <v>7.0</v>
      </c>
      <c r="DB255" s="7">
        <v>15.0</v>
      </c>
      <c r="DC255" s="7">
        <v>10.0</v>
      </c>
      <c r="DL255" s="7">
        <v>2.0</v>
      </c>
      <c r="DM255" s="7">
        <v>2.0</v>
      </c>
      <c r="DP255" s="7">
        <v>3.0</v>
      </c>
      <c r="DQ255" s="7">
        <v>3.0</v>
      </c>
      <c r="EF255" s="7">
        <v>12.0</v>
      </c>
      <c r="EG255" s="7">
        <v>8.0</v>
      </c>
      <c r="EV255" s="7">
        <v>100.0</v>
      </c>
      <c r="EX255" s="7">
        <v>10.0</v>
      </c>
      <c r="FB255" s="7">
        <v>30.0</v>
      </c>
      <c r="GR255" s="87">
        <v>254.0</v>
      </c>
    </row>
    <row r="256">
      <c r="A256" s="5">
        <v>46022.50788222223</v>
      </c>
      <c r="B256" s="6">
        <v>45992.0</v>
      </c>
      <c r="C256" s="6">
        <v>46022.0</v>
      </c>
      <c r="D256" s="7" t="s">
        <v>40</v>
      </c>
      <c r="E256" s="7" t="s">
        <v>174</v>
      </c>
      <c r="F256" s="7">
        <v>4.0</v>
      </c>
      <c r="G256" s="7" t="s">
        <v>70</v>
      </c>
      <c r="H256" s="7" t="s">
        <v>76</v>
      </c>
      <c r="BZ256" s="7">
        <v>30.0</v>
      </c>
      <c r="CA256" s="7">
        <v>20.0</v>
      </c>
      <c r="DB256" s="7">
        <v>20.0</v>
      </c>
      <c r="DC256" s="7">
        <v>9.0</v>
      </c>
      <c r="EF256" s="7">
        <v>6.0</v>
      </c>
      <c r="EG256" s="7">
        <v>3.0</v>
      </c>
      <c r="FB256" s="7">
        <v>30.0</v>
      </c>
      <c r="GR256" s="87">
        <v>255.0</v>
      </c>
    </row>
    <row r="257">
      <c r="A257" s="5">
        <v>46022.61481023148</v>
      </c>
      <c r="B257" s="6">
        <v>45992.0</v>
      </c>
      <c r="C257" s="6">
        <v>46022.0</v>
      </c>
      <c r="D257" s="7" t="s">
        <v>31</v>
      </c>
      <c r="E257" s="7" t="s">
        <v>140</v>
      </c>
      <c r="F257" s="7">
        <v>3.0</v>
      </c>
      <c r="G257" s="7" t="s">
        <v>70</v>
      </c>
      <c r="H257" s="7" t="s">
        <v>76</v>
      </c>
      <c r="J257" s="7">
        <v>79.0</v>
      </c>
      <c r="N257" s="7">
        <v>7.0</v>
      </c>
      <c r="AE257" s="7">
        <v>50.0</v>
      </c>
      <c r="BC257" s="7">
        <v>10.0</v>
      </c>
      <c r="BF257" s="7">
        <v>10.0</v>
      </c>
      <c r="BG257" s="7">
        <v>8.0</v>
      </c>
      <c r="BL257" s="7">
        <v>10.0</v>
      </c>
      <c r="BM257" s="7">
        <v>9.0</v>
      </c>
      <c r="BN257" s="7">
        <v>4.0</v>
      </c>
      <c r="BO257" s="7">
        <v>4.0</v>
      </c>
      <c r="BR257" s="7">
        <v>8.0</v>
      </c>
      <c r="BS257" s="7">
        <v>4.0</v>
      </c>
      <c r="BZ257" s="7">
        <v>50.0</v>
      </c>
      <c r="CA257" s="7">
        <v>40.0</v>
      </c>
      <c r="CB257" s="7">
        <v>30.0</v>
      </c>
      <c r="CC257" s="7">
        <v>23.0</v>
      </c>
      <c r="CH257" s="7">
        <v>4.0</v>
      </c>
      <c r="CI257" s="7">
        <v>2.0</v>
      </c>
      <c r="CL257" s="7">
        <v>18.0</v>
      </c>
      <c r="CM257" s="7">
        <v>10.0</v>
      </c>
      <c r="CN257" s="7">
        <v>40.0</v>
      </c>
      <c r="CO257" s="7">
        <v>28.0</v>
      </c>
      <c r="CP257" s="7">
        <v>18.0</v>
      </c>
      <c r="CQ257" s="7">
        <v>13.0</v>
      </c>
      <c r="CT257" s="7">
        <v>5.0</v>
      </c>
      <c r="CU257" s="7">
        <v>2.0</v>
      </c>
      <c r="DB257" s="7">
        <v>32.0</v>
      </c>
      <c r="DC257" s="7">
        <v>25.0</v>
      </c>
      <c r="DD257" s="7">
        <v>25.0</v>
      </c>
      <c r="DE257" s="7">
        <v>20.0</v>
      </c>
      <c r="DL257" s="7">
        <v>1.0</v>
      </c>
      <c r="DM257" s="7">
        <v>2.0</v>
      </c>
      <c r="DN257" s="7">
        <v>7.0</v>
      </c>
      <c r="DO257" s="7">
        <v>10.0</v>
      </c>
      <c r="EF257" s="7">
        <v>4.0</v>
      </c>
      <c r="EG257" s="7">
        <v>6.0</v>
      </c>
      <c r="EH257" s="7">
        <v>3.0</v>
      </c>
      <c r="EI257" s="7">
        <v>4.0</v>
      </c>
      <c r="EV257" s="7">
        <v>30.0</v>
      </c>
      <c r="EX257" s="7">
        <v>10.0</v>
      </c>
      <c r="FC257" s="7">
        <v>15.0</v>
      </c>
      <c r="GR257" s="87">
        <v>256.0</v>
      </c>
    </row>
    <row r="258">
      <c r="A258" s="5">
        <v>46023.4642271875</v>
      </c>
      <c r="B258" s="6">
        <v>45992.0</v>
      </c>
      <c r="C258" s="6">
        <v>46022.0</v>
      </c>
      <c r="D258" s="7" t="s">
        <v>35</v>
      </c>
      <c r="E258" s="7" t="s">
        <v>283</v>
      </c>
      <c r="F258" s="7">
        <v>2.0</v>
      </c>
      <c r="G258" s="7" t="s">
        <v>70</v>
      </c>
      <c r="H258" s="7" t="s">
        <v>76</v>
      </c>
      <c r="J258" s="7">
        <v>40.0</v>
      </c>
      <c r="N258" s="7">
        <v>15.0</v>
      </c>
      <c r="AE258" s="7">
        <v>50.0</v>
      </c>
      <c r="BC258" s="7">
        <v>10.0</v>
      </c>
      <c r="BN258" s="7">
        <v>15.0</v>
      </c>
      <c r="BO258" s="7">
        <v>12.0</v>
      </c>
      <c r="CT258" s="7">
        <v>5.0</v>
      </c>
      <c r="CU258" s="7">
        <v>2.0</v>
      </c>
      <c r="DB258" s="7">
        <v>22.0</v>
      </c>
      <c r="DC258" s="7">
        <v>13.0</v>
      </c>
      <c r="DD258" s="7">
        <v>23.0</v>
      </c>
      <c r="DE258" s="7">
        <v>12.0</v>
      </c>
      <c r="DR258" s="7">
        <v>3.0</v>
      </c>
      <c r="DS258" s="7">
        <v>3.0</v>
      </c>
      <c r="EV258" s="7">
        <v>15.0</v>
      </c>
      <c r="GR258" s="87">
        <v>257.0</v>
      </c>
    </row>
    <row r="259">
      <c r="A259" s="5">
        <v>46023.4667843287</v>
      </c>
      <c r="B259" s="6">
        <v>45992.0</v>
      </c>
      <c r="C259" s="6">
        <v>46022.0</v>
      </c>
      <c r="D259" s="7" t="s">
        <v>25</v>
      </c>
      <c r="E259" s="7" t="s">
        <v>246</v>
      </c>
      <c r="F259" s="7">
        <v>2.0</v>
      </c>
      <c r="G259" s="7" t="s">
        <v>70</v>
      </c>
      <c r="H259" s="7" t="s">
        <v>76</v>
      </c>
      <c r="J259" s="7">
        <v>60.0</v>
      </c>
      <c r="N259" s="7">
        <v>32.0</v>
      </c>
      <c r="AE259" s="7">
        <v>50.0</v>
      </c>
      <c r="AF259" s="7">
        <v>50.0</v>
      </c>
      <c r="AG259" s="7">
        <v>50.0</v>
      </c>
      <c r="BC259" s="7">
        <v>10.0</v>
      </c>
      <c r="BD259" s="7">
        <v>10.0</v>
      </c>
      <c r="BE259" s="7">
        <v>10.0</v>
      </c>
      <c r="BF259" s="7">
        <v>10.0</v>
      </c>
      <c r="BG259" s="7">
        <v>5.0</v>
      </c>
      <c r="BR259" s="7">
        <v>2.0</v>
      </c>
      <c r="BS259" s="7">
        <v>2.0</v>
      </c>
      <c r="CN259" s="7">
        <v>5.0</v>
      </c>
      <c r="CO259" s="7">
        <v>3.0</v>
      </c>
      <c r="CP259" s="7">
        <v>5.0</v>
      </c>
      <c r="CQ259" s="7">
        <v>2.0</v>
      </c>
      <c r="CT259" s="7">
        <v>2.0</v>
      </c>
      <c r="CU259" s="7">
        <v>1.0</v>
      </c>
      <c r="DB259" s="7">
        <v>10.0</v>
      </c>
      <c r="DC259" s="7">
        <v>4.0</v>
      </c>
      <c r="DL259" s="7">
        <v>4.0</v>
      </c>
      <c r="DM259" s="7">
        <v>2.0</v>
      </c>
      <c r="DR259" s="7">
        <v>3.0</v>
      </c>
      <c r="DS259" s="7">
        <v>2.0</v>
      </c>
      <c r="DT259" s="7">
        <v>3.0</v>
      </c>
      <c r="DU259" s="7">
        <v>3.0</v>
      </c>
      <c r="EF259" s="7">
        <v>2.0</v>
      </c>
      <c r="EG259" s="7">
        <v>3.0</v>
      </c>
      <c r="EX259" s="7">
        <v>10.0</v>
      </c>
      <c r="FB259" s="7">
        <v>15.0</v>
      </c>
      <c r="GR259" s="87">
        <v>258.0</v>
      </c>
    </row>
    <row r="260">
      <c r="A260" s="5">
        <v>46023.479760497685</v>
      </c>
      <c r="B260" s="6">
        <v>45992.0</v>
      </c>
      <c r="C260" s="6">
        <v>46022.0</v>
      </c>
      <c r="D260" s="7" t="s">
        <v>24</v>
      </c>
      <c r="E260" s="7" t="s">
        <v>158</v>
      </c>
      <c r="F260" s="7">
        <v>3.0</v>
      </c>
      <c r="G260" s="7" t="s">
        <v>70</v>
      </c>
      <c r="H260" s="7" t="s">
        <v>76</v>
      </c>
      <c r="J260" s="7">
        <v>108.0</v>
      </c>
      <c r="AE260" s="7">
        <v>50.0</v>
      </c>
      <c r="BC260" s="7">
        <v>10.0</v>
      </c>
      <c r="BJ260" s="7">
        <v>5.0</v>
      </c>
      <c r="BK260" s="7">
        <v>3.0</v>
      </c>
      <c r="BL260" s="7">
        <v>5.0</v>
      </c>
      <c r="BM260" s="7">
        <v>3.0</v>
      </c>
      <c r="BR260" s="7">
        <v>15.0</v>
      </c>
      <c r="BS260" s="7">
        <v>11.0</v>
      </c>
      <c r="BZ260" s="7">
        <v>30.0</v>
      </c>
      <c r="CA260" s="7">
        <v>25.0</v>
      </c>
      <c r="CN260" s="7">
        <v>6.0</v>
      </c>
      <c r="CO260" s="7">
        <v>4.0</v>
      </c>
      <c r="CT260" s="7">
        <v>5.0</v>
      </c>
      <c r="CU260" s="7">
        <v>3.0</v>
      </c>
      <c r="DB260" s="7">
        <v>35.0</v>
      </c>
      <c r="DC260" s="7">
        <v>25.0</v>
      </c>
      <c r="DP260" s="7">
        <v>7.0</v>
      </c>
      <c r="DQ260" s="7">
        <v>7.0</v>
      </c>
      <c r="DR260" s="7">
        <v>12.0</v>
      </c>
      <c r="DS260" s="7">
        <v>10.0</v>
      </c>
      <c r="EF260" s="7">
        <v>14.0</v>
      </c>
      <c r="EG260" s="7">
        <v>14.0</v>
      </c>
      <c r="EH260" s="7">
        <v>3.0</v>
      </c>
      <c r="EI260" s="7">
        <v>2.0</v>
      </c>
      <c r="EX260" s="7">
        <v>10.0</v>
      </c>
      <c r="GR260" s="87">
        <v>259.0</v>
      </c>
    </row>
    <row r="261">
      <c r="A261" s="5">
        <v>46023.48914631944</v>
      </c>
      <c r="B261" s="6">
        <v>45992.0</v>
      </c>
      <c r="C261" s="6">
        <v>46022.0</v>
      </c>
      <c r="D261" s="7" t="s">
        <v>29</v>
      </c>
      <c r="E261" s="7" t="s">
        <v>110</v>
      </c>
      <c r="F261" s="7">
        <v>3.0</v>
      </c>
      <c r="G261" s="7" t="s">
        <v>70</v>
      </c>
      <c r="H261" s="7" t="s">
        <v>76</v>
      </c>
      <c r="J261" s="7">
        <v>105.0</v>
      </c>
      <c r="N261" s="7">
        <v>25.0</v>
      </c>
      <c r="AE261" s="7">
        <v>50.0</v>
      </c>
      <c r="AF261" s="7">
        <v>50.0</v>
      </c>
      <c r="AG261" s="7">
        <v>50.0</v>
      </c>
      <c r="BC261" s="7">
        <v>10.0</v>
      </c>
      <c r="BN261" s="7">
        <v>60.0</v>
      </c>
      <c r="BO261" s="7">
        <v>60.0</v>
      </c>
      <c r="BR261" s="7">
        <v>4.0</v>
      </c>
      <c r="BS261" s="7">
        <v>4.0</v>
      </c>
      <c r="BZ261" s="7">
        <v>50.0</v>
      </c>
      <c r="CA261" s="7">
        <v>50.0</v>
      </c>
      <c r="CH261" s="7">
        <v>18.0</v>
      </c>
      <c r="CI261" s="7">
        <v>12.0</v>
      </c>
      <c r="CP261" s="7">
        <v>10.0</v>
      </c>
      <c r="CQ261" s="7">
        <v>7.0</v>
      </c>
      <c r="CT261" s="7">
        <v>4.0</v>
      </c>
      <c r="CU261" s="7">
        <v>1.0</v>
      </c>
      <c r="DB261" s="7">
        <v>60.0</v>
      </c>
      <c r="DC261" s="7">
        <v>35.0</v>
      </c>
      <c r="DL261" s="7">
        <v>1.0</v>
      </c>
      <c r="DM261" s="7">
        <v>1.0</v>
      </c>
      <c r="DR261" s="7">
        <v>2.0</v>
      </c>
      <c r="DS261" s="7">
        <v>3.0</v>
      </c>
      <c r="DT261" s="7">
        <v>5.0</v>
      </c>
      <c r="DU261" s="7">
        <v>7.0</v>
      </c>
      <c r="EV261" s="7">
        <v>90.0</v>
      </c>
      <c r="EX261" s="7">
        <v>10.0</v>
      </c>
      <c r="FB261" s="7">
        <v>60.0</v>
      </c>
      <c r="GR261" s="87">
        <v>260.0</v>
      </c>
    </row>
    <row r="262">
      <c r="A262" s="5">
        <v>46023.50590914352</v>
      </c>
      <c r="B262" s="6">
        <v>45992.0</v>
      </c>
      <c r="C262" s="6">
        <v>46022.0</v>
      </c>
      <c r="D262" s="7" t="s">
        <v>201</v>
      </c>
      <c r="E262" s="7" t="s">
        <v>199</v>
      </c>
      <c r="F262" s="7">
        <v>2.0</v>
      </c>
      <c r="G262" s="7" t="s">
        <v>70</v>
      </c>
      <c r="H262" s="7" t="s">
        <v>76</v>
      </c>
      <c r="J262" s="7">
        <v>100.0</v>
      </c>
      <c r="N262" s="7">
        <v>48.0</v>
      </c>
      <c r="Q262" s="7">
        <v>1.0</v>
      </c>
      <c r="R262" s="7">
        <v>70.0</v>
      </c>
      <c r="S262" s="7">
        <v>100.0</v>
      </c>
      <c r="AE262" s="7">
        <v>50.0</v>
      </c>
      <c r="AF262" s="7">
        <v>50.0</v>
      </c>
      <c r="AG262" s="7">
        <v>50.0</v>
      </c>
      <c r="BC262" s="7">
        <v>20.0</v>
      </c>
      <c r="BN262" s="7">
        <v>45.0</v>
      </c>
      <c r="BO262" s="7">
        <v>34.0</v>
      </c>
      <c r="BR262" s="7">
        <v>10.0</v>
      </c>
      <c r="BS262" s="7">
        <v>5.0</v>
      </c>
      <c r="BZ262" s="7">
        <v>120.0</v>
      </c>
      <c r="CA262" s="7">
        <v>94.0</v>
      </c>
      <c r="CB262" s="7">
        <v>15.0</v>
      </c>
      <c r="CC262" s="7">
        <v>12.0</v>
      </c>
      <c r="CH262" s="7">
        <v>12.0</v>
      </c>
      <c r="CI262" s="7">
        <v>7.0</v>
      </c>
      <c r="CL262" s="7">
        <v>12.0</v>
      </c>
      <c r="CM262" s="7">
        <v>7.0</v>
      </c>
      <c r="CN262" s="7">
        <v>12.0</v>
      </c>
      <c r="CO262" s="7">
        <v>6.0</v>
      </c>
      <c r="CT262" s="7">
        <v>4.0</v>
      </c>
      <c r="CU262" s="7">
        <v>1.0</v>
      </c>
      <c r="DB262" s="7">
        <v>24.0</v>
      </c>
      <c r="DC262" s="7">
        <v>15.0</v>
      </c>
      <c r="DD262" s="7">
        <v>12.0</v>
      </c>
      <c r="DE262" s="7">
        <v>7.0</v>
      </c>
      <c r="DL262" s="7">
        <v>1.0</v>
      </c>
      <c r="DM262" s="7">
        <v>1.0</v>
      </c>
      <c r="DP262" s="7">
        <v>3.0</v>
      </c>
      <c r="DQ262" s="7">
        <v>3.0</v>
      </c>
      <c r="DT262" s="7">
        <v>2.0</v>
      </c>
      <c r="DU262" s="7">
        <v>3.0</v>
      </c>
      <c r="DY262" s="7">
        <v>2.0</v>
      </c>
      <c r="EV262" s="7">
        <v>45.0</v>
      </c>
      <c r="EX262" s="7">
        <v>10.0</v>
      </c>
      <c r="FB262" s="7">
        <v>120.0</v>
      </c>
      <c r="FC262" s="7">
        <v>15.0</v>
      </c>
      <c r="GR262" s="87">
        <v>261.0</v>
      </c>
    </row>
    <row r="263">
      <c r="A263" s="5">
        <v>46023.54797208333</v>
      </c>
      <c r="B263" s="6">
        <v>45992.0</v>
      </c>
      <c r="C263" s="6">
        <v>46022.0</v>
      </c>
      <c r="D263" s="7" t="s">
        <v>213</v>
      </c>
      <c r="E263" s="7" t="s">
        <v>231</v>
      </c>
      <c r="F263" s="7">
        <v>3.0</v>
      </c>
      <c r="G263" s="7" t="s">
        <v>70</v>
      </c>
      <c r="H263" s="7" t="s">
        <v>76</v>
      </c>
      <c r="J263" s="7">
        <v>70.0</v>
      </c>
      <c r="N263" s="7">
        <v>50.0</v>
      </c>
      <c r="AE263" s="7">
        <v>50.0</v>
      </c>
      <c r="BC263" s="7">
        <v>10.0</v>
      </c>
      <c r="BL263" s="7">
        <v>50.0</v>
      </c>
      <c r="BM263" s="7">
        <v>50.0</v>
      </c>
      <c r="BR263" s="7">
        <v>5.0</v>
      </c>
      <c r="BS263" s="7">
        <v>5.0</v>
      </c>
      <c r="BZ263" s="7">
        <v>15.0</v>
      </c>
      <c r="CA263" s="7">
        <v>15.0</v>
      </c>
      <c r="CH263" s="7">
        <v>15.0</v>
      </c>
      <c r="CI263" s="7">
        <v>7.0</v>
      </c>
      <c r="CL263" s="7">
        <v>60.0</v>
      </c>
      <c r="CM263" s="7">
        <v>31.0</v>
      </c>
      <c r="DB263" s="7">
        <v>45.0</v>
      </c>
      <c r="DC263" s="7">
        <v>23.0</v>
      </c>
      <c r="DR263" s="7">
        <v>2.0</v>
      </c>
      <c r="DS263" s="7">
        <v>2.0</v>
      </c>
      <c r="EF263" s="7">
        <v>7.0</v>
      </c>
      <c r="EG263" s="7">
        <v>8.0</v>
      </c>
      <c r="EX263" s="7">
        <v>10.0</v>
      </c>
      <c r="FB263" s="7">
        <v>15.0</v>
      </c>
      <c r="GR263" s="87">
        <v>262.0</v>
      </c>
    </row>
    <row r="264">
      <c r="A264" s="5">
        <v>46023.55394049769</v>
      </c>
      <c r="B264" s="6">
        <v>45992.0</v>
      </c>
      <c r="C264" s="6">
        <v>46022.0</v>
      </c>
      <c r="D264" s="7" t="s">
        <v>192</v>
      </c>
      <c r="E264" s="7" t="s">
        <v>194</v>
      </c>
      <c r="F264" s="7">
        <v>4.0</v>
      </c>
      <c r="G264" s="7" t="s">
        <v>70</v>
      </c>
      <c r="H264" s="7" t="s">
        <v>76</v>
      </c>
      <c r="BN264" s="7">
        <v>15.0</v>
      </c>
      <c r="BO264" s="7">
        <v>8.0</v>
      </c>
      <c r="BZ264" s="7">
        <v>15.0</v>
      </c>
      <c r="CA264" s="7">
        <v>8.0</v>
      </c>
      <c r="DB264" s="7">
        <v>8.0</v>
      </c>
      <c r="DC264" s="7">
        <v>4.0</v>
      </c>
      <c r="EV264" s="7">
        <v>15.0</v>
      </c>
      <c r="FB264" s="7">
        <v>15.0</v>
      </c>
      <c r="GR264" s="87">
        <v>263.0</v>
      </c>
    </row>
    <row r="265">
      <c r="A265" s="5">
        <v>46023.554068240745</v>
      </c>
      <c r="B265" s="6">
        <v>45992.0</v>
      </c>
      <c r="C265" s="6">
        <v>46022.0</v>
      </c>
      <c r="D265" s="7" t="s">
        <v>32</v>
      </c>
      <c r="E265" s="7" t="s">
        <v>134</v>
      </c>
      <c r="F265" s="7">
        <v>3.0</v>
      </c>
      <c r="G265" s="7" t="s">
        <v>70</v>
      </c>
      <c r="H265" s="7" t="s">
        <v>76</v>
      </c>
      <c r="J265" s="7">
        <v>86.0</v>
      </c>
      <c r="N265" s="7">
        <v>32.0</v>
      </c>
      <c r="Q265" s="7">
        <v>2.0</v>
      </c>
      <c r="R265" s="7">
        <v>600.0</v>
      </c>
      <c r="S265" s="7">
        <v>600.0</v>
      </c>
      <c r="AE265" s="7">
        <v>50.0</v>
      </c>
      <c r="BC265" s="7">
        <v>10.0</v>
      </c>
      <c r="BF265" s="7">
        <v>5.0</v>
      </c>
      <c r="BG265" s="7">
        <v>5.0</v>
      </c>
      <c r="BJ265" s="7">
        <v>10.0</v>
      </c>
      <c r="BK265" s="7">
        <v>10.0</v>
      </c>
      <c r="BL265" s="7">
        <v>10.0</v>
      </c>
      <c r="BM265" s="7">
        <v>10.0</v>
      </c>
      <c r="BN265" s="7">
        <v>30.0</v>
      </c>
      <c r="BO265" s="7">
        <v>30.0</v>
      </c>
      <c r="BR265" s="7">
        <v>5.0</v>
      </c>
      <c r="BS265" s="7">
        <v>5.0</v>
      </c>
      <c r="BZ265" s="7">
        <v>60.0</v>
      </c>
      <c r="CA265" s="7">
        <v>60.0</v>
      </c>
      <c r="CH265" s="7">
        <v>5.0</v>
      </c>
      <c r="CI265" s="7">
        <v>2.0</v>
      </c>
      <c r="CL265" s="7">
        <v>13.0</v>
      </c>
      <c r="CM265" s="7">
        <v>7.0</v>
      </c>
      <c r="CN265" s="7">
        <v>16.0</v>
      </c>
      <c r="CO265" s="7">
        <v>9.0</v>
      </c>
      <c r="CP265" s="7">
        <v>18.0</v>
      </c>
      <c r="CQ265" s="7">
        <v>10.0</v>
      </c>
      <c r="CT265" s="7">
        <v>5.0</v>
      </c>
      <c r="DB265" s="7">
        <v>26.0</v>
      </c>
      <c r="DC265" s="7">
        <v>15.0</v>
      </c>
      <c r="DL265" s="7">
        <v>6.0</v>
      </c>
      <c r="DM265" s="7">
        <v>8.0</v>
      </c>
      <c r="DR265" s="7">
        <v>2.0</v>
      </c>
      <c r="DS265" s="7">
        <v>3.0</v>
      </c>
      <c r="DT265" s="7">
        <v>11.0</v>
      </c>
      <c r="DU265" s="7">
        <v>13.0</v>
      </c>
      <c r="DX265" s="7">
        <v>1.0</v>
      </c>
      <c r="DY265" s="7">
        <v>1.0</v>
      </c>
      <c r="EF265" s="7">
        <v>11.0</v>
      </c>
      <c r="EG265" s="7">
        <v>20.0</v>
      </c>
      <c r="EH265" s="7">
        <v>5.0</v>
      </c>
      <c r="EI265" s="7">
        <v>7.0</v>
      </c>
      <c r="EV265" s="7">
        <v>70.0</v>
      </c>
      <c r="EX265" s="7">
        <v>10.0</v>
      </c>
      <c r="GR265" s="87">
        <v>264.0</v>
      </c>
    </row>
    <row r="266">
      <c r="A266" s="5">
        <v>46023.56169511574</v>
      </c>
      <c r="B266" s="6">
        <v>45992.0</v>
      </c>
      <c r="C266" s="6">
        <v>46022.0</v>
      </c>
      <c r="D266" s="7" t="s">
        <v>33</v>
      </c>
      <c r="E266" s="7" t="s">
        <v>151</v>
      </c>
      <c r="F266" s="7">
        <v>2.0</v>
      </c>
      <c r="G266" s="7" t="s">
        <v>70</v>
      </c>
      <c r="H266" s="7" t="s">
        <v>76</v>
      </c>
      <c r="J266" s="7">
        <v>34.0</v>
      </c>
      <c r="K266" s="7">
        <v>2.0</v>
      </c>
      <c r="N266" s="7">
        <v>6.0</v>
      </c>
      <c r="AE266" s="7">
        <v>50.0</v>
      </c>
      <c r="AF266" s="7">
        <v>50.0</v>
      </c>
      <c r="AG266" s="7">
        <v>50.0</v>
      </c>
      <c r="BC266" s="7">
        <v>10.0</v>
      </c>
      <c r="BF266" s="7">
        <v>5.0</v>
      </c>
      <c r="BG266" s="7">
        <v>3.0</v>
      </c>
      <c r="BL266" s="7">
        <v>10.0</v>
      </c>
      <c r="BM266" s="7">
        <v>5.0</v>
      </c>
      <c r="BN266" s="7">
        <v>45.0</v>
      </c>
      <c r="BO266" s="7">
        <v>23.0</v>
      </c>
      <c r="BR266" s="7">
        <v>7.0</v>
      </c>
      <c r="BS266" s="7">
        <v>7.0</v>
      </c>
      <c r="BZ266" s="7">
        <v>47.0</v>
      </c>
      <c r="CA266" s="7">
        <v>24.0</v>
      </c>
      <c r="CH266" s="7">
        <v>3.0</v>
      </c>
      <c r="CI266" s="7">
        <v>3.0</v>
      </c>
      <c r="CN266" s="7">
        <v>5.0</v>
      </c>
      <c r="CO266" s="7">
        <v>4.0</v>
      </c>
      <c r="CT266" s="7">
        <v>3.0</v>
      </c>
      <c r="CU266" s="7">
        <v>2.0</v>
      </c>
      <c r="DB266" s="7">
        <v>15.0</v>
      </c>
      <c r="DC266" s="7">
        <v>12.0</v>
      </c>
      <c r="DL266" s="7">
        <v>2.0</v>
      </c>
      <c r="DM266" s="7">
        <v>1.0</v>
      </c>
      <c r="DS266" s="7">
        <v>1.0</v>
      </c>
      <c r="EF266" s="7">
        <v>2.0</v>
      </c>
      <c r="EG266" s="7">
        <v>2.0</v>
      </c>
      <c r="EV266" s="7">
        <v>45.0</v>
      </c>
      <c r="EX266" s="7">
        <v>20.0</v>
      </c>
      <c r="FB266" s="7">
        <v>30.0</v>
      </c>
      <c r="FC266" s="7">
        <v>15.0</v>
      </c>
      <c r="GR266" s="87">
        <v>265.0</v>
      </c>
    </row>
    <row r="267">
      <c r="A267" s="5">
        <v>46023.56694106481</v>
      </c>
      <c r="B267" s="6">
        <v>45992.0</v>
      </c>
      <c r="C267" s="6">
        <v>46022.0</v>
      </c>
      <c r="D267" s="7" t="s">
        <v>37</v>
      </c>
      <c r="E267" s="7" t="s">
        <v>87</v>
      </c>
      <c r="F267" s="7">
        <v>3.0</v>
      </c>
      <c r="G267" s="7" t="s">
        <v>70</v>
      </c>
      <c r="H267" s="7" t="s">
        <v>76</v>
      </c>
      <c r="J267" s="7">
        <v>55.0</v>
      </c>
      <c r="K267" s="7">
        <v>5.0</v>
      </c>
      <c r="N267" s="7">
        <v>10.0</v>
      </c>
      <c r="O267" s="7">
        <v>2.0</v>
      </c>
      <c r="AE267" s="7">
        <v>50.0</v>
      </c>
      <c r="BC267" s="7">
        <v>10.0</v>
      </c>
      <c r="BF267" s="7">
        <v>5.0</v>
      </c>
      <c r="BG267" s="7">
        <v>5.0</v>
      </c>
      <c r="BR267" s="7">
        <v>6.0</v>
      </c>
      <c r="BS267" s="7">
        <v>6.0</v>
      </c>
      <c r="BZ267" s="7">
        <v>60.0</v>
      </c>
      <c r="CA267" s="7">
        <v>50.0</v>
      </c>
      <c r="CH267" s="7">
        <v>5.0</v>
      </c>
      <c r="CI267" s="7">
        <v>4.0</v>
      </c>
      <c r="CN267" s="7">
        <v>12.0</v>
      </c>
      <c r="CO267" s="7">
        <v>8.0</v>
      </c>
      <c r="CT267" s="7">
        <v>4.0</v>
      </c>
      <c r="CU267" s="7">
        <v>2.0</v>
      </c>
      <c r="DB267" s="7">
        <v>20.0</v>
      </c>
      <c r="DC267" s="7">
        <v>12.0</v>
      </c>
      <c r="DD267" s="7">
        <v>10.0</v>
      </c>
      <c r="DE267" s="7">
        <v>6.0</v>
      </c>
      <c r="DM267" s="7">
        <v>1.0</v>
      </c>
      <c r="DR267" s="7">
        <v>3.0</v>
      </c>
      <c r="DS267" s="7">
        <v>2.0</v>
      </c>
      <c r="DT267" s="7">
        <v>2.0</v>
      </c>
      <c r="DU267" s="7">
        <v>3.0</v>
      </c>
      <c r="DY267" s="7">
        <v>1.0</v>
      </c>
      <c r="EF267" s="7">
        <v>15.0</v>
      </c>
      <c r="EG267" s="7">
        <v>15.0</v>
      </c>
      <c r="EH267" s="7">
        <v>4.0</v>
      </c>
      <c r="EI267" s="7">
        <v>3.0</v>
      </c>
      <c r="EU267" s="7">
        <v>15.0</v>
      </c>
      <c r="EX267" s="7">
        <v>5.0</v>
      </c>
      <c r="FB267" s="7">
        <v>60.0</v>
      </c>
      <c r="GR267" s="87">
        <v>266.0</v>
      </c>
    </row>
    <row r="268">
      <c r="A268" s="5">
        <v>46023.57625469907</v>
      </c>
      <c r="B268" s="6">
        <v>45992.0</v>
      </c>
      <c r="C268" s="6">
        <v>46022.0</v>
      </c>
      <c r="D268" s="7" t="s">
        <v>38</v>
      </c>
      <c r="E268" s="7" t="s">
        <v>188</v>
      </c>
      <c r="F268" s="7">
        <v>2.0</v>
      </c>
      <c r="G268" s="7" t="s">
        <v>70</v>
      </c>
      <c r="H268" s="7" t="s">
        <v>76</v>
      </c>
      <c r="J268" s="7">
        <v>50.0</v>
      </c>
      <c r="N268" s="7">
        <v>25.0</v>
      </c>
      <c r="AE268" s="7">
        <v>50.0</v>
      </c>
      <c r="AF268" s="7">
        <v>50.0</v>
      </c>
      <c r="AG268" s="7">
        <v>50.0</v>
      </c>
      <c r="BC268" s="7">
        <v>10.0</v>
      </c>
      <c r="BD268" s="7">
        <v>10.0</v>
      </c>
      <c r="BE268" s="7">
        <v>10.0</v>
      </c>
      <c r="BN268" s="7">
        <v>15.0</v>
      </c>
      <c r="BO268" s="7">
        <v>8.0</v>
      </c>
      <c r="BZ268" s="7">
        <v>15.0</v>
      </c>
      <c r="CA268" s="7">
        <v>8.0</v>
      </c>
      <c r="CT268" s="7">
        <v>5.0</v>
      </c>
      <c r="CU268" s="7">
        <v>2.0</v>
      </c>
      <c r="DB268" s="7">
        <v>8.0</v>
      </c>
      <c r="DC268" s="7">
        <v>5.0</v>
      </c>
      <c r="EV268" s="7">
        <v>30.0</v>
      </c>
      <c r="FB268" s="7">
        <v>30.0</v>
      </c>
      <c r="FL268" s="7">
        <v>15.0</v>
      </c>
      <c r="FR268" s="7">
        <v>15.0</v>
      </c>
      <c r="GR268" s="87">
        <v>267.0</v>
      </c>
    </row>
    <row r="269">
      <c r="A269" s="5">
        <v>46023.57880372685</v>
      </c>
      <c r="B269" s="6">
        <v>45992.0</v>
      </c>
      <c r="C269" s="6">
        <v>46022.0</v>
      </c>
      <c r="D269" s="7" t="s">
        <v>269</v>
      </c>
      <c r="E269" s="7" t="s">
        <v>267</v>
      </c>
      <c r="F269" s="7">
        <v>2.0</v>
      </c>
      <c r="G269" s="7" t="s">
        <v>70</v>
      </c>
      <c r="H269" s="7" t="s">
        <v>76</v>
      </c>
      <c r="J269" s="7">
        <v>100.0</v>
      </c>
      <c r="N269" s="7">
        <v>48.0</v>
      </c>
      <c r="AE269" s="7">
        <v>50.0</v>
      </c>
      <c r="BC269" s="7">
        <v>10.0</v>
      </c>
      <c r="BL269" s="7">
        <v>15.0</v>
      </c>
      <c r="BM269" s="7">
        <v>15.0</v>
      </c>
      <c r="BN269" s="7">
        <v>15.0</v>
      </c>
      <c r="BO269" s="7">
        <v>15.0</v>
      </c>
      <c r="BR269" s="7">
        <v>8.0</v>
      </c>
      <c r="BS269" s="7">
        <v>8.0</v>
      </c>
      <c r="BZ269" s="7">
        <v>45.0</v>
      </c>
      <c r="CA269" s="7">
        <v>45.0</v>
      </c>
      <c r="CT269" s="7">
        <v>5.0</v>
      </c>
      <c r="CU269" s="7">
        <v>3.0</v>
      </c>
      <c r="DB269" s="7">
        <v>45.0</v>
      </c>
      <c r="DC269" s="7">
        <v>25.0</v>
      </c>
      <c r="DL269" s="7">
        <v>4.0</v>
      </c>
      <c r="DM269" s="7">
        <v>3.0</v>
      </c>
      <c r="DT269" s="7">
        <v>3.0</v>
      </c>
      <c r="DU269" s="7">
        <v>3.0</v>
      </c>
      <c r="EF269" s="7">
        <v>6.0</v>
      </c>
      <c r="EG269" s="7">
        <v>7.0</v>
      </c>
      <c r="EV269" s="7">
        <v>15.0</v>
      </c>
      <c r="EX269" s="7">
        <v>10.0</v>
      </c>
      <c r="FB269" s="7">
        <v>45.0</v>
      </c>
      <c r="GR269" s="87">
        <v>268.0</v>
      </c>
    </row>
    <row r="270">
      <c r="A270" s="5">
        <v>46024.412840370365</v>
      </c>
      <c r="B270" s="6">
        <v>45992.0</v>
      </c>
      <c r="C270" s="6">
        <v>46022.0</v>
      </c>
      <c r="D270" s="7" t="s">
        <v>214</v>
      </c>
      <c r="E270" s="7" t="s">
        <v>217</v>
      </c>
      <c r="F270" s="7">
        <v>4.0</v>
      </c>
      <c r="G270" s="7" t="s">
        <v>70</v>
      </c>
      <c r="H270" s="7" t="s">
        <v>76</v>
      </c>
      <c r="BZ270" s="7">
        <v>15.0</v>
      </c>
      <c r="CA270" s="7">
        <v>10.0</v>
      </c>
      <c r="CB270" s="7">
        <v>15.0</v>
      </c>
      <c r="CC270" s="7">
        <v>11.0</v>
      </c>
      <c r="FB270" s="7">
        <v>15.0</v>
      </c>
      <c r="FC270" s="7">
        <v>15.0</v>
      </c>
      <c r="GR270" s="87">
        <v>269.0</v>
      </c>
    </row>
    <row r="271">
      <c r="A271" s="5">
        <v>46024.436726354164</v>
      </c>
      <c r="B271" s="6">
        <v>45992.0</v>
      </c>
      <c r="C271" s="6">
        <v>46022.0</v>
      </c>
      <c r="D271" s="7" t="s">
        <v>39</v>
      </c>
      <c r="E271" s="7" t="s">
        <v>179</v>
      </c>
      <c r="F271" s="7">
        <v>4.0</v>
      </c>
      <c r="G271" s="7" t="s">
        <v>70</v>
      </c>
      <c r="H271" s="7" t="s">
        <v>76</v>
      </c>
      <c r="DT271" s="7">
        <v>10.0</v>
      </c>
      <c r="DU271" s="7">
        <v>8.0</v>
      </c>
      <c r="EF271" s="7">
        <v>4.0</v>
      </c>
      <c r="EG271" s="7">
        <v>3.0</v>
      </c>
      <c r="EH271" s="7">
        <v>4.0</v>
      </c>
      <c r="EI271" s="7">
        <v>3.0</v>
      </c>
      <c r="GR271" s="87">
        <v>270.0</v>
      </c>
    </row>
    <row r="272">
      <c r="A272" s="5">
        <v>46024.462550208336</v>
      </c>
      <c r="B272" s="6">
        <v>45992.0</v>
      </c>
      <c r="C272" s="6">
        <v>46022.0</v>
      </c>
      <c r="D272" s="7" t="s">
        <v>212</v>
      </c>
      <c r="E272" s="7" t="s">
        <v>227</v>
      </c>
      <c r="F272" s="7">
        <v>3.0</v>
      </c>
      <c r="G272" s="7" t="s">
        <v>70</v>
      </c>
      <c r="H272" s="7" t="s">
        <v>76</v>
      </c>
      <c r="J272" s="7">
        <v>52.0</v>
      </c>
      <c r="N272" s="7">
        <v>41.0</v>
      </c>
      <c r="T272" s="7">
        <v>27.0</v>
      </c>
      <c r="AE272" s="7">
        <v>50.0</v>
      </c>
      <c r="AF272" s="7">
        <v>50.0</v>
      </c>
      <c r="AG272" s="7">
        <v>50.0</v>
      </c>
      <c r="BC272" s="7">
        <v>10.0</v>
      </c>
      <c r="BL272" s="7">
        <v>15.0</v>
      </c>
      <c r="BM272" s="7">
        <v>10.0</v>
      </c>
      <c r="BN272" s="7">
        <v>90.0</v>
      </c>
      <c r="BO272" s="7">
        <v>30.0</v>
      </c>
      <c r="BR272" s="7">
        <v>10.0</v>
      </c>
      <c r="BS272" s="7">
        <v>10.0</v>
      </c>
      <c r="BZ272" s="7">
        <v>15.0</v>
      </c>
      <c r="CA272" s="7">
        <v>10.0</v>
      </c>
      <c r="CB272" s="7">
        <v>15.0</v>
      </c>
      <c r="CC272" s="7">
        <v>10.0</v>
      </c>
      <c r="CN272" s="7">
        <v>12.0</v>
      </c>
      <c r="CO272" s="7">
        <v>6.0</v>
      </c>
      <c r="CT272" s="7">
        <v>5.0</v>
      </c>
      <c r="CU272" s="7">
        <v>2.0</v>
      </c>
      <c r="DD272" s="7">
        <v>18.0</v>
      </c>
      <c r="DE272" s="7">
        <v>10.0</v>
      </c>
      <c r="DT272" s="7">
        <v>7.0</v>
      </c>
      <c r="DU272" s="7">
        <v>6.0</v>
      </c>
      <c r="EF272" s="7">
        <v>2.0</v>
      </c>
      <c r="EV272" s="7">
        <v>180.0</v>
      </c>
      <c r="EX272" s="7">
        <v>10.0</v>
      </c>
      <c r="FB272" s="7">
        <v>15.0</v>
      </c>
      <c r="FC272" s="7">
        <v>15.0</v>
      </c>
      <c r="FR272" s="7">
        <v>15.0</v>
      </c>
      <c r="FS272" s="7">
        <v>15.0</v>
      </c>
      <c r="GR272" s="87">
        <v>271.0</v>
      </c>
    </row>
    <row r="273">
      <c r="A273" s="5">
        <v>46024.50396125</v>
      </c>
      <c r="B273" s="6">
        <v>45992.0</v>
      </c>
      <c r="C273" s="6">
        <v>46022.0</v>
      </c>
      <c r="D273" s="7" t="s">
        <v>36</v>
      </c>
      <c r="E273" s="7" t="s">
        <v>183</v>
      </c>
      <c r="F273" s="7">
        <v>3.0</v>
      </c>
      <c r="G273" s="7" t="s">
        <v>70</v>
      </c>
      <c r="H273" s="7" t="s">
        <v>76</v>
      </c>
      <c r="J273" s="7">
        <v>60.0</v>
      </c>
      <c r="N273" s="7">
        <v>40.0</v>
      </c>
      <c r="T273" s="7">
        <v>25.0</v>
      </c>
      <c r="W273" s="7">
        <v>3.0</v>
      </c>
      <c r="AE273" s="7">
        <v>50.0</v>
      </c>
      <c r="AF273" s="7">
        <v>50.0</v>
      </c>
      <c r="AG273" s="7">
        <v>50.0</v>
      </c>
      <c r="BC273" s="7">
        <v>10.0</v>
      </c>
      <c r="BN273" s="7">
        <v>30.0</v>
      </c>
      <c r="BO273" s="7">
        <v>24.0</v>
      </c>
      <c r="BR273" s="7">
        <v>3.0</v>
      </c>
      <c r="BS273" s="7">
        <v>2.0</v>
      </c>
      <c r="BZ273" s="7">
        <v>30.0</v>
      </c>
      <c r="CA273" s="7">
        <v>24.0</v>
      </c>
      <c r="CB273" s="7">
        <v>15.0</v>
      </c>
      <c r="CC273" s="7">
        <v>12.0</v>
      </c>
      <c r="CH273" s="7">
        <v>12.0</v>
      </c>
      <c r="CI273" s="7">
        <v>6.0</v>
      </c>
      <c r="CT273" s="7">
        <v>8.0</v>
      </c>
      <c r="CU273" s="7">
        <v>4.0</v>
      </c>
      <c r="DB273" s="7">
        <v>48.0</v>
      </c>
      <c r="DC273" s="7">
        <v>24.0</v>
      </c>
      <c r="DD273" s="7">
        <v>12.0</v>
      </c>
      <c r="DE273" s="7">
        <v>6.0</v>
      </c>
      <c r="DT273" s="7">
        <v>4.0</v>
      </c>
      <c r="DU273" s="7">
        <v>3.0</v>
      </c>
      <c r="EF273" s="7">
        <v>3.0</v>
      </c>
      <c r="EG273" s="7">
        <v>3.0</v>
      </c>
      <c r="EH273" s="7">
        <v>5.0</v>
      </c>
      <c r="EI273" s="7">
        <v>4.0</v>
      </c>
      <c r="EV273" s="7">
        <v>30.0</v>
      </c>
      <c r="EX273" s="7">
        <v>10.0</v>
      </c>
      <c r="FB273" s="7">
        <v>30.0</v>
      </c>
      <c r="FC273" s="7">
        <v>15.0</v>
      </c>
      <c r="GR273" s="87">
        <v>272.0</v>
      </c>
    </row>
    <row r="274">
      <c r="A274" s="5">
        <v>46025.50268733797</v>
      </c>
      <c r="B274" s="6">
        <v>45992.0</v>
      </c>
      <c r="C274" s="6">
        <v>46022.0</v>
      </c>
      <c r="D274" s="7" t="s">
        <v>27</v>
      </c>
      <c r="E274" s="7" t="s">
        <v>120</v>
      </c>
      <c r="F274" s="7">
        <v>2.0</v>
      </c>
      <c r="G274" s="7" t="s">
        <v>70</v>
      </c>
      <c r="H274" s="7" t="s">
        <v>76</v>
      </c>
      <c r="J274" s="7">
        <v>68.0</v>
      </c>
      <c r="N274" s="7">
        <v>29.0</v>
      </c>
      <c r="AE274" s="7">
        <v>50.0</v>
      </c>
      <c r="BC274" s="7">
        <v>10.0</v>
      </c>
      <c r="BN274" s="7">
        <v>15.0</v>
      </c>
      <c r="BO274" s="7">
        <v>9.0</v>
      </c>
      <c r="BR274" s="7">
        <v>4.0</v>
      </c>
      <c r="BS274" s="7">
        <v>3.0</v>
      </c>
      <c r="BZ274" s="7">
        <v>15.0</v>
      </c>
      <c r="CA274" s="7">
        <v>8.0</v>
      </c>
      <c r="CH274" s="7">
        <v>11.0</v>
      </c>
      <c r="CI274" s="7">
        <v>6.0</v>
      </c>
      <c r="CT274" s="7">
        <v>4.0</v>
      </c>
      <c r="CU274" s="7">
        <v>1.0</v>
      </c>
      <c r="DB274" s="7">
        <v>22.0</v>
      </c>
      <c r="DC274" s="7">
        <v>14.0</v>
      </c>
      <c r="DD274" s="7">
        <v>9.0</v>
      </c>
      <c r="DE274" s="7">
        <v>3.0</v>
      </c>
      <c r="EU274" s="7">
        <v>15.0</v>
      </c>
      <c r="EV274" s="7">
        <v>45.0</v>
      </c>
      <c r="EX274" s="7">
        <v>10.0</v>
      </c>
      <c r="FB274" s="7">
        <v>30.0</v>
      </c>
      <c r="GR274" s="87">
        <v>273.0</v>
      </c>
    </row>
    <row r="275">
      <c r="A275" s="5">
        <v>46025.515400648146</v>
      </c>
      <c r="B275" s="6">
        <v>45992.0</v>
      </c>
      <c r="C275" s="6">
        <v>46022.0</v>
      </c>
      <c r="D275" s="7" t="s">
        <v>20</v>
      </c>
      <c r="E275" s="7" t="s">
        <v>77</v>
      </c>
      <c r="F275" s="7">
        <v>1.0</v>
      </c>
      <c r="G275" s="7" t="s">
        <v>70</v>
      </c>
      <c r="H275" s="7" t="s">
        <v>76</v>
      </c>
      <c r="J275" s="7">
        <v>81.0</v>
      </c>
      <c r="K275" s="7">
        <v>10.0</v>
      </c>
      <c r="L275" s="7">
        <v>57.0</v>
      </c>
      <c r="N275" s="7">
        <v>35.0</v>
      </c>
      <c r="O275" s="7">
        <v>5.0</v>
      </c>
      <c r="P275" s="7">
        <v>20.0</v>
      </c>
      <c r="T275" s="7">
        <v>150.0</v>
      </c>
      <c r="BC275" s="7">
        <v>100.0</v>
      </c>
      <c r="BN275" s="7">
        <v>160.0</v>
      </c>
      <c r="BO275" s="7">
        <v>130.0</v>
      </c>
      <c r="BR275" s="7">
        <v>5.0</v>
      </c>
      <c r="BS275" s="7">
        <v>5.0</v>
      </c>
      <c r="BZ275" s="7">
        <v>60.0</v>
      </c>
      <c r="CA275" s="7">
        <v>45.0</v>
      </c>
      <c r="CB275" s="7">
        <v>15.0</v>
      </c>
      <c r="CC275" s="7">
        <v>11.0</v>
      </c>
      <c r="CH275" s="7">
        <v>7.0</v>
      </c>
      <c r="CI275" s="7">
        <v>4.0</v>
      </c>
      <c r="CL275" s="7">
        <v>10.0</v>
      </c>
      <c r="CM275" s="7">
        <v>6.0</v>
      </c>
      <c r="CN275" s="7">
        <v>10.0</v>
      </c>
      <c r="CO275" s="7">
        <v>6.0</v>
      </c>
      <c r="CT275" s="7">
        <v>2.0</v>
      </c>
      <c r="CU275" s="7">
        <v>1.0</v>
      </c>
      <c r="DB275" s="7">
        <v>21.0</v>
      </c>
      <c r="DC275" s="7">
        <v>13.0</v>
      </c>
      <c r="DL275" s="7">
        <v>3.0</v>
      </c>
      <c r="DM275" s="7">
        <v>2.0</v>
      </c>
      <c r="DP275" s="7">
        <v>4.0</v>
      </c>
      <c r="DQ275" s="7">
        <v>4.0</v>
      </c>
      <c r="EF275" s="7">
        <v>6.0</v>
      </c>
      <c r="EG275" s="7">
        <v>4.0</v>
      </c>
      <c r="EV275" s="7">
        <v>160.0</v>
      </c>
      <c r="EX275" s="7">
        <v>5.0</v>
      </c>
      <c r="FB275" s="7">
        <v>60.0</v>
      </c>
      <c r="FC275" s="7">
        <v>15.0</v>
      </c>
      <c r="GN275" s="7">
        <v>2.0</v>
      </c>
      <c r="GO275" s="7">
        <v>2.0</v>
      </c>
      <c r="GQ275" s="7">
        <v>20.0</v>
      </c>
      <c r="GR275" s="87">
        <v>274.0</v>
      </c>
    </row>
    <row r="276">
      <c r="A276" s="5">
        <v>46046.858120150464</v>
      </c>
      <c r="B276" s="6">
        <v>45992.0</v>
      </c>
      <c r="C276" s="6">
        <v>46022.0</v>
      </c>
      <c r="D276" s="7" t="s">
        <v>211</v>
      </c>
      <c r="E276" s="7" t="s">
        <v>223</v>
      </c>
      <c r="F276" s="7">
        <v>4.0</v>
      </c>
      <c r="G276" s="7" t="s">
        <v>70</v>
      </c>
      <c r="H276" s="7" t="s">
        <v>76</v>
      </c>
      <c r="BN276" s="7">
        <v>30.0</v>
      </c>
      <c r="BO276" s="7">
        <v>21.0</v>
      </c>
      <c r="BZ276" s="7">
        <v>30.0</v>
      </c>
      <c r="CA276" s="7">
        <v>19.0</v>
      </c>
      <c r="DB276" s="7">
        <v>48.0</v>
      </c>
      <c r="DC276" s="7">
        <v>27.0</v>
      </c>
      <c r="EV276" s="7">
        <v>30.0</v>
      </c>
      <c r="FB276" s="7">
        <v>30.0</v>
      </c>
      <c r="GR276" s="87">
        <v>275.0</v>
      </c>
    </row>
    <row r="277">
      <c r="A277" s="5">
        <v>46046.87301894676</v>
      </c>
      <c r="B277" s="6">
        <v>45992.0</v>
      </c>
      <c r="C277" s="6">
        <v>46022.0</v>
      </c>
      <c r="D277" s="7" t="s">
        <v>207</v>
      </c>
      <c r="E277" s="7" t="s">
        <v>205</v>
      </c>
      <c r="F277" s="7">
        <v>2.0</v>
      </c>
      <c r="G277" s="7" t="s">
        <v>70</v>
      </c>
      <c r="H277" s="7" t="s">
        <v>76</v>
      </c>
      <c r="J277" s="7">
        <v>112.0</v>
      </c>
      <c r="N277" s="7">
        <v>49.0</v>
      </c>
      <c r="T277" s="7">
        <v>55.0</v>
      </c>
      <c r="Y277" s="7">
        <v>10.0</v>
      </c>
      <c r="AA277" s="7">
        <v>2.0</v>
      </c>
      <c r="AE277" s="7">
        <v>50.0</v>
      </c>
      <c r="BC277" s="7">
        <v>20.0</v>
      </c>
      <c r="BN277" s="7">
        <v>70.0</v>
      </c>
      <c r="BO277" s="7">
        <v>51.0</v>
      </c>
      <c r="BR277" s="7">
        <v>15.0</v>
      </c>
      <c r="BS277" s="7">
        <v>15.0</v>
      </c>
      <c r="CH277" s="7">
        <v>37.0</v>
      </c>
      <c r="CI277" s="7">
        <v>21.0</v>
      </c>
      <c r="CL277" s="7">
        <v>21.0</v>
      </c>
      <c r="CM277" s="7">
        <v>11.0</v>
      </c>
      <c r="CN277" s="7">
        <v>8.0</v>
      </c>
      <c r="CO277" s="7">
        <v>4.0</v>
      </c>
      <c r="CT277" s="7">
        <v>12.0</v>
      </c>
      <c r="CU277" s="7">
        <v>4.0</v>
      </c>
      <c r="DB277" s="7">
        <v>32.0</v>
      </c>
      <c r="DC277" s="7">
        <v>19.0</v>
      </c>
      <c r="DL277" s="7">
        <v>5.0</v>
      </c>
      <c r="DM277" s="7">
        <v>3.0</v>
      </c>
      <c r="DP277" s="7">
        <v>4.0</v>
      </c>
      <c r="DQ277" s="7">
        <v>4.0</v>
      </c>
      <c r="DR277" s="7">
        <v>3.0</v>
      </c>
      <c r="DS277" s="7">
        <v>5.0</v>
      </c>
      <c r="EF277" s="7">
        <v>8.0</v>
      </c>
      <c r="EG277" s="7">
        <v>7.0</v>
      </c>
      <c r="EV277" s="7">
        <v>100.0</v>
      </c>
      <c r="EX277" s="7">
        <v>15.0</v>
      </c>
      <c r="FB277" s="7">
        <v>30.0</v>
      </c>
      <c r="FL277" s="7">
        <v>30.0</v>
      </c>
      <c r="FR277" s="7">
        <v>30.0</v>
      </c>
      <c r="GR277" s="87">
        <v>276.0</v>
      </c>
    </row>
    <row r="278">
      <c r="A278" s="5">
        <v>46046.89405520834</v>
      </c>
      <c r="B278" s="6">
        <v>45992.0</v>
      </c>
      <c r="C278" s="6">
        <v>46022.0</v>
      </c>
      <c r="D278" s="7" t="s">
        <v>34</v>
      </c>
      <c r="E278" s="7" t="s">
        <v>169</v>
      </c>
      <c r="F278" s="7">
        <v>1.0</v>
      </c>
      <c r="G278" s="7" t="s">
        <v>70</v>
      </c>
      <c r="H278" s="7" t="s">
        <v>76</v>
      </c>
      <c r="J278" s="7">
        <v>70.0</v>
      </c>
      <c r="T278" s="7">
        <v>50.0</v>
      </c>
      <c r="AE278" s="7">
        <v>50.0</v>
      </c>
      <c r="BC278" s="7">
        <v>30.0</v>
      </c>
      <c r="BN278" s="7">
        <v>30.0</v>
      </c>
      <c r="BO278" s="7">
        <v>20.0</v>
      </c>
      <c r="BZ278" s="7">
        <v>75.0</v>
      </c>
      <c r="CA278" s="7">
        <v>40.0</v>
      </c>
      <c r="CL278" s="7">
        <v>12.0</v>
      </c>
      <c r="CM278" s="7">
        <v>8.0</v>
      </c>
      <c r="CN278" s="7">
        <v>13.0</v>
      </c>
      <c r="CO278" s="7">
        <v>9.0</v>
      </c>
      <c r="DB278" s="7">
        <v>20.0</v>
      </c>
      <c r="DC278" s="7">
        <v>12.0</v>
      </c>
      <c r="DL278" s="7">
        <v>1.0</v>
      </c>
      <c r="DM278" s="7">
        <v>1.0</v>
      </c>
      <c r="DR278" s="7">
        <v>2.0</v>
      </c>
      <c r="DS278" s="7">
        <v>2.0</v>
      </c>
      <c r="DT278" s="7">
        <v>3.0</v>
      </c>
      <c r="DU278" s="7">
        <v>2.0</v>
      </c>
      <c r="DY278" s="7">
        <v>2.0</v>
      </c>
      <c r="EG278" s="7">
        <v>2.0</v>
      </c>
      <c r="EV278" s="7">
        <v>30.0</v>
      </c>
      <c r="FB278" s="7">
        <v>105.0</v>
      </c>
      <c r="FR278" s="7">
        <v>30.0</v>
      </c>
      <c r="GR278" s="87">
        <v>277.0</v>
      </c>
    </row>
    <row r="279">
      <c r="A279" s="5">
        <v>46046.899468449075</v>
      </c>
      <c r="B279" s="6">
        <v>45992.0</v>
      </c>
      <c r="C279" s="6">
        <v>46022.0</v>
      </c>
      <c r="D279" s="7" t="s">
        <v>42</v>
      </c>
      <c r="E279" s="7" t="s">
        <v>279</v>
      </c>
      <c r="F279" s="7">
        <v>2.0</v>
      </c>
      <c r="G279" s="7" t="s">
        <v>70</v>
      </c>
      <c r="H279" s="7" t="s">
        <v>76</v>
      </c>
      <c r="BC279" s="7">
        <v>10.0</v>
      </c>
      <c r="GR279" s="87">
        <v>278.0</v>
      </c>
    </row>
    <row r="280">
      <c r="A280" s="5">
        <v>46046.90324791666</v>
      </c>
      <c r="B280" s="6">
        <v>45992.0</v>
      </c>
      <c r="C280" s="6">
        <v>46022.0</v>
      </c>
      <c r="D280" s="7" t="s">
        <v>30</v>
      </c>
      <c r="E280" s="7" t="s">
        <v>237</v>
      </c>
      <c r="F280" s="7">
        <v>2.0</v>
      </c>
      <c r="G280" s="7" t="s">
        <v>70</v>
      </c>
      <c r="H280" s="7" t="s">
        <v>76</v>
      </c>
      <c r="BC280" s="7">
        <v>10.0</v>
      </c>
      <c r="GR280" s="87">
        <v>279.0</v>
      </c>
    </row>
    <row r="281">
      <c r="A281" s="5">
        <v>46046.91474037037</v>
      </c>
      <c r="B281" s="6">
        <v>45992.0</v>
      </c>
      <c r="C281" s="6">
        <v>46022.0</v>
      </c>
      <c r="D281" s="7" t="s">
        <v>41</v>
      </c>
      <c r="E281" s="7" t="s">
        <v>251</v>
      </c>
      <c r="F281" s="7">
        <v>2.0</v>
      </c>
      <c r="G281" s="7" t="s">
        <v>70</v>
      </c>
      <c r="H281" s="7" t="s">
        <v>76</v>
      </c>
      <c r="J281" s="7">
        <v>115.0</v>
      </c>
      <c r="N281" s="7">
        <v>30.0</v>
      </c>
      <c r="Q281" s="7">
        <v>1.0</v>
      </c>
      <c r="R281" s="7">
        <v>15.0</v>
      </c>
      <c r="S281" s="7">
        <v>25.0</v>
      </c>
      <c r="AE281" s="7">
        <v>50.0</v>
      </c>
      <c r="BC281" s="7">
        <v>20.0</v>
      </c>
      <c r="BN281" s="7">
        <v>30.0</v>
      </c>
      <c r="BO281" s="7">
        <v>21.0</v>
      </c>
      <c r="BR281" s="7">
        <v>5.0</v>
      </c>
      <c r="BS281" s="7">
        <v>3.0</v>
      </c>
      <c r="CH281" s="7">
        <v>3.0</v>
      </c>
      <c r="CI281" s="7">
        <v>2.0</v>
      </c>
      <c r="CT281" s="7">
        <v>8.0</v>
      </c>
      <c r="CU281" s="7">
        <v>3.0</v>
      </c>
      <c r="DD281" s="7">
        <v>22.0</v>
      </c>
      <c r="DE281" s="7">
        <v>15.0</v>
      </c>
      <c r="EV281" s="7">
        <v>45.0</v>
      </c>
      <c r="FB281" s="7">
        <v>15.0</v>
      </c>
      <c r="GR281" s="87">
        <v>280.0</v>
      </c>
    </row>
    <row r="282">
      <c r="A282" s="5">
        <v>46046.91652546296</v>
      </c>
      <c r="B282" s="6">
        <v>45992.0</v>
      </c>
      <c r="C282" s="6">
        <v>46022.0</v>
      </c>
      <c r="D282" s="7" t="s">
        <v>258</v>
      </c>
      <c r="E282" s="7" t="s">
        <v>256</v>
      </c>
      <c r="F282" s="7">
        <v>2.0</v>
      </c>
      <c r="G282" s="7" t="s">
        <v>70</v>
      </c>
      <c r="H282" s="7" t="s">
        <v>76</v>
      </c>
      <c r="J282" s="7">
        <v>20.0</v>
      </c>
      <c r="AE282" s="7">
        <v>50.0</v>
      </c>
      <c r="BC282" s="7">
        <v>10.0</v>
      </c>
      <c r="GR282" s="87">
        <v>281.0</v>
      </c>
    </row>
    <row r="283">
      <c r="A283" s="5">
        <v>46051.542242870375</v>
      </c>
      <c r="B283" s="6">
        <v>46023.0</v>
      </c>
      <c r="C283" s="6">
        <v>46053.0</v>
      </c>
      <c r="D283" s="7" t="s">
        <v>37</v>
      </c>
      <c r="E283" s="7" t="s">
        <v>87</v>
      </c>
      <c r="F283" s="7">
        <v>3.0</v>
      </c>
      <c r="G283" s="7" t="s">
        <v>70</v>
      </c>
      <c r="H283" s="7" t="s">
        <v>76</v>
      </c>
      <c r="J283" s="7">
        <v>90.0</v>
      </c>
      <c r="K283" s="7">
        <v>15.0</v>
      </c>
      <c r="N283" s="7">
        <v>20.0</v>
      </c>
      <c r="O283" s="7">
        <v>5.0</v>
      </c>
      <c r="AE283" s="7">
        <v>0.0</v>
      </c>
      <c r="AF283" s="7">
        <v>50.0</v>
      </c>
      <c r="AG283" s="7">
        <v>50.0</v>
      </c>
      <c r="BC283" s="7">
        <v>0.0</v>
      </c>
      <c r="BD283" s="7">
        <v>6.0</v>
      </c>
      <c r="BE283" s="7">
        <v>4.0</v>
      </c>
      <c r="BN283" s="7">
        <v>90.0</v>
      </c>
      <c r="BO283" s="7">
        <v>66.0</v>
      </c>
      <c r="BR283" s="7">
        <v>4.0</v>
      </c>
      <c r="BS283" s="7">
        <v>4.0</v>
      </c>
      <c r="BZ283" s="7">
        <v>60.0</v>
      </c>
      <c r="CA283" s="7">
        <v>43.0</v>
      </c>
      <c r="DL283" s="7">
        <v>3.0</v>
      </c>
      <c r="DM283" s="7">
        <v>3.0</v>
      </c>
      <c r="DY283" s="7">
        <v>1.0</v>
      </c>
      <c r="EF283" s="7">
        <v>10.0</v>
      </c>
      <c r="EG283" s="7">
        <v>8.0</v>
      </c>
      <c r="EV283" s="7">
        <v>120.0</v>
      </c>
      <c r="FB283" s="7">
        <v>90.0</v>
      </c>
      <c r="GR283" s="87">
        <v>282.0</v>
      </c>
    </row>
    <row r="284">
      <c r="A284" s="5">
        <v>46053.48689490741</v>
      </c>
      <c r="B284" s="6">
        <v>46023.0</v>
      </c>
      <c r="C284" s="6">
        <v>46053.0</v>
      </c>
      <c r="D284" s="7" t="s">
        <v>211</v>
      </c>
      <c r="E284" s="7" t="s">
        <v>223</v>
      </c>
      <c r="F284" s="7">
        <v>4.0</v>
      </c>
      <c r="G284" s="7" t="s">
        <v>70</v>
      </c>
      <c r="H284" s="7" t="s">
        <v>76</v>
      </c>
      <c r="BN284" s="7">
        <v>30.0</v>
      </c>
      <c r="BO284" s="7">
        <v>21.0</v>
      </c>
      <c r="BZ284" s="7">
        <v>30.0</v>
      </c>
      <c r="CA284" s="7">
        <v>23.0</v>
      </c>
      <c r="DB284" s="7">
        <v>21.0</v>
      </c>
      <c r="DC284" s="7">
        <v>12.0</v>
      </c>
      <c r="DD284" s="7">
        <v>12.0</v>
      </c>
      <c r="DE284" s="7">
        <v>7.0</v>
      </c>
      <c r="EV284" s="7">
        <v>30.0</v>
      </c>
      <c r="FB284" s="7">
        <v>30.0</v>
      </c>
      <c r="GR284" s="87">
        <v>283.0</v>
      </c>
    </row>
    <row r="285">
      <c r="A285" s="5">
        <v>46053.5157021412</v>
      </c>
      <c r="B285" s="6">
        <v>46023.0</v>
      </c>
      <c r="C285" s="6">
        <v>46053.0</v>
      </c>
      <c r="D285" s="7" t="s">
        <v>26</v>
      </c>
      <c r="E285" s="7" t="s">
        <v>104</v>
      </c>
      <c r="F285" s="7">
        <v>3.0</v>
      </c>
      <c r="G285" s="7" t="s">
        <v>70</v>
      </c>
      <c r="H285" s="7" t="s">
        <v>76</v>
      </c>
      <c r="I285" s="7">
        <v>1.0</v>
      </c>
      <c r="J285" s="7">
        <v>46.0</v>
      </c>
      <c r="K285" s="7">
        <v>6.0</v>
      </c>
      <c r="M285" s="7">
        <v>1.0</v>
      </c>
      <c r="N285" s="7">
        <v>21.0</v>
      </c>
      <c r="O285" s="7">
        <v>1.0</v>
      </c>
      <c r="AF285" s="7">
        <v>50.0</v>
      </c>
      <c r="AG285" s="7">
        <v>50.0</v>
      </c>
      <c r="AW285" s="7">
        <v>900.0</v>
      </c>
      <c r="BN285" s="7">
        <v>10.0</v>
      </c>
      <c r="BO285" s="7">
        <v>7.0</v>
      </c>
      <c r="BR285" s="7">
        <v>12.0</v>
      </c>
      <c r="BS285" s="7">
        <v>7.0</v>
      </c>
      <c r="BZ285" s="7">
        <v>75.0</v>
      </c>
      <c r="CA285" s="7">
        <v>51.0</v>
      </c>
      <c r="DT285" s="7">
        <v>3.0</v>
      </c>
      <c r="DU285" s="7">
        <v>3.0</v>
      </c>
      <c r="EF285" s="7">
        <v>4.0</v>
      </c>
      <c r="EG285" s="7">
        <v>4.0</v>
      </c>
      <c r="FB285" s="7">
        <v>95.0</v>
      </c>
      <c r="GR285" s="87">
        <v>284.0</v>
      </c>
    </row>
    <row r="286">
      <c r="A286" s="5">
        <v>46053.52278018519</v>
      </c>
      <c r="B286" s="6">
        <v>46023.0</v>
      </c>
      <c r="C286" s="6">
        <v>46053.0</v>
      </c>
      <c r="D286" s="7" t="s">
        <v>201</v>
      </c>
      <c r="E286" s="7" t="s">
        <v>199</v>
      </c>
      <c r="F286" s="7">
        <v>2.0</v>
      </c>
      <c r="G286" s="7" t="s">
        <v>70</v>
      </c>
      <c r="H286" s="7" t="s">
        <v>76</v>
      </c>
      <c r="J286" s="7">
        <v>100.0</v>
      </c>
      <c r="N286" s="7">
        <v>54.0</v>
      </c>
      <c r="AW286" s="7">
        <v>1200.0</v>
      </c>
      <c r="BD286" s="7">
        <v>5.0</v>
      </c>
      <c r="BE286" s="7">
        <v>5.0</v>
      </c>
      <c r="BR286" s="7">
        <v>13.0</v>
      </c>
      <c r="BS286" s="7">
        <v>8.0</v>
      </c>
      <c r="BZ286" s="7">
        <v>30.0</v>
      </c>
      <c r="CA286" s="7">
        <v>24.0</v>
      </c>
      <c r="DP286" s="7">
        <v>3.0</v>
      </c>
      <c r="DQ286" s="7">
        <v>3.0</v>
      </c>
      <c r="DT286" s="7">
        <v>35.0</v>
      </c>
      <c r="DU286" s="7">
        <v>36.0</v>
      </c>
      <c r="DY286" s="7">
        <v>4.0</v>
      </c>
      <c r="EH286" s="7">
        <v>10.0</v>
      </c>
      <c r="EI286" s="7">
        <v>9.0</v>
      </c>
      <c r="FB286" s="7">
        <v>30.0</v>
      </c>
      <c r="GR286" s="87">
        <v>285.0</v>
      </c>
    </row>
    <row r="287">
      <c r="A287" s="5">
        <v>46053.53011226852</v>
      </c>
      <c r="B287" s="6">
        <v>46023.0</v>
      </c>
      <c r="C287" s="6">
        <v>46053.0</v>
      </c>
      <c r="D287" s="7" t="s">
        <v>24</v>
      </c>
      <c r="E287" s="7" t="s">
        <v>158</v>
      </c>
      <c r="F287" s="7">
        <v>3.0</v>
      </c>
      <c r="G287" s="7" t="s">
        <v>70</v>
      </c>
      <c r="H287" s="7" t="s">
        <v>76</v>
      </c>
      <c r="J287" s="7">
        <v>100.0</v>
      </c>
      <c r="N287" s="7">
        <v>12.0</v>
      </c>
      <c r="AF287" s="7">
        <v>50.0</v>
      </c>
      <c r="AG287" s="7">
        <v>50.0</v>
      </c>
      <c r="AW287" s="7">
        <v>600.0</v>
      </c>
      <c r="BR287" s="7">
        <v>20.0</v>
      </c>
      <c r="BS287" s="7">
        <v>11.0</v>
      </c>
      <c r="BZ287" s="7">
        <v>45.0</v>
      </c>
      <c r="CA287" s="7">
        <v>35.0</v>
      </c>
      <c r="DP287" s="7">
        <v>2.0</v>
      </c>
      <c r="DQ287" s="7">
        <v>1.0</v>
      </c>
      <c r="DR287" s="7">
        <v>2.0</v>
      </c>
      <c r="DS287" s="7">
        <v>3.0</v>
      </c>
      <c r="EF287" s="7">
        <v>12.0</v>
      </c>
      <c r="EG287" s="7">
        <v>8.0</v>
      </c>
      <c r="EX287" s="7">
        <v>10.0</v>
      </c>
      <c r="FB287" s="7">
        <v>70.0</v>
      </c>
      <c r="GR287" s="87">
        <v>286.0</v>
      </c>
    </row>
    <row r="288">
      <c r="A288" s="5">
        <v>46053.62080201389</v>
      </c>
      <c r="B288" s="6">
        <v>46023.0</v>
      </c>
      <c r="C288" s="6">
        <v>46053.0</v>
      </c>
      <c r="D288" s="7" t="s">
        <v>269</v>
      </c>
      <c r="E288" s="7" t="s">
        <v>267</v>
      </c>
      <c r="F288" s="7">
        <v>2.0</v>
      </c>
      <c r="G288" s="7" t="s">
        <v>70</v>
      </c>
      <c r="H288" s="7" t="s">
        <v>76</v>
      </c>
      <c r="J288" s="7">
        <v>100.0</v>
      </c>
      <c r="N288" s="7">
        <v>50.0</v>
      </c>
      <c r="AF288" s="7">
        <v>50.0</v>
      </c>
      <c r="AG288" s="7">
        <v>50.0</v>
      </c>
      <c r="AW288" s="7">
        <v>1400.0</v>
      </c>
      <c r="BN288" s="7">
        <v>30.0</v>
      </c>
      <c r="BO288" s="7">
        <v>30.0</v>
      </c>
      <c r="BR288" s="7">
        <v>15.0</v>
      </c>
      <c r="BS288" s="7">
        <v>15.0</v>
      </c>
      <c r="BZ288" s="7">
        <v>40.0</v>
      </c>
      <c r="CA288" s="7">
        <v>40.0</v>
      </c>
      <c r="CL288" s="7">
        <v>15.0</v>
      </c>
      <c r="CM288" s="7">
        <v>9.0</v>
      </c>
      <c r="CT288" s="7">
        <v>5.0</v>
      </c>
      <c r="CU288" s="7">
        <v>2.0</v>
      </c>
      <c r="DB288" s="7">
        <v>45.0</v>
      </c>
      <c r="DC288" s="7">
        <v>28.0</v>
      </c>
      <c r="DT288" s="7">
        <v>25.0</v>
      </c>
      <c r="DU288" s="7">
        <v>20.0</v>
      </c>
      <c r="EF288" s="7">
        <v>7.0</v>
      </c>
      <c r="EG288" s="7">
        <v>7.0</v>
      </c>
      <c r="EV288" s="7">
        <v>30.0</v>
      </c>
      <c r="EX288" s="7">
        <v>5.0</v>
      </c>
      <c r="FB288" s="7">
        <v>40.0</v>
      </c>
      <c r="GR288" s="87">
        <v>287.0</v>
      </c>
    </row>
    <row r="289">
      <c r="A289" s="5">
        <v>46053.6826722338</v>
      </c>
      <c r="B289" s="6">
        <v>46023.0</v>
      </c>
      <c r="C289" s="6">
        <v>46053.0</v>
      </c>
      <c r="D289" s="7" t="s">
        <v>214</v>
      </c>
      <c r="E289" s="7" t="s">
        <v>217</v>
      </c>
      <c r="F289" s="7">
        <v>4.0</v>
      </c>
      <c r="G289" s="7" t="s">
        <v>70</v>
      </c>
      <c r="H289" s="7" t="s">
        <v>76</v>
      </c>
      <c r="BN289" s="7">
        <v>50.0</v>
      </c>
      <c r="BO289" s="7">
        <v>35.0</v>
      </c>
      <c r="EV289" s="7">
        <v>50.0</v>
      </c>
      <c r="EW289" s="7"/>
      <c r="GR289" s="87">
        <v>288.0</v>
      </c>
    </row>
    <row r="290">
      <c r="A290" s="5">
        <v>46053.722355046295</v>
      </c>
      <c r="B290" s="6">
        <v>46023.0</v>
      </c>
      <c r="C290" s="6">
        <v>46053.0</v>
      </c>
      <c r="D290" s="7" t="s">
        <v>212</v>
      </c>
      <c r="E290" s="7" t="s">
        <v>227</v>
      </c>
      <c r="F290" s="7">
        <v>3.0</v>
      </c>
      <c r="G290" s="7" t="s">
        <v>70</v>
      </c>
      <c r="H290" s="7" t="s">
        <v>76</v>
      </c>
      <c r="J290" s="7">
        <v>55.0</v>
      </c>
      <c r="N290" s="7">
        <v>49.0</v>
      </c>
      <c r="T290" s="7">
        <v>40.0</v>
      </c>
      <c r="AW290" s="7">
        <v>1300.0</v>
      </c>
      <c r="BJ290" s="7">
        <v>10.0</v>
      </c>
      <c r="BK290" s="7">
        <v>5.0</v>
      </c>
      <c r="BR290" s="7">
        <v>18.0</v>
      </c>
      <c r="BS290" s="7">
        <v>18.0</v>
      </c>
      <c r="BZ290" s="7">
        <v>30.0</v>
      </c>
      <c r="CA290" s="7">
        <v>16.0</v>
      </c>
      <c r="DL290" s="7">
        <v>4.0</v>
      </c>
      <c r="DM290" s="7">
        <v>1.0</v>
      </c>
      <c r="EF290" s="7">
        <v>2.0</v>
      </c>
      <c r="EG290" s="7">
        <v>2.0</v>
      </c>
      <c r="EH290" s="7">
        <v>3.0</v>
      </c>
      <c r="EV290" s="7">
        <v>50.0</v>
      </c>
      <c r="FB290" s="7">
        <v>90.0</v>
      </c>
      <c r="FL290" s="7">
        <v>50.0</v>
      </c>
      <c r="GR290" s="87">
        <v>289.0</v>
      </c>
    </row>
    <row r="291">
      <c r="A291" s="5">
        <v>46053.741432442126</v>
      </c>
      <c r="B291" s="6">
        <v>46023.0</v>
      </c>
      <c r="C291" s="6">
        <v>46053.0</v>
      </c>
      <c r="D291" s="7" t="s">
        <v>207</v>
      </c>
      <c r="E291" s="7" t="s">
        <v>205</v>
      </c>
      <c r="F291" s="7">
        <v>2.0</v>
      </c>
      <c r="G291" s="7" t="s">
        <v>70</v>
      </c>
      <c r="H291" s="7" t="s">
        <v>76</v>
      </c>
      <c r="J291" s="7">
        <v>160.0</v>
      </c>
      <c r="N291" s="7">
        <v>60.0</v>
      </c>
      <c r="Q291" s="7">
        <v>1.0</v>
      </c>
      <c r="R291" s="7">
        <v>50.0</v>
      </c>
      <c r="S291" s="7">
        <v>25.0</v>
      </c>
      <c r="T291" s="7">
        <v>65.0</v>
      </c>
      <c r="Y291" s="7">
        <v>20.0</v>
      </c>
      <c r="AA291" s="7">
        <v>1.0</v>
      </c>
      <c r="AF291" s="7">
        <v>50.0</v>
      </c>
      <c r="AG291" s="7">
        <v>50.0</v>
      </c>
      <c r="AW291" s="7">
        <v>1700.0</v>
      </c>
      <c r="BN291" s="7">
        <v>35.0</v>
      </c>
      <c r="BO291" s="7">
        <v>23.0</v>
      </c>
      <c r="BR291" s="7">
        <v>15.0</v>
      </c>
      <c r="BS291" s="7">
        <v>10.0</v>
      </c>
      <c r="CH291" s="7">
        <v>31.0</v>
      </c>
      <c r="CI291" s="7">
        <v>19.0</v>
      </c>
      <c r="CL291" s="7">
        <v>8.0</v>
      </c>
      <c r="CM291" s="7">
        <v>5.0</v>
      </c>
      <c r="CP291" s="7">
        <v>11.0</v>
      </c>
      <c r="CQ291" s="7">
        <v>7.0</v>
      </c>
      <c r="CT291" s="7">
        <v>15.0</v>
      </c>
      <c r="CU291" s="7">
        <v>4.0</v>
      </c>
      <c r="DL291" s="7">
        <v>3.0</v>
      </c>
      <c r="DM291" s="7">
        <v>3.0</v>
      </c>
      <c r="DP291" s="7">
        <v>5.0</v>
      </c>
      <c r="DQ291" s="7">
        <v>7.0</v>
      </c>
      <c r="DR291" s="7">
        <v>4.0</v>
      </c>
      <c r="DS291" s="7">
        <v>2.0</v>
      </c>
      <c r="DT291" s="7">
        <v>23.0</v>
      </c>
      <c r="DU291" s="7">
        <v>27.0</v>
      </c>
      <c r="DV291" s="7">
        <v>1.0</v>
      </c>
      <c r="DW291" s="7">
        <v>1.0</v>
      </c>
      <c r="EF291" s="7">
        <v>14.0</v>
      </c>
      <c r="EG291" s="7">
        <v>16.0</v>
      </c>
      <c r="EV291" s="7">
        <v>65.0</v>
      </c>
      <c r="EX291" s="7">
        <v>15.0</v>
      </c>
      <c r="FB291" s="7">
        <v>30.0</v>
      </c>
      <c r="FL291" s="7">
        <v>30.0</v>
      </c>
      <c r="FR291" s="7">
        <v>30.0</v>
      </c>
      <c r="GR291" s="87">
        <v>290.0</v>
      </c>
    </row>
    <row r="292">
      <c r="A292" s="5">
        <v>46053.76429532407</v>
      </c>
      <c r="B292" s="6">
        <v>46023.0</v>
      </c>
      <c r="C292" s="6">
        <v>46053.0</v>
      </c>
      <c r="D292" s="7" t="s">
        <v>213</v>
      </c>
      <c r="E292" s="7" t="s">
        <v>231</v>
      </c>
      <c r="F292" s="7">
        <v>3.0</v>
      </c>
      <c r="G292" s="7" t="s">
        <v>70</v>
      </c>
      <c r="H292" s="7" t="s">
        <v>76</v>
      </c>
      <c r="J292" s="7">
        <v>80.0</v>
      </c>
      <c r="N292" s="7">
        <v>40.0</v>
      </c>
      <c r="Q292" s="7">
        <v>2.0</v>
      </c>
      <c r="R292" s="7">
        <v>70.0</v>
      </c>
      <c r="S292" s="7">
        <v>100.0</v>
      </c>
      <c r="AF292" s="7">
        <v>50.0</v>
      </c>
      <c r="AG292" s="7">
        <v>50.0</v>
      </c>
      <c r="AW292" s="7">
        <v>600.0</v>
      </c>
      <c r="BD292" s="7">
        <v>5.0</v>
      </c>
      <c r="BE292" s="7">
        <v>5.0</v>
      </c>
      <c r="BL292" s="7">
        <v>41.0</v>
      </c>
      <c r="BM292" s="7">
        <v>41.0</v>
      </c>
      <c r="BR292" s="7">
        <v>5.0</v>
      </c>
      <c r="BS292" s="7">
        <v>5.0</v>
      </c>
      <c r="BZ292" s="7">
        <v>30.0</v>
      </c>
      <c r="CA292" s="7">
        <v>30.0</v>
      </c>
      <c r="DR292" s="7">
        <v>2.0</v>
      </c>
      <c r="DS292" s="7">
        <v>2.0</v>
      </c>
      <c r="DT292" s="7">
        <v>40.0</v>
      </c>
      <c r="DU292" s="7">
        <v>55.0</v>
      </c>
      <c r="EF292" s="7">
        <v>5.0</v>
      </c>
      <c r="EG292" s="7">
        <v>10.0</v>
      </c>
      <c r="FB292" s="7">
        <v>65.0</v>
      </c>
      <c r="GR292" s="87">
        <v>291.0</v>
      </c>
    </row>
    <row r="293">
      <c r="A293" s="5">
        <v>46055.244378240735</v>
      </c>
      <c r="B293" s="6">
        <v>46023.0</v>
      </c>
      <c r="C293" s="6">
        <v>46053.0</v>
      </c>
      <c r="D293" s="7" t="s">
        <v>31</v>
      </c>
      <c r="E293" s="7" t="s">
        <v>140</v>
      </c>
      <c r="F293" s="7">
        <v>3.0</v>
      </c>
      <c r="G293" s="7" t="s">
        <v>70</v>
      </c>
      <c r="H293" s="7" t="s">
        <v>76</v>
      </c>
      <c r="J293" s="7">
        <v>80.0</v>
      </c>
      <c r="L293" s="7">
        <v>2.0</v>
      </c>
      <c r="N293" s="7">
        <v>3.0</v>
      </c>
      <c r="AF293" s="7">
        <v>50.0</v>
      </c>
      <c r="AG293" s="7">
        <v>50.0</v>
      </c>
      <c r="AW293" s="7">
        <v>600.0</v>
      </c>
      <c r="BN293" s="7">
        <v>6.0</v>
      </c>
      <c r="BO293" s="7">
        <v>6.0</v>
      </c>
      <c r="BR293" s="7">
        <v>3.0</v>
      </c>
      <c r="BS293" s="7">
        <v>3.0</v>
      </c>
      <c r="BZ293" s="7">
        <v>5.0</v>
      </c>
      <c r="CA293" s="7">
        <v>5.0</v>
      </c>
      <c r="CB293" s="7">
        <v>10.0</v>
      </c>
      <c r="CC293" s="7">
        <v>8.0</v>
      </c>
      <c r="DR293" s="7">
        <v>1.0</v>
      </c>
      <c r="DS293" s="7">
        <v>1.0</v>
      </c>
      <c r="EF293" s="7">
        <v>8.0</v>
      </c>
      <c r="EG293" s="7">
        <v>10.0</v>
      </c>
      <c r="EH293" s="7">
        <v>2.0</v>
      </c>
      <c r="EI293" s="7">
        <v>5.0</v>
      </c>
      <c r="EX293" s="7">
        <v>10.0</v>
      </c>
      <c r="FB293" s="7">
        <v>15.0</v>
      </c>
      <c r="GR293" s="87">
        <v>292.0</v>
      </c>
    </row>
    <row r="294">
      <c r="A294" s="5">
        <v>46055.37565840277</v>
      </c>
      <c r="B294" s="6">
        <v>46023.0</v>
      </c>
      <c r="C294" s="6">
        <v>46053.0</v>
      </c>
      <c r="D294" s="7" t="s">
        <v>36</v>
      </c>
      <c r="E294" s="7" t="s">
        <v>183</v>
      </c>
      <c r="F294" s="7">
        <v>3.0</v>
      </c>
      <c r="G294" s="7" t="s">
        <v>70</v>
      </c>
      <c r="H294" s="7" t="s">
        <v>76</v>
      </c>
      <c r="J294" s="7">
        <v>70.0</v>
      </c>
      <c r="N294" s="7">
        <v>40.0</v>
      </c>
      <c r="T294" s="7">
        <v>30.0</v>
      </c>
      <c r="AW294" s="7">
        <v>900.0</v>
      </c>
      <c r="BL294" s="7">
        <v>15.0</v>
      </c>
      <c r="BM294" s="7">
        <v>12.0</v>
      </c>
      <c r="BN294" s="7">
        <v>40.0</v>
      </c>
      <c r="BO294" s="7">
        <v>31.0</v>
      </c>
      <c r="BR294" s="7">
        <v>1.0</v>
      </c>
      <c r="BS294" s="7">
        <v>1.0</v>
      </c>
      <c r="BZ294" s="7">
        <v>60.0</v>
      </c>
      <c r="CA294" s="7">
        <v>47.0</v>
      </c>
      <c r="CN294" s="7">
        <v>12.0</v>
      </c>
      <c r="CO294" s="7">
        <v>6.0</v>
      </c>
      <c r="CT294" s="7">
        <v>2.0</v>
      </c>
      <c r="CU294" s="7">
        <v>1.0</v>
      </c>
      <c r="DB294" s="7">
        <v>60.0</v>
      </c>
      <c r="DC294" s="7">
        <v>28.0</v>
      </c>
      <c r="DD294" s="7">
        <v>12.0</v>
      </c>
      <c r="DE294" s="7">
        <v>5.0</v>
      </c>
      <c r="DR294" s="7">
        <v>5.0</v>
      </c>
      <c r="DS294" s="7">
        <v>5.0</v>
      </c>
      <c r="DT294" s="7">
        <v>16.0</v>
      </c>
      <c r="DU294" s="7">
        <v>14.0</v>
      </c>
      <c r="EU294" s="7">
        <v>15.0</v>
      </c>
      <c r="EV294" s="7">
        <v>40.0</v>
      </c>
      <c r="FB294" s="7">
        <v>60.0</v>
      </c>
      <c r="GR294" s="87">
        <v>293.0</v>
      </c>
    </row>
    <row r="295">
      <c r="A295" s="5">
        <v>46055.41111059028</v>
      </c>
      <c r="B295" s="6">
        <v>46023.0</v>
      </c>
      <c r="C295" s="6">
        <v>46053.0</v>
      </c>
      <c r="D295" s="7" t="s">
        <v>30</v>
      </c>
      <c r="E295" s="7" t="s">
        <v>237</v>
      </c>
      <c r="F295" s="7">
        <v>2.0</v>
      </c>
      <c r="G295" s="7" t="s">
        <v>70</v>
      </c>
      <c r="H295" s="7" t="s">
        <v>76</v>
      </c>
      <c r="J295" s="7">
        <v>10.0</v>
      </c>
      <c r="AW295" s="7">
        <v>1300.0</v>
      </c>
      <c r="GR295" s="87">
        <v>294.0</v>
      </c>
    </row>
    <row r="296">
      <c r="A296" s="5">
        <v>46055.42460962963</v>
      </c>
      <c r="B296" s="6">
        <v>46023.0</v>
      </c>
      <c r="C296" s="6">
        <v>46053.0</v>
      </c>
      <c r="D296" s="7" t="s">
        <v>29</v>
      </c>
      <c r="E296" s="7" t="s">
        <v>110</v>
      </c>
      <c r="F296" s="7">
        <v>3.0</v>
      </c>
      <c r="G296" s="7" t="s">
        <v>70</v>
      </c>
      <c r="H296" s="7" t="s">
        <v>76</v>
      </c>
      <c r="J296" s="7">
        <v>98.0</v>
      </c>
      <c r="L296" s="7">
        <v>2.0</v>
      </c>
      <c r="N296" s="7">
        <v>32.0</v>
      </c>
      <c r="AW296" s="7">
        <v>800.0</v>
      </c>
      <c r="BD296" s="7">
        <v>2.0</v>
      </c>
      <c r="BE296" s="7">
        <v>2.0</v>
      </c>
      <c r="BL296" s="7">
        <v>5.0</v>
      </c>
      <c r="BM296" s="7">
        <v>5.0</v>
      </c>
      <c r="BN296" s="7">
        <v>70.0</v>
      </c>
      <c r="BO296" s="7">
        <v>60.0</v>
      </c>
      <c r="BR296" s="7">
        <v>5.0</v>
      </c>
      <c r="BS296" s="7">
        <v>5.0</v>
      </c>
      <c r="BZ296" s="7">
        <v>155.0</v>
      </c>
      <c r="CA296" s="7">
        <v>140.0</v>
      </c>
      <c r="DL296" s="7">
        <v>2.0</v>
      </c>
      <c r="DM296" s="7">
        <v>3.0</v>
      </c>
      <c r="DT296" s="7">
        <v>11.0</v>
      </c>
      <c r="DU296" s="7">
        <v>18.0</v>
      </c>
      <c r="EF296" s="7">
        <v>4.0</v>
      </c>
      <c r="EG296" s="7">
        <v>9.0</v>
      </c>
      <c r="EH296" s="7">
        <v>2.0</v>
      </c>
      <c r="EV296" s="7">
        <v>70.0</v>
      </c>
      <c r="EX296" s="7">
        <v>5.0</v>
      </c>
      <c r="FB296" s="7">
        <v>165.0</v>
      </c>
      <c r="GR296" s="87">
        <v>295.0</v>
      </c>
    </row>
    <row r="297">
      <c r="A297" s="5">
        <v>46055.45171494213</v>
      </c>
      <c r="B297" s="6">
        <v>46023.0</v>
      </c>
      <c r="C297" s="6">
        <v>46053.0</v>
      </c>
      <c r="D297" s="7" t="s">
        <v>35</v>
      </c>
      <c r="E297" s="7" t="s">
        <v>283</v>
      </c>
      <c r="F297" s="7">
        <v>2.0</v>
      </c>
      <c r="G297" s="7" t="s">
        <v>70</v>
      </c>
      <c r="H297" s="7" t="s">
        <v>76</v>
      </c>
      <c r="J297" s="7">
        <v>40.0</v>
      </c>
      <c r="N297" s="7">
        <v>12.0</v>
      </c>
      <c r="AF297" s="7">
        <v>50.0</v>
      </c>
      <c r="AG297" s="7">
        <v>50.0</v>
      </c>
      <c r="AW297" s="7">
        <v>2100.0</v>
      </c>
      <c r="DB297" s="7">
        <v>18.0</v>
      </c>
      <c r="DC297" s="7">
        <v>11.0</v>
      </c>
      <c r="EF297" s="7">
        <v>4.0</v>
      </c>
      <c r="EG297" s="7">
        <v>4.0</v>
      </c>
      <c r="GR297" s="87">
        <v>296.0</v>
      </c>
    </row>
    <row r="298">
      <c r="A298" s="5">
        <v>46055.45618119213</v>
      </c>
      <c r="B298" s="6">
        <v>46023.0</v>
      </c>
      <c r="C298" s="6">
        <v>46053.0</v>
      </c>
      <c r="D298" s="7" t="s">
        <v>34</v>
      </c>
      <c r="E298" s="7" t="s">
        <v>169</v>
      </c>
      <c r="F298" s="7">
        <v>1.0</v>
      </c>
      <c r="G298" s="7" t="s">
        <v>70</v>
      </c>
      <c r="H298" s="7" t="s">
        <v>76</v>
      </c>
      <c r="J298" s="7">
        <v>50.0</v>
      </c>
      <c r="N298" s="7">
        <v>50.0</v>
      </c>
      <c r="T298" s="7">
        <v>40.0</v>
      </c>
      <c r="AF298" s="7">
        <v>50.0</v>
      </c>
      <c r="AG298" s="7">
        <v>50.0</v>
      </c>
      <c r="AW298" s="7">
        <v>700.0</v>
      </c>
      <c r="BN298" s="7">
        <v>30.0</v>
      </c>
      <c r="BO298" s="7">
        <v>20.0</v>
      </c>
      <c r="BZ298" s="7">
        <v>30.0</v>
      </c>
      <c r="CA298" s="7">
        <v>20.0</v>
      </c>
      <c r="CH298" s="7">
        <v>10.0</v>
      </c>
      <c r="CI298" s="7">
        <v>7.0</v>
      </c>
      <c r="CL298" s="7">
        <v>10.0</v>
      </c>
      <c r="CM298" s="7">
        <v>8.0</v>
      </c>
      <c r="CT298" s="7">
        <v>10.0</v>
      </c>
      <c r="CU298" s="7">
        <v>4.0</v>
      </c>
      <c r="DB298" s="7">
        <v>15.0</v>
      </c>
      <c r="DC298" s="7">
        <v>8.0</v>
      </c>
      <c r="EF298" s="7">
        <v>4.0</v>
      </c>
      <c r="EG298" s="7">
        <v>4.0</v>
      </c>
      <c r="EV298" s="7">
        <v>75.0</v>
      </c>
      <c r="FB298" s="7">
        <v>30.0</v>
      </c>
      <c r="FL298" s="7">
        <v>45.0</v>
      </c>
      <c r="GR298" s="87">
        <v>297.0</v>
      </c>
    </row>
    <row r="299">
      <c r="A299" s="5">
        <v>46055.456694293985</v>
      </c>
      <c r="B299" s="6">
        <v>46023.0</v>
      </c>
      <c r="C299" s="6">
        <v>46053.0</v>
      </c>
      <c r="D299" s="7" t="s">
        <v>192</v>
      </c>
      <c r="E299" s="7" t="s">
        <v>194</v>
      </c>
      <c r="F299" s="7">
        <v>4.0</v>
      </c>
      <c r="G299" s="7" t="s">
        <v>70</v>
      </c>
      <c r="H299" s="7" t="s">
        <v>76</v>
      </c>
      <c r="BN299" s="7">
        <v>15.0</v>
      </c>
      <c r="BO299" s="7">
        <v>10.0</v>
      </c>
      <c r="BZ299" s="7">
        <v>15.0</v>
      </c>
      <c r="CA299" s="7">
        <v>10.0</v>
      </c>
      <c r="DB299" s="7">
        <v>10.0</v>
      </c>
      <c r="DC299" s="7">
        <v>8.0</v>
      </c>
      <c r="EV299" s="7">
        <v>15.0</v>
      </c>
      <c r="FB299" s="7">
        <v>15.0</v>
      </c>
      <c r="GR299" s="87">
        <v>298.0</v>
      </c>
    </row>
    <row r="300">
      <c r="A300" s="5">
        <v>46055.45847200231</v>
      </c>
      <c r="B300" s="6">
        <v>46023.0</v>
      </c>
      <c r="C300" s="6">
        <v>46053.0</v>
      </c>
      <c r="D300" s="7" t="s">
        <v>32</v>
      </c>
      <c r="E300" s="7" t="s">
        <v>134</v>
      </c>
      <c r="F300" s="7">
        <v>3.0</v>
      </c>
      <c r="G300" s="7" t="s">
        <v>70</v>
      </c>
      <c r="H300" s="7" t="s">
        <v>76</v>
      </c>
      <c r="J300" s="7">
        <v>45.0</v>
      </c>
      <c r="N300" s="7">
        <v>25.0</v>
      </c>
      <c r="AF300" s="7">
        <v>50.0</v>
      </c>
      <c r="AG300" s="7">
        <v>50.0</v>
      </c>
      <c r="AW300" s="7">
        <v>800.0</v>
      </c>
      <c r="BJ300" s="7">
        <v>10.0</v>
      </c>
      <c r="BK300" s="7">
        <v>9.0</v>
      </c>
      <c r="BL300" s="7">
        <v>10.0</v>
      </c>
      <c r="BM300" s="7">
        <v>8.0</v>
      </c>
      <c r="BN300" s="7">
        <v>50.0</v>
      </c>
      <c r="BO300" s="7">
        <v>40.0</v>
      </c>
      <c r="BR300" s="7">
        <v>10.0</v>
      </c>
      <c r="BS300" s="7">
        <v>8.0</v>
      </c>
      <c r="BZ300" s="7">
        <v>60.0</v>
      </c>
      <c r="CA300" s="7">
        <v>60.0</v>
      </c>
      <c r="DR300" s="7">
        <v>8.0</v>
      </c>
      <c r="DS300" s="7">
        <v>9.0</v>
      </c>
      <c r="DT300" s="7">
        <v>7.0</v>
      </c>
      <c r="DU300" s="7">
        <v>6.0</v>
      </c>
      <c r="EF300" s="7">
        <v>4.0</v>
      </c>
      <c r="EG300" s="7">
        <v>10.0</v>
      </c>
      <c r="EH300" s="7">
        <v>8.0</v>
      </c>
      <c r="EI300" s="7">
        <v>4.0</v>
      </c>
      <c r="EK300" s="7">
        <v>1.0</v>
      </c>
      <c r="EV300" s="7">
        <v>60.0</v>
      </c>
      <c r="EX300" s="7">
        <v>10.0</v>
      </c>
      <c r="FB300" s="7">
        <v>90.0</v>
      </c>
      <c r="GR300" s="87">
        <v>299.0</v>
      </c>
    </row>
    <row r="301">
      <c r="A301" s="5">
        <v>46055.49783851852</v>
      </c>
      <c r="B301" s="6">
        <v>46023.0</v>
      </c>
      <c r="C301" s="6">
        <v>46053.0</v>
      </c>
      <c r="D301" s="7" t="s">
        <v>38</v>
      </c>
      <c r="E301" s="7" t="s">
        <v>188</v>
      </c>
      <c r="F301" s="7">
        <v>2.0</v>
      </c>
      <c r="G301" s="7" t="s">
        <v>70</v>
      </c>
      <c r="H301" s="7" t="s">
        <v>76</v>
      </c>
      <c r="J301" s="7">
        <v>65.0</v>
      </c>
      <c r="N301" s="7">
        <v>25.0</v>
      </c>
      <c r="AW301" s="7">
        <v>700.0</v>
      </c>
      <c r="BN301" s="7">
        <v>15.0</v>
      </c>
      <c r="BO301" s="7">
        <v>8.0</v>
      </c>
      <c r="BR301" s="7">
        <v>2.0</v>
      </c>
      <c r="BS301" s="7">
        <v>2.0</v>
      </c>
      <c r="BZ301" s="7">
        <v>15.0</v>
      </c>
      <c r="CA301" s="7">
        <v>8.0</v>
      </c>
      <c r="CT301" s="7">
        <v>2.0</v>
      </c>
      <c r="CU301" s="7">
        <v>2.0</v>
      </c>
      <c r="DB301" s="7">
        <v>13.0</v>
      </c>
      <c r="DC301" s="7">
        <v>8.0</v>
      </c>
      <c r="DR301" s="7">
        <v>4.0</v>
      </c>
      <c r="DS301" s="7">
        <v>4.0</v>
      </c>
      <c r="EF301" s="7">
        <v>3.0</v>
      </c>
      <c r="EG301" s="7">
        <v>2.0</v>
      </c>
      <c r="EV301" s="7">
        <v>30.0</v>
      </c>
      <c r="EX301" s="7">
        <v>5.0</v>
      </c>
      <c r="FB301" s="7">
        <v>30.0</v>
      </c>
      <c r="FL301" s="7">
        <v>15.0</v>
      </c>
      <c r="FR301" s="7">
        <v>15.0</v>
      </c>
      <c r="GR301" s="87">
        <v>300.0</v>
      </c>
    </row>
    <row r="302">
      <c r="A302" s="5">
        <v>46055.499866701386</v>
      </c>
      <c r="B302" s="6">
        <v>46023.0</v>
      </c>
      <c r="C302" s="6">
        <v>46053.0</v>
      </c>
      <c r="D302" s="7" t="s">
        <v>25</v>
      </c>
      <c r="E302" s="7" t="s">
        <v>246</v>
      </c>
      <c r="F302" s="7">
        <v>2.0</v>
      </c>
      <c r="G302" s="7" t="s">
        <v>70</v>
      </c>
      <c r="H302" s="7" t="s">
        <v>76</v>
      </c>
      <c r="J302" s="7">
        <v>52.0</v>
      </c>
      <c r="N302" s="7">
        <v>28.0</v>
      </c>
      <c r="AW302" s="7">
        <v>500.0</v>
      </c>
      <c r="BR302" s="7">
        <v>6.0</v>
      </c>
      <c r="BS302" s="7">
        <v>6.0</v>
      </c>
      <c r="BZ302" s="7">
        <v>10.0</v>
      </c>
      <c r="CA302" s="7">
        <v>5.0</v>
      </c>
      <c r="CN302" s="7">
        <v>5.0</v>
      </c>
      <c r="CO302" s="7">
        <v>3.0</v>
      </c>
      <c r="CT302" s="7">
        <v>5.0</v>
      </c>
      <c r="CU302" s="7">
        <v>1.0</v>
      </c>
      <c r="DB302" s="7">
        <v>5.0</v>
      </c>
      <c r="DC302" s="7">
        <v>2.0</v>
      </c>
      <c r="DL302" s="7">
        <v>2.0</v>
      </c>
      <c r="DM302" s="7">
        <v>1.0</v>
      </c>
      <c r="DT302" s="7">
        <v>1.0</v>
      </c>
      <c r="DU302" s="7">
        <v>1.0</v>
      </c>
      <c r="EF302" s="7">
        <v>3.0</v>
      </c>
      <c r="EG302" s="7">
        <v>4.0</v>
      </c>
      <c r="EV302" s="7">
        <v>15.0</v>
      </c>
      <c r="EX302" s="7">
        <v>5.0</v>
      </c>
      <c r="GR302" s="87">
        <v>301.0</v>
      </c>
    </row>
    <row r="303">
      <c r="A303" s="5">
        <v>46055.50695048611</v>
      </c>
      <c r="B303" s="6">
        <v>46023.0</v>
      </c>
      <c r="C303" s="6">
        <v>46053.0</v>
      </c>
      <c r="D303" s="7" t="s">
        <v>33</v>
      </c>
      <c r="E303" s="7" t="s">
        <v>151</v>
      </c>
      <c r="F303" s="7">
        <v>2.0</v>
      </c>
      <c r="G303" s="7" t="s">
        <v>70</v>
      </c>
      <c r="H303" s="7" t="s">
        <v>76</v>
      </c>
      <c r="J303" s="7">
        <v>32.0</v>
      </c>
      <c r="N303" s="7">
        <v>19.0</v>
      </c>
      <c r="AW303" s="7">
        <v>1800.0</v>
      </c>
      <c r="BL303" s="7">
        <v>5.0</v>
      </c>
      <c r="BM303" s="7">
        <v>3.0</v>
      </c>
      <c r="BN303" s="7">
        <v>30.0</v>
      </c>
      <c r="BO303" s="7">
        <v>15.0</v>
      </c>
      <c r="BR303" s="7">
        <v>5.0</v>
      </c>
      <c r="BS303" s="7">
        <v>5.0</v>
      </c>
      <c r="BZ303" s="7">
        <v>28.0</v>
      </c>
      <c r="CA303" s="7">
        <v>14.0</v>
      </c>
      <c r="CB303" s="7">
        <v>15.0</v>
      </c>
      <c r="CC303" s="7">
        <v>8.0</v>
      </c>
      <c r="CL303" s="7">
        <v>8.0</v>
      </c>
      <c r="CM303" s="7">
        <v>6.0</v>
      </c>
      <c r="CT303" s="7">
        <v>6.0</v>
      </c>
      <c r="CU303" s="7">
        <v>3.0</v>
      </c>
      <c r="DB303" s="7">
        <v>15.0</v>
      </c>
      <c r="DC303" s="7">
        <v>10.0</v>
      </c>
      <c r="EE303" s="7">
        <v>2.0</v>
      </c>
      <c r="EF303" s="7">
        <v>2.0</v>
      </c>
      <c r="EG303" s="7">
        <v>2.0</v>
      </c>
      <c r="EV303" s="7">
        <v>45.0</v>
      </c>
      <c r="EX303" s="7">
        <v>10.0</v>
      </c>
      <c r="FB303" s="7">
        <v>45.0</v>
      </c>
      <c r="GR303" s="87">
        <v>302.0</v>
      </c>
    </row>
    <row r="304">
      <c r="A304" s="5">
        <v>46055.51745481481</v>
      </c>
      <c r="B304" s="6">
        <v>46023.0</v>
      </c>
      <c r="C304" s="6">
        <v>46053.0</v>
      </c>
      <c r="D304" s="7" t="s">
        <v>41</v>
      </c>
      <c r="E304" s="7" t="s">
        <v>251</v>
      </c>
      <c r="F304" s="7">
        <v>2.0</v>
      </c>
      <c r="G304" s="7" t="s">
        <v>70</v>
      </c>
      <c r="H304" s="7" t="s">
        <v>76</v>
      </c>
      <c r="J304" s="7">
        <v>130.0</v>
      </c>
      <c r="N304" s="7">
        <v>30.0</v>
      </c>
      <c r="AF304" s="7">
        <v>50.0</v>
      </c>
      <c r="AG304" s="7">
        <v>50.0</v>
      </c>
      <c r="AW304" s="7">
        <v>1200.0</v>
      </c>
      <c r="BN304" s="7">
        <v>105.0</v>
      </c>
      <c r="BO304" s="7">
        <v>77.0</v>
      </c>
      <c r="BR304" s="7">
        <v>10.0</v>
      </c>
      <c r="BS304" s="7">
        <v>7.0</v>
      </c>
      <c r="BZ304" s="7">
        <v>90.0</v>
      </c>
      <c r="CA304" s="7">
        <v>69.0</v>
      </c>
      <c r="CT304" s="7">
        <v>4.0</v>
      </c>
      <c r="CU304" s="7">
        <v>1.0</v>
      </c>
      <c r="DB304" s="7">
        <v>16.0</v>
      </c>
      <c r="DC304" s="7">
        <v>9.0</v>
      </c>
      <c r="EV304" s="7">
        <v>90.0</v>
      </c>
      <c r="EX304" s="7">
        <v>10.0</v>
      </c>
      <c r="FB304" s="7">
        <v>120.0</v>
      </c>
      <c r="GR304" s="87">
        <v>303.0</v>
      </c>
    </row>
    <row r="305">
      <c r="A305" s="5">
        <v>46055.52576603009</v>
      </c>
      <c r="B305" s="6">
        <v>46023.0</v>
      </c>
      <c r="C305" s="6">
        <v>46053.0</v>
      </c>
      <c r="D305" s="7" t="s">
        <v>27</v>
      </c>
      <c r="E305" s="7" t="s">
        <v>120</v>
      </c>
      <c r="F305" s="7">
        <v>2.0</v>
      </c>
      <c r="G305" s="7" t="s">
        <v>70</v>
      </c>
      <c r="H305" s="7" t="s">
        <v>76</v>
      </c>
      <c r="J305" s="7">
        <v>65.0</v>
      </c>
      <c r="AF305" s="7">
        <v>50.0</v>
      </c>
      <c r="AG305" s="7">
        <v>50.0</v>
      </c>
      <c r="AW305" s="7">
        <v>1000.0</v>
      </c>
      <c r="BL305" s="7">
        <v>15.0</v>
      </c>
      <c r="BM305" s="7">
        <v>9.0</v>
      </c>
      <c r="BN305" s="7">
        <v>35.0</v>
      </c>
      <c r="BO305" s="7">
        <v>26.0</v>
      </c>
      <c r="BR305" s="7">
        <v>5.0</v>
      </c>
      <c r="BS305" s="7">
        <v>5.0</v>
      </c>
      <c r="BZ305" s="7">
        <v>45.0</v>
      </c>
      <c r="CA305" s="7">
        <v>38.0</v>
      </c>
      <c r="CH305" s="7">
        <v>4.0</v>
      </c>
      <c r="CI305" s="7">
        <v>2.0</v>
      </c>
      <c r="CN305" s="7">
        <v>11.0</v>
      </c>
      <c r="CO305" s="7">
        <v>6.0</v>
      </c>
      <c r="CT305" s="7">
        <v>2.0</v>
      </c>
      <c r="CU305" s="7">
        <v>1.0</v>
      </c>
      <c r="DB305" s="7">
        <v>24.0</v>
      </c>
      <c r="DC305" s="7">
        <v>16.0</v>
      </c>
      <c r="EV305" s="7">
        <v>30.0</v>
      </c>
      <c r="EX305" s="7">
        <v>10.0</v>
      </c>
      <c r="FB305" s="7">
        <v>30.0</v>
      </c>
      <c r="GR305" s="87">
        <v>304.0</v>
      </c>
    </row>
    <row r="306">
      <c r="A306" s="5">
        <v>46055.542547743054</v>
      </c>
      <c r="B306" s="6">
        <v>46023.0</v>
      </c>
      <c r="C306" s="6">
        <v>46053.0</v>
      </c>
      <c r="D306" s="7" t="s">
        <v>258</v>
      </c>
      <c r="E306" s="7" t="s">
        <v>256</v>
      </c>
      <c r="F306" s="7">
        <v>2.0</v>
      </c>
      <c r="G306" s="7" t="s">
        <v>70</v>
      </c>
      <c r="H306" s="7" t="s">
        <v>76</v>
      </c>
      <c r="J306" s="7">
        <v>20.0</v>
      </c>
      <c r="AF306" s="7">
        <v>50.0</v>
      </c>
      <c r="AG306" s="7">
        <v>50.0</v>
      </c>
      <c r="AW306" s="7">
        <v>1500.0</v>
      </c>
      <c r="GR306" s="87">
        <v>305.0</v>
      </c>
    </row>
    <row r="307">
      <c r="A307" s="5">
        <v>46056.427101712965</v>
      </c>
      <c r="B307" s="6">
        <v>46023.0</v>
      </c>
      <c r="C307" s="6">
        <v>46053.0</v>
      </c>
      <c r="D307" s="7" t="s">
        <v>42</v>
      </c>
      <c r="E307" s="7" t="s">
        <v>279</v>
      </c>
      <c r="F307" s="7">
        <v>2.0</v>
      </c>
      <c r="G307" s="7" t="s">
        <v>70</v>
      </c>
      <c r="H307" s="7" t="s">
        <v>76</v>
      </c>
      <c r="J307" s="7">
        <v>10.0</v>
      </c>
      <c r="GR307" s="87">
        <v>306.0</v>
      </c>
    </row>
    <row r="308">
      <c r="A308" s="5">
        <v>46056.44521101852</v>
      </c>
      <c r="B308" s="6">
        <v>46023.0</v>
      </c>
      <c r="C308" s="6">
        <v>46053.0</v>
      </c>
      <c r="D308" s="7" t="s">
        <v>23</v>
      </c>
      <c r="E308" s="7" t="s">
        <v>92</v>
      </c>
      <c r="F308" s="7">
        <v>3.0</v>
      </c>
      <c r="G308" s="7" t="s">
        <v>70</v>
      </c>
      <c r="H308" s="7" t="s">
        <v>76</v>
      </c>
      <c r="J308" s="7">
        <v>104.0</v>
      </c>
      <c r="K308" s="7">
        <v>1.0</v>
      </c>
      <c r="L308" s="7">
        <v>2.0</v>
      </c>
      <c r="N308" s="7">
        <v>78.0</v>
      </c>
      <c r="AW308" s="7">
        <v>700.0</v>
      </c>
      <c r="BN308" s="7">
        <v>40.0</v>
      </c>
      <c r="BO308" s="7">
        <v>40.0</v>
      </c>
      <c r="BR308" s="7">
        <v>1.0</v>
      </c>
      <c r="BS308" s="7">
        <v>1.0</v>
      </c>
      <c r="BZ308" s="7">
        <v>40.0</v>
      </c>
      <c r="CA308" s="7">
        <v>40.0</v>
      </c>
      <c r="DP308" s="7">
        <v>5.0</v>
      </c>
      <c r="DQ308" s="7">
        <v>5.0</v>
      </c>
      <c r="DR308" s="7">
        <v>8.0</v>
      </c>
      <c r="DS308" s="7">
        <v>6.0</v>
      </c>
      <c r="EF308" s="7">
        <v>12.0</v>
      </c>
      <c r="EG308" s="7">
        <v>8.0</v>
      </c>
      <c r="EV308" s="7">
        <v>30.0</v>
      </c>
      <c r="EX308" s="7">
        <v>10.0</v>
      </c>
      <c r="FB308" s="7">
        <v>45.0</v>
      </c>
      <c r="GR308" s="87">
        <v>307.0</v>
      </c>
    </row>
    <row r="309">
      <c r="A309" s="5">
        <v>46056.47471303241</v>
      </c>
      <c r="B309" s="6">
        <v>46023.0</v>
      </c>
      <c r="C309" s="6">
        <v>46053.0</v>
      </c>
      <c r="D309" s="7" t="s">
        <v>20</v>
      </c>
      <c r="E309" s="7" t="s">
        <v>77</v>
      </c>
      <c r="F309" s="7">
        <v>1.0</v>
      </c>
      <c r="G309" s="7" t="s">
        <v>70</v>
      </c>
      <c r="H309" s="7" t="s">
        <v>76</v>
      </c>
      <c r="J309" s="7">
        <v>86.0</v>
      </c>
      <c r="K309" s="7">
        <v>15.0</v>
      </c>
      <c r="L309" s="7">
        <v>29.0</v>
      </c>
      <c r="N309" s="7">
        <v>30.0</v>
      </c>
      <c r="O309" s="7">
        <v>10.0</v>
      </c>
      <c r="P309" s="7">
        <v>12.0</v>
      </c>
      <c r="T309" s="7">
        <v>55.0</v>
      </c>
      <c r="AW309" s="7">
        <v>1800.0</v>
      </c>
      <c r="BD309" s="7">
        <v>20.0</v>
      </c>
      <c r="BE309" s="7">
        <v>20.0</v>
      </c>
      <c r="BN309" s="7">
        <v>125.0</v>
      </c>
      <c r="BO309" s="7">
        <v>108.0</v>
      </c>
      <c r="BR309" s="7">
        <v>28.0</v>
      </c>
      <c r="BS309" s="7">
        <v>28.0</v>
      </c>
      <c r="BZ309" s="7">
        <v>120.0</v>
      </c>
      <c r="CA309" s="7">
        <v>105.0</v>
      </c>
      <c r="CH309" s="7">
        <v>4.0</v>
      </c>
      <c r="CI309" s="7">
        <v>2.0</v>
      </c>
      <c r="CL309" s="7">
        <v>10.0</v>
      </c>
      <c r="CM309" s="7">
        <v>6.0</v>
      </c>
      <c r="CN309" s="7">
        <v>7.0</v>
      </c>
      <c r="CO309" s="7">
        <v>4.0</v>
      </c>
      <c r="DB309" s="7">
        <v>25.0</v>
      </c>
      <c r="DC309" s="7">
        <v>13.0</v>
      </c>
      <c r="DD309" s="7">
        <v>10.0</v>
      </c>
      <c r="DE309" s="7">
        <v>5.0</v>
      </c>
      <c r="DT309" s="7">
        <v>27.0</v>
      </c>
      <c r="DU309" s="7">
        <v>24.0</v>
      </c>
      <c r="DV309" s="7">
        <v>3.0</v>
      </c>
      <c r="DW309" s="7">
        <v>2.0</v>
      </c>
      <c r="DY309" s="7">
        <v>4.0</v>
      </c>
      <c r="EF309" s="7">
        <v>5.0</v>
      </c>
      <c r="EG309" s="7">
        <v>5.0</v>
      </c>
      <c r="EV309" s="7">
        <v>125.0</v>
      </c>
      <c r="EX309" s="7">
        <v>10.0</v>
      </c>
      <c r="FB309" s="7">
        <v>120.0</v>
      </c>
      <c r="GN309" s="7">
        <v>2.0</v>
      </c>
      <c r="GO309" s="7">
        <v>2.0</v>
      </c>
      <c r="GQ309" s="7">
        <v>20.0</v>
      </c>
      <c r="GR309" s="87">
        <v>308.0</v>
      </c>
    </row>
    <row r="310">
      <c r="A310" s="5">
        <v>46081.39362358797</v>
      </c>
      <c r="B310" s="6">
        <v>46054.0</v>
      </c>
      <c r="C310" s="6">
        <v>46081.0</v>
      </c>
      <c r="D310" s="7" t="s">
        <v>32</v>
      </c>
      <c r="E310" s="7" t="s">
        <v>134</v>
      </c>
      <c r="F310" s="7">
        <v>3.0</v>
      </c>
      <c r="G310" s="7" t="s">
        <v>70</v>
      </c>
      <c r="H310" s="7" t="s">
        <v>76</v>
      </c>
      <c r="J310" s="7">
        <v>41.0</v>
      </c>
      <c r="N310" s="7">
        <v>24.0</v>
      </c>
      <c r="AX310" s="7">
        <v>800.0</v>
      </c>
      <c r="AY310" s="7">
        <v>800.0</v>
      </c>
      <c r="BN310" s="7">
        <v>30.0</v>
      </c>
      <c r="BO310" s="7">
        <v>20.0</v>
      </c>
      <c r="BR310" s="7">
        <v>5.0</v>
      </c>
      <c r="BS310" s="7">
        <v>5.0</v>
      </c>
      <c r="BZ310" s="7">
        <v>40.0</v>
      </c>
      <c r="CA310" s="7">
        <v>30.0</v>
      </c>
      <c r="CH310" s="7">
        <v>10.0</v>
      </c>
      <c r="CI310" s="7">
        <v>7.0</v>
      </c>
      <c r="CL310" s="7">
        <v>14.0</v>
      </c>
      <c r="CM310" s="7">
        <v>9.0</v>
      </c>
      <c r="CN310" s="7">
        <v>10.0</v>
      </c>
      <c r="CO310" s="7">
        <v>6.0</v>
      </c>
      <c r="CP310" s="7">
        <v>8.0</v>
      </c>
      <c r="CQ310" s="7">
        <v>5.0</v>
      </c>
      <c r="CT310" s="7">
        <v>10.0</v>
      </c>
      <c r="DB310" s="7">
        <v>30.0</v>
      </c>
      <c r="DC310" s="7">
        <v>18.0</v>
      </c>
      <c r="EF310" s="7">
        <v>3.0</v>
      </c>
      <c r="EG310" s="7">
        <v>4.0</v>
      </c>
      <c r="GR310" s="87">
        <v>309.0</v>
      </c>
    </row>
    <row r="311">
      <c r="A311" s="5">
        <v>46081.40433949074</v>
      </c>
      <c r="B311" s="6">
        <v>46054.0</v>
      </c>
      <c r="C311" s="6">
        <v>46081.0</v>
      </c>
      <c r="D311" s="7" t="s">
        <v>37</v>
      </c>
      <c r="E311" s="7" t="s">
        <v>87</v>
      </c>
      <c r="F311" s="7">
        <v>3.0</v>
      </c>
      <c r="G311" s="7" t="s">
        <v>70</v>
      </c>
      <c r="H311" s="7" t="s">
        <v>76</v>
      </c>
      <c r="J311" s="7">
        <v>60.0</v>
      </c>
      <c r="K311" s="7">
        <v>6.0</v>
      </c>
      <c r="N311" s="7">
        <v>12.0</v>
      </c>
      <c r="O311" s="7">
        <v>2.0</v>
      </c>
      <c r="BN311" s="7">
        <v>30.0</v>
      </c>
      <c r="BO311" s="7">
        <v>25.0</v>
      </c>
      <c r="BR311" s="7">
        <v>6.0</v>
      </c>
      <c r="BS311" s="7">
        <v>6.0</v>
      </c>
      <c r="BZ311" s="7">
        <v>50.0</v>
      </c>
      <c r="CA311" s="7">
        <v>40.0</v>
      </c>
      <c r="CH311" s="7">
        <v>6.0</v>
      </c>
      <c r="CI311" s="7">
        <v>3.0</v>
      </c>
      <c r="CN311" s="7">
        <v>20.0</v>
      </c>
      <c r="CO311" s="7">
        <v>11.0</v>
      </c>
      <c r="CT311" s="7">
        <v>4.0</v>
      </c>
      <c r="DB311" s="7">
        <v>70.0</v>
      </c>
      <c r="DC311" s="7">
        <v>32.0</v>
      </c>
      <c r="DD311" s="7">
        <v>20.0</v>
      </c>
      <c r="DE311" s="7">
        <v>8.0</v>
      </c>
      <c r="DY311" s="7">
        <v>1.0</v>
      </c>
      <c r="EF311" s="7">
        <v>4.0</v>
      </c>
      <c r="EG311" s="7">
        <v>5.0</v>
      </c>
      <c r="EV311" s="7">
        <v>15.0</v>
      </c>
      <c r="FB311" s="7">
        <v>30.0</v>
      </c>
      <c r="GR311" s="87">
        <v>310.0</v>
      </c>
    </row>
    <row r="312">
      <c r="A312" s="5">
        <v>46081.436701053244</v>
      </c>
      <c r="B312" s="6">
        <v>46054.0</v>
      </c>
      <c r="C312" s="6">
        <v>46081.0</v>
      </c>
      <c r="D312" s="7" t="s">
        <v>26</v>
      </c>
      <c r="E312" s="7" t="s">
        <v>104</v>
      </c>
      <c r="F312" s="7">
        <v>3.0</v>
      </c>
      <c r="G312" s="7" t="s">
        <v>70</v>
      </c>
      <c r="H312" s="7" t="s">
        <v>76</v>
      </c>
      <c r="J312" s="7">
        <v>40.0</v>
      </c>
      <c r="K312" s="7">
        <v>10.0</v>
      </c>
      <c r="N312" s="7">
        <v>25.0</v>
      </c>
      <c r="O312" s="7">
        <v>11.0</v>
      </c>
      <c r="AX312" s="7">
        <v>900.0</v>
      </c>
      <c r="AY312" s="7">
        <v>900.0</v>
      </c>
      <c r="BD312" s="7">
        <v>10.0</v>
      </c>
      <c r="BE312" s="7">
        <v>3.0</v>
      </c>
      <c r="BN312" s="7">
        <v>6.0</v>
      </c>
      <c r="BR312" s="7">
        <v>10.0</v>
      </c>
      <c r="BS312" s="7">
        <v>6.0</v>
      </c>
      <c r="BZ312" s="7">
        <v>50.0</v>
      </c>
      <c r="CA312" s="7">
        <v>36.0</v>
      </c>
      <c r="CH312" s="7">
        <v>15.0</v>
      </c>
      <c r="CI312" s="7">
        <v>8.0</v>
      </c>
      <c r="CL312" s="7">
        <v>9.0</v>
      </c>
      <c r="CM312" s="7">
        <v>4.0</v>
      </c>
      <c r="CN312" s="7">
        <v>8.0</v>
      </c>
      <c r="CO312" s="7">
        <v>4.0</v>
      </c>
      <c r="CT312" s="7">
        <v>4.0</v>
      </c>
      <c r="CU312" s="7">
        <v>1.0</v>
      </c>
      <c r="DB312" s="7">
        <v>35.0</v>
      </c>
      <c r="DC312" s="7">
        <v>18.0</v>
      </c>
      <c r="DD312" s="7">
        <v>28.0</v>
      </c>
      <c r="DE312" s="7">
        <v>14.0</v>
      </c>
      <c r="EF312" s="7">
        <v>4.0</v>
      </c>
      <c r="EG312" s="7">
        <v>4.0</v>
      </c>
      <c r="EX312" s="7">
        <v>5.0</v>
      </c>
      <c r="FB312" s="7">
        <v>30.0</v>
      </c>
      <c r="GR312" s="87">
        <v>311.0</v>
      </c>
    </row>
    <row r="313">
      <c r="A313" s="5">
        <v>46081.44143046296</v>
      </c>
      <c r="B313" s="6">
        <v>46054.0</v>
      </c>
      <c r="C313" s="6">
        <v>46081.0</v>
      </c>
      <c r="D313" s="7" t="s">
        <v>42</v>
      </c>
      <c r="E313" s="7" t="s">
        <v>279</v>
      </c>
      <c r="F313" s="7">
        <v>2.0</v>
      </c>
      <c r="G313" s="7" t="s">
        <v>70</v>
      </c>
      <c r="H313" s="7" t="s">
        <v>76</v>
      </c>
      <c r="J313" s="7">
        <v>25.0</v>
      </c>
      <c r="BL313" s="7">
        <v>15.0</v>
      </c>
      <c r="BM313" s="7">
        <v>10.0</v>
      </c>
      <c r="BN313" s="7">
        <v>15.0</v>
      </c>
      <c r="BO313" s="7">
        <v>10.0</v>
      </c>
      <c r="BZ313" s="7">
        <v>15.0</v>
      </c>
      <c r="CA313" s="7">
        <v>10.0</v>
      </c>
      <c r="EU313" s="7">
        <v>15.0</v>
      </c>
      <c r="EV313" s="7">
        <v>15.0</v>
      </c>
      <c r="FB313" s="7">
        <v>15.0</v>
      </c>
      <c r="GR313" s="87">
        <v>312.0</v>
      </c>
    </row>
    <row r="314">
      <c r="A314" s="5">
        <v>46081.45431747685</v>
      </c>
      <c r="B314" s="6">
        <v>46054.0</v>
      </c>
      <c r="C314" s="6">
        <v>46081.0</v>
      </c>
      <c r="D314" s="7" t="s">
        <v>24</v>
      </c>
      <c r="E314" s="7" t="s">
        <v>158</v>
      </c>
      <c r="F314" s="7">
        <v>3.0</v>
      </c>
      <c r="G314" s="7" t="s">
        <v>70</v>
      </c>
      <c r="H314" s="7" t="s">
        <v>76</v>
      </c>
      <c r="J314" s="7">
        <v>75.0</v>
      </c>
      <c r="N314" s="7">
        <v>12.0</v>
      </c>
      <c r="AX314" s="7">
        <v>600.0</v>
      </c>
      <c r="AY314" s="7">
        <v>600.0</v>
      </c>
      <c r="BD314" s="7">
        <v>10.0</v>
      </c>
      <c r="BE314" s="7">
        <v>3.0</v>
      </c>
      <c r="BJ314" s="7">
        <v>10.0</v>
      </c>
      <c r="BK314" s="7">
        <v>7.0</v>
      </c>
      <c r="BL314" s="7">
        <v>10.0</v>
      </c>
      <c r="BM314" s="7">
        <v>7.0</v>
      </c>
      <c r="BR314" s="7">
        <v>3.0</v>
      </c>
      <c r="BS314" s="7">
        <v>2.0</v>
      </c>
      <c r="BZ314" s="7">
        <v>45.0</v>
      </c>
      <c r="CA314" s="7">
        <v>35.0</v>
      </c>
      <c r="CL314" s="7">
        <v>3.0</v>
      </c>
      <c r="CM314" s="7">
        <v>2.0</v>
      </c>
      <c r="CN314" s="7">
        <v>3.0</v>
      </c>
      <c r="CO314" s="7">
        <v>2.0</v>
      </c>
      <c r="CT314" s="7">
        <v>6.0</v>
      </c>
      <c r="CU314" s="7">
        <v>4.0</v>
      </c>
      <c r="DB314" s="7">
        <v>10.0</v>
      </c>
      <c r="DC314" s="7">
        <v>6.0</v>
      </c>
      <c r="DD314" s="7">
        <v>10.0</v>
      </c>
      <c r="DE314" s="7">
        <v>6.0</v>
      </c>
      <c r="EF314" s="7">
        <v>3.0</v>
      </c>
      <c r="EG314" s="7">
        <v>3.0</v>
      </c>
      <c r="GR314" s="87">
        <v>313.0</v>
      </c>
    </row>
    <row r="315">
      <c r="A315" s="5">
        <v>46081.46304307871</v>
      </c>
      <c r="B315" s="6">
        <v>46054.0</v>
      </c>
      <c r="C315" s="6">
        <v>46081.0</v>
      </c>
      <c r="D315" s="7" t="s">
        <v>36</v>
      </c>
      <c r="E315" s="7" t="s">
        <v>183</v>
      </c>
      <c r="F315" s="7">
        <v>3.0</v>
      </c>
      <c r="G315" s="7" t="s">
        <v>70</v>
      </c>
      <c r="H315" s="7" t="s">
        <v>76</v>
      </c>
      <c r="J315" s="7">
        <v>60.0</v>
      </c>
      <c r="N315" s="7">
        <v>40.0</v>
      </c>
      <c r="T315" s="7">
        <v>25.0</v>
      </c>
      <c r="AX315" s="7">
        <v>900.0</v>
      </c>
      <c r="AY315" s="7">
        <v>900.0</v>
      </c>
      <c r="BL315" s="7">
        <v>15.0</v>
      </c>
      <c r="BM315" s="7">
        <v>12.0</v>
      </c>
      <c r="BN315" s="7">
        <v>45.0</v>
      </c>
      <c r="BO315" s="7">
        <v>37.0</v>
      </c>
      <c r="BR315" s="7">
        <v>9.0</v>
      </c>
      <c r="BS315" s="7">
        <v>9.0</v>
      </c>
      <c r="BZ315" s="7">
        <v>75.0</v>
      </c>
      <c r="CA315" s="7">
        <v>60.0</v>
      </c>
      <c r="CH315" s="7">
        <v>12.0</v>
      </c>
      <c r="CI315" s="7">
        <v>6.0</v>
      </c>
      <c r="CN315" s="7">
        <v>12.0</v>
      </c>
      <c r="CO315" s="7">
        <v>6.0</v>
      </c>
      <c r="DB315" s="7">
        <v>48.0</v>
      </c>
      <c r="DC315" s="7">
        <v>23.0</v>
      </c>
      <c r="EF315" s="7">
        <v>12.0</v>
      </c>
      <c r="EG315" s="7">
        <v>11.0</v>
      </c>
      <c r="EH315" s="7">
        <v>14.0</v>
      </c>
      <c r="EI315" s="7">
        <v>14.0</v>
      </c>
      <c r="EU315" s="7">
        <v>15.0</v>
      </c>
      <c r="EV315" s="7">
        <v>45.0</v>
      </c>
      <c r="EX315" s="7">
        <v>10.0</v>
      </c>
      <c r="FB315" s="7">
        <v>75.0</v>
      </c>
      <c r="GR315" s="87">
        <v>314.0</v>
      </c>
    </row>
    <row r="316">
      <c r="A316" s="5">
        <v>46081.49851965278</v>
      </c>
      <c r="B316" s="6">
        <v>46054.0</v>
      </c>
      <c r="C316" s="6">
        <v>46081.0</v>
      </c>
      <c r="D316" s="7" t="s">
        <v>192</v>
      </c>
      <c r="E316" s="7" t="s">
        <v>194</v>
      </c>
      <c r="F316" s="7">
        <v>4.0</v>
      </c>
      <c r="G316" s="7" t="s">
        <v>70</v>
      </c>
      <c r="H316" s="7" t="s">
        <v>76</v>
      </c>
      <c r="BJ316" s="7">
        <v>15.0</v>
      </c>
      <c r="BK316" s="7">
        <v>8.0</v>
      </c>
      <c r="BZ316" s="7">
        <v>15.0</v>
      </c>
      <c r="CA316" s="7">
        <v>8.0</v>
      </c>
      <c r="DB316" s="7">
        <v>10.0</v>
      </c>
      <c r="DC316" s="7">
        <v>8.0</v>
      </c>
      <c r="ET316" s="7">
        <v>15.0</v>
      </c>
      <c r="FB316" s="7">
        <v>30.0</v>
      </c>
      <c r="GR316" s="87">
        <v>315.0</v>
      </c>
    </row>
    <row r="317">
      <c r="A317" s="5">
        <v>46081.53825135417</v>
      </c>
      <c r="B317" s="6">
        <v>46054.0</v>
      </c>
      <c r="C317" s="6">
        <v>46081.0</v>
      </c>
      <c r="D317" s="7" t="s">
        <v>34</v>
      </c>
      <c r="E317" s="7" t="s">
        <v>169</v>
      </c>
      <c r="F317" s="7">
        <v>1.0</v>
      </c>
      <c r="G317" s="7" t="s">
        <v>70</v>
      </c>
      <c r="H317" s="7" t="s">
        <v>76</v>
      </c>
      <c r="J317" s="7">
        <v>55.0</v>
      </c>
      <c r="N317" s="7">
        <v>50.0</v>
      </c>
      <c r="T317" s="7">
        <v>50.0</v>
      </c>
      <c r="AW317" s="7">
        <v>200.0</v>
      </c>
      <c r="AX317" s="7">
        <v>1800.0</v>
      </c>
      <c r="AY317" s="7">
        <v>1800.0</v>
      </c>
      <c r="BH317" s="7">
        <v>15.0</v>
      </c>
      <c r="BI317" s="7">
        <v>12.0</v>
      </c>
      <c r="BJ317" s="7">
        <v>15.0</v>
      </c>
      <c r="BK317" s="7">
        <v>12.0</v>
      </c>
      <c r="BL317" s="7">
        <v>30.0</v>
      </c>
      <c r="BM317" s="7">
        <v>20.0</v>
      </c>
      <c r="BN317" s="7">
        <v>15.0</v>
      </c>
      <c r="BO317" s="7">
        <v>12.0</v>
      </c>
      <c r="BR317" s="7">
        <v>20.0</v>
      </c>
      <c r="BS317" s="7">
        <v>20.0</v>
      </c>
      <c r="BZ317" s="7">
        <v>15.0</v>
      </c>
      <c r="CA317" s="7">
        <v>12.0</v>
      </c>
      <c r="CB317" s="7">
        <v>15.0</v>
      </c>
      <c r="CC317" s="7">
        <v>12.0</v>
      </c>
      <c r="CH317" s="7">
        <v>12.0</v>
      </c>
      <c r="CI317" s="7">
        <v>8.0</v>
      </c>
      <c r="CL317" s="7">
        <v>12.0</v>
      </c>
      <c r="CM317" s="7">
        <v>7.0</v>
      </c>
      <c r="CN317" s="7">
        <v>12.0</v>
      </c>
      <c r="CO317" s="7">
        <v>8.0</v>
      </c>
      <c r="DB317" s="7">
        <v>20.0</v>
      </c>
      <c r="DC317" s="7">
        <v>12.0</v>
      </c>
      <c r="DD317" s="7">
        <v>20.0</v>
      </c>
      <c r="DE317" s="7">
        <v>12.0</v>
      </c>
      <c r="DP317" s="7">
        <v>4.0</v>
      </c>
      <c r="DQ317" s="7">
        <v>4.0</v>
      </c>
      <c r="DR317" s="7">
        <v>4.0</v>
      </c>
      <c r="DS317" s="7">
        <v>4.0</v>
      </c>
      <c r="ES317" s="7">
        <v>15.0</v>
      </c>
      <c r="ET317" s="7">
        <v>15.0</v>
      </c>
      <c r="EU317" s="7">
        <v>30.0</v>
      </c>
      <c r="EV317" s="7">
        <v>15.0</v>
      </c>
      <c r="FB317" s="7">
        <v>60.0</v>
      </c>
      <c r="FC317" s="7">
        <v>30.0</v>
      </c>
      <c r="GR317" s="87">
        <v>316.0</v>
      </c>
    </row>
    <row r="318">
      <c r="A318" s="5">
        <v>46081.53925420139</v>
      </c>
      <c r="B318" s="6">
        <v>46054.0</v>
      </c>
      <c r="C318" s="6">
        <v>46081.0</v>
      </c>
      <c r="D318" s="7" t="s">
        <v>38</v>
      </c>
      <c r="E318" s="7" t="s">
        <v>188</v>
      </c>
      <c r="F318" s="7">
        <v>2.0</v>
      </c>
      <c r="G318" s="7" t="s">
        <v>70</v>
      </c>
      <c r="H318" s="7" t="s">
        <v>76</v>
      </c>
      <c r="J318" s="7">
        <v>50.0</v>
      </c>
      <c r="N318" s="7">
        <v>20.0</v>
      </c>
      <c r="AW318" s="7">
        <v>100.0</v>
      </c>
      <c r="AX318" s="7">
        <v>800.0</v>
      </c>
      <c r="AY318" s="7">
        <v>800.0</v>
      </c>
      <c r="BJ318" s="7">
        <v>15.0</v>
      </c>
      <c r="BK318" s="7">
        <v>8.0</v>
      </c>
      <c r="BR318" s="7">
        <v>3.0</v>
      </c>
      <c r="BS318" s="7">
        <v>3.0</v>
      </c>
      <c r="BZ318" s="7">
        <v>15.0</v>
      </c>
      <c r="CA318" s="7">
        <v>8.0</v>
      </c>
      <c r="CH318" s="7">
        <v>8.0</v>
      </c>
      <c r="CI318" s="7">
        <v>4.0</v>
      </c>
      <c r="CT318" s="7">
        <v>3.0</v>
      </c>
      <c r="CU318" s="7">
        <v>1.0</v>
      </c>
      <c r="DB318" s="7">
        <v>5.0</v>
      </c>
      <c r="DC318" s="7">
        <v>3.0</v>
      </c>
      <c r="ET318" s="7">
        <v>30.0</v>
      </c>
      <c r="FB318" s="7">
        <v>30.0</v>
      </c>
      <c r="FJ318" s="7">
        <v>15.0</v>
      </c>
      <c r="FR318" s="7">
        <v>15.0</v>
      </c>
      <c r="GR318" s="87">
        <v>317.0</v>
      </c>
    </row>
    <row r="319">
      <c r="A319" s="5">
        <v>46081.54001305556</v>
      </c>
      <c r="B319" s="6">
        <v>46054.0</v>
      </c>
      <c r="C319" s="6">
        <v>46081.0</v>
      </c>
      <c r="D319" s="7" t="s">
        <v>25</v>
      </c>
      <c r="E319" s="7" t="s">
        <v>246</v>
      </c>
      <c r="F319" s="7">
        <v>2.0</v>
      </c>
      <c r="G319" s="7" t="s">
        <v>70</v>
      </c>
      <c r="H319" s="7" t="s">
        <v>76</v>
      </c>
      <c r="J319" s="7">
        <v>50.0</v>
      </c>
      <c r="N319" s="7">
        <v>26.0</v>
      </c>
      <c r="AX319" s="7">
        <v>500.0</v>
      </c>
      <c r="AY319" s="7">
        <v>500.0</v>
      </c>
      <c r="BN319" s="7">
        <v>10.0</v>
      </c>
      <c r="BO319" s="7">
        <v>5.0</v>
      </c>
      <c r="BR319" s="7">
        <v>8.0</v>
      </c>
      <c r="BS319" s="7">
        <v>8.0</v>
      </c>
      <c r="CN319" s="7">
        <v>5.0</v>
      </c>
      <c r="CO319" s="7">
        <v>3.0</v>
      </c>
      <c r="CT319" s="7">
        <v>2.0</v>
      </c>
      <c r="CU319" s="7">
        <v>1.0</v>
      </c>
      <c r="DB319" s="7">
        <v>5.0</v>
      </c>
      <c r="DC319" s="7">
        <v>2.0</v>
      </c>
      <c r="EF319" s="7">
        <v>3.0</v>
      </c>
      <c r="EG319" s="7">
        <v>4.0</v>
      </c>
      <c r="EX319" s="7">
        <v>5.0</v>
      </c>
      <c r="GR319" s="87">
        <v>318.0</v>
      </c>
    </row>
    <row r="320">
      <c r="A320" s="5">
        <v>46081.578472430556</v>
      </c>
      <c r="B320" s="6">
        <v>46054.0</v>
      </c>
      <c r="C320" s="6">
        <v>46081.0</v>
      </c>
      <c r="D320" s="7" t="s">
        <v>40</v>
      </c>
      <c r="E320" s="7" t="s">
        <v>174</v>
      </c>
      <c r="F320" s="7">
        <v>4.0</v>
      </c>
      <c r="G320" s="7" t="s">
        <v>70</v>
      </c>
      <c r="H320" s="7" t="s">
        <v>76</v>
      </c>
      <c r="BN320" s="7">
        <v>45.0</v>
      </c>
      <c r="BO320" s="7">
        <v>30.0</v>
      </c>
      <c r="DB320" s="7">
        <v>20.0</v>
      </c>
      <c r="DC320" s="7">
        <v>12.0</v>
      </c>
      <c r="DT320" s="7">
        <v>4.0</v>
      </c>
      <c r="DU320" s="7">
        <v>6.0</v>
      </c>
      <c r="EF320" s="7">
        <v>5.0</v>
      </c>
      <c r="EG320" s="7">
        <v>5.0</v>
      </c>
      <c r="EV320" s="7">
        <v>45.0</v>
      </c>
      <c r="GR320" s="87">
        <v>319.0</v>
      </c>
    </row>
    <row r="321">
      <c r="A321" s="5">
        <v>46081.60758335648</v>
      </c>
      <c r="B321" s="6">
        <v>46054.0</v>
      </c>
      <c r="C321" s="6">
        <v>46081.0</v>
      </c>
      <c r="D321" s="7" t="s">
        <v>269</v>
      </c>
      <c r="E321" s="7" t="s">
        <v>267</v>
      </c>
      <c r="F321" s="7">
        <v>2.0</v>
      </c>
      <c r="G321" s="7" t="s">
        <v>70</v>
      </c>
      <c r="H321" s="7" t="s">
        <v>76</v>
      </c>
      <c r="J321" s="7">
        <v>100.0</v>
      </c>
      <c r="N321" s="7">
        <v>66.0</v>
      </c>
      <c r="AW321" s="7">
        <v>100.0</v>
      </c>
      <c r="AX321" s="7">
        <v>1500.0</v>
      </c>
      <c r="AY321" s="7">
        <v>1500.0</v>
      </c>
      <c r="BN321" s="7">
        <v>140.0</v>
      </c>
      <c r="BO321" s="7">
        <v>140.0</v>
      </c>
      <c r="BR321" s="7">
        <v>20.0</v>
      </c>
      <c r="BS321" s="7">
        <v>18.0</v>
      </c>
      <c r="BZ321" s="7">
        <v>45.0</v>
      </c>
      <c r="CA321" s="7">
        <v>45.0</v>
      </c>
      <c r="CH321" s="7">
        <v>15.0</v>
      </c>
      <c r="CI321" s="7">
        <v>8.0</v>
      </c>
      <c r="CT321" s="7">
        <v>3.0</v>
      </c>
      <c r="CU321" s="7">
        <v>1.0</v>
      </c>
      <c r="DB321" s="7">
        <v>30.0</v>
      </c>
      <c r="DC321" s="7">
        <v>18.0</v>
      </c>
      <c r="EF321" s="7">
        <v>6.0</v>
      </c>
      <c r="EG321" s="7">
        <v>6.0</v>
      </c>
      <c r="EV321" s="7">
        <v>140.0</v>
      </c>
      <c r="EX321" s="7">
        <v>50.0</v>
      </c>
      <c r="FB321" s="7">
        <v>45.0</v>
      </c>
      <c r="GR321" s="87">
        <v>320.0</v>
      </c>
    </row>
    <row r="322">
      <c r="A322" s="5">
        <v>46081.6118140162</v>
      </c>
      <c r="B322" s="6">
        <v>46054.0</v>
      </c>
      <c r="C322" s="6">
        <v>46081.0</v>
      </c>
      <c r="D322" s="7" t="s">
        <v>213</v>
      </c>
      <c r="E322" s="7" t="s">
        <v>231</v>
      </c>
      <c r="F322" s="7">
        <v>3.0</v>
      </c>
      <c r="G322" s="7" t="s">
        <v>70</v>
      </c>
      <c r="H322" s="7" t="s">
        <v>76</v>
      </c>
      <c r="J322" s="7">
        <v>100.0</v>
      </c>
      <c r="N322" s="7">
        <v>70.0</v>
      </c>
      <c r="AX322" s="7">
        <v>600.0</v>
      </c>
      <c r="AY322" s="7">
        <v>600.0</v>
      </c>
      <c r="BL322" s="7">
        <v>15.0</v>
      </c>
      <c r="BM322" s="7">
        <v>15.0</v>
      </c>
      <c r="BN322" s="7">
        <v>25.0</v>
      </c>
      <c r="BO322" s="7">
        <v>25.0</v>
      </c>
      <c r="BR322" s="7">
        <v>7.0</v>
      </c>
      <c r="BS322" s="7">
        <v>7.0</v>
      </c>
      <c r="BZ322" s="7">
        <v>45.0</v>
      </c>
      <c r="CA322" s="7">
        <v>45.0</v>
      </c>
      <c r="CP322" s="7">
        <v>30.0</v>
      </c>
      <c r="CQ322" s="7">
        <v>15.0</v>
      </c>
      <c r="CT322" s="7">
        <v>5.0</v>
      </c>
      <c r="CU322" s="7">
        <v>2.0</v>
      </c>
      <c r="DB322" s="7">
        <v>15.0</v>
      </c>
      <c r="DC322" s="7">
        <v>7.0</v>
      </c>
      <c r="DY322" s="7">
        <v>1.0</v>
      </c>
      <c r="EU322" s="7">
        <v>15.0</v>
      </c>
      <c r="EV322" s="7">
        <v>25.0</v>
      </c>
      <c r="FB322" s="7">
        <v>45.0</v>
      </c>
      <c r="GR322" s="87">
        <v>321.0</v>
      </c>
    </row>
    <row r="323">
      <c r="A323" s="5">
        <v>46081.645085763885</v>
      </c>
      <c r="B323" s="6">
        <v>46054.0</v>
      </c>
      <c r="C323" s="6">
        <v>46081.0</v>
      </c>
      <c r="D323" s="7" t="s">
        <v>41</v>
      </c>
      <c r="E323" s="7" t="s">
        <v>251</v>
      </c>
      <c r="F323" s="7">
        <v>2.0</v>
      </c>
      <c r="G323" s="7" t="s">
        <v>70</v>
      </c>
      <c r="H323" s="7" t="s">
        <v>76</v>
      </c>
      <c r="J323" s="7">
        <v>120.0</v>
      </c>
      <c r="N323" s="7">
        <v>35.0</v>
      </c>
      <c r="Q323" s="7">
        <v>1.0</v>
      </c>
      <c r="R323" s="7">
        <v>22.0</v>
      </c>
      <c r="S323" s="7">
        <v>35.0</v>
      </c>
      <c r="Y323" s="7">
        <v>10.0</v>
      </c>
      <c r="AW323" s="7">
        <v>100.0</v>
      </c>
      <c r="AX323" s="7">
        <v>1300.0</v>
      </c>
      <c r="AY323" s="7">
        <v>1300.0</v>
      </c>
      <c r="BJ323" s="7">
        <v>15.0</v>
      </c>
      <c r="BK323" s="7">
        <v>11.0</v>
      </c>
      <c r="BL323" s="7">
        <v>30.0</v>
      </c>
      <c r="BM323" s="7">
        <v>22.0</v>
      </c>
      <c r="BN323" s="7">
        <v>45.0</v>
      </c>
      <c r="BO323" s="7">
        <v>36.0</v>
      </c>
      <c r="BR323" s="7">
        <v>15.0</v>
      </c>
      <c r="BS323" s="7">
        <v>13.0</v>
      </c>
      <c r="BZ323" s="7">
        <v>60.0</v>
      </c>
      <c r="CA323" s="7">
        <v>53.0</v>
      </c>
      <c r="CB323" s="7">
        <v>30.0</v>
      </c>
      <c r="CC323" s="7">
        <v>24.0</v>
      </c>
      <c r="CH323" s="7">
        <v>9.0</v>
      </c>
      <c r="CI323" s="7">
        <v>4.0</v>
      </c>
      <c r="CN323" s="7">
        <v>8.0</v>
      </c>
      <c r="CO323" s="7">
        <v>4.0</v>
      </c>
      <c r="CT323" s="7">
        <v>3.0</v>
      </c>
      <c r="CU323" s="7">
        <v>1.0</v>
      </c>
      <c r="DB323" s="7">
        <v>17.0</v>
      </c>
      <c r="DC323" s="7">
        <v>11.0</v>
      </c>
      <c r="ET323" s="7">
        <v>15.0</v>
      </c>
      <c r="EU323" s="7">
        <v>30.0</v>
      </c>
      <c r="EV323" s="7">
        <v>45.0</v>
      </c>
      <c r="EX323" s="7">
        <v>10.0</v>
      </c>
      <c r="FB323" s="7">
        <v>15.0</v>
      </c>
      <c r="FC323" s="7">
        <v>30.0</v>
      </c>
      <c r="GR323" s="87">
        <v>322.0</v>
      </c>
    </row>
    <row r="324">
      <c r="A324" s="5">
        <v>46081.65363568287</v>
      </c>
      <c r="B324" s="6">
        <v>46054.0</v>
      </c>
      <c r="C324" s="6">
        <v>46081.0</v>
      </c>
      <c r="D324" s="7" t="s">
        <v>258</v>
      </c>
      <c r="E324" s="7" t="s">
        <v>256</v>
      </c>
      <c r="F324" s="7">
        <v>2.0</v>
      </c>
      <c r="G324" s="7" t="s">
        <v>70</v>
      </c>
      <c r="H324" s="7" t="s">
        <v>76</v>
      </c>
      <c r="J324" s="7">
        <v>20.0</v>
      </c>
      <c r="AW324" s="7">
        <v>100.0</v>
      </c>
      <c r="AX324" s="7">
        <v>1600.0</v>
      </c>
      <c r="AY324" s="7">
        <v>1600.0</v>
      </c>
      <c r="GR324" s="87">
        <v>323.0</v>
      </c>
    </row>
    <row r="325">
      <c r="A325" s="5">
        <v>46081.821233634255</v>
      </c>
      <c r="B325" s="6">
        <v>46054.0</v>
      </c>
      <c r="C325" s="6">
        <v>46081.0</v>
      </c>
      <c r="D325" s="7" t="s">
        <v>211</v>
      </c>
      <c r="E325" s="7" t="s">
        <v>223</v>
      </c>
      <c r="F325" s="7">
        <v>4.0</v>
      </c>
      <c r="G325" s="7" t="s">
        <v>70</v>
      </c>
      <c r="H325" s="7" t="s">
        <v>76</v>
      </c>
      <c r="BL325" s="7">
        <v>15.0</v>
      </c>
      <c r="BM325" s="7">
        <v>9.0</v>
      </c>
      <c r="BZ325" s="7">
        <v>90.0</v>
      </c>
      <c r="CA325" s="7">
        <v>63.0</v>
      </c>
      <c r="CH325" s="7">
        <v>9.0</v>
      </c>
      <c r="CI325" s="7">
        <v>6.0</v>
      </c>
      <c r="CN325" s="7">
        <v>21.0</v>
      </c>
      <c r="CO325" s="7">
        <v>15.0</v>
      </c>
      <c r="DB325" s="7">
        <v>23.0</v>
      </c>
      <c r="DC325" s="7">
        <v>16.0</v>
      </c>
      <c r="EU325" s="7">
        <v>15.0</v>
      </c>
      <c r="FB325" s="7">
        <v>90.0</v>
      </c>
      <c r="GR325" s="87">
        <v>324.0</v>
      </c>
    </row>
    <row r="326">
      <c r="A326" s="5">
        <v>46081.82837501157</v>
      </c>
      <c r="B326" s="6">
        <v>46054.0</v>
      </c>
      <c r="C326" s="6">
        <v>46081.0</v>
      </c>
      <c r="D326" s="7" t="s">
        <v>214</v>
      </c>
      <c r="E326" s="7" t="s">
        <v>217</v>
      </c>
      <c r="F326" s="7">
        <v>4.0</v>
      </c>
      <c r="G326" s="7" t="s">
        <v>70</v>
      </c>
      <c r="H326" s="7" t="s">
        <v>76</v>
      </c>
      <c r="BN326" s="7">
        <v>25.0</v>
      </c>
      <c r="BO326" s="7">
        <v>17.0</v>
      </c>
      <c r="BZ326" s="7">
        <v>15.0</v>
      </c>
      <c r="CA326" s="7">
        <v>9.0</v>
      </c>
      <c r="DB326" s="7">
        <v>25.0</v>
      </c>
      <c r="DC326" s="7">
        <v>16.0</v>
      </c>
      <c r="DD326" s="7">
        <v>13.0</v>
      </c>
      <c r="DE326" s="7">
        <v>7.0</v>
      </c>
      <c r="EV326" s="7">
        <v>50.0</v>
      </c>
      <c r="FB326" s="7">
        <v>15.0</v>
      </c>
      <c r="GR326" s="87">
        <v>325.0</v>
      </c>
    </row>
    <row r="327">
      <c r="A327" s="5">
        <v>46081.836654768515</v>
      </c>
      <c r="B327" s="6">
        <v>46054.0</v>
      </c>
      <c r="C327" s="6">
        <v>46081.0</v>
      </c>
      <c r="D327" s="7" t="s">
        <v>207</v>
      </c>
      <c r="E327" s="7" t="s">
        <v>205</v>
      </c>
      <c r="F327" s="7">
        <v>2.0</v>
      </c>
      <c r="G327" s="7" t="s">
        <v>70</v>
      </c>
      <c r="H327" s="7" t="s">
        <v>76</v>
      </c>
      <c r="J327" s="7">
        <v>170.0</v>
      </c>
      <c r="N327" s="7">
        <v>91.0</v>
      </c>
      <c r="Q327" s="7">
        <v>2.0</v>
      </c>
      <c r="R327" s="7">
        <v>150.0</v>
      </c>
      <c r="S327" s="7">
        <v>80.0</v>
      </c>
      <c r="T327" s="7">
        <v>55.0</v>
      </c>
      <c r="Y327" s="7">
        <v>20.0</v>
      </c>
      <c r="AX327" s="7">
        <v>1700.0</v>
      </c>
      <c r="AY327" s="7">
        <v>1700.0</v>
      </c>
      <c r="BD327" s="7">
        <v>10.0</v>
      </c>
      <c r="BE327" s="7">
        <v>10.0</v>
      </c>
      <c r="BJ327" s="7">
        <v>15.0</v>
      </c>
      <c r="BK327" s="7">
        <v>8.0</v>
      </c>
      <c r="BL327" s="7">
        <v>15.0</v>
      </c>
      <c r="BM327" s="7">
        <v>9.0</v>
      </c>
      <c r="BN327" s="7">
        <v>25.0</v>
      </c>
      <c r="BO327" s="7">
        <v>16.0</v>
      </c>
      <c r="BR327" s="7">
        <v>15.0</v>
      </c>
      <c r="BS327" s="7">
        <v>10.0</v>
      </c>
      <c r="BZ327" s="7">
        <v>15.0</v>
      </c>
      <c r="CA327" s="7">
        <v>10.0</v>
      </c>
      <c r="CH327" s="7">
        <v>29.0</v>
      </c>
      <c r="CI327" s="7">
        <v>18.0</v>
      </c>
      <c r="CT327" s="7">
        <v>15.0</v>
      </c>
      <c r="CU327" s="7">
        <v>4.0</v>
      </c>
      <c r="DT327" s="7">
        <v>3.0</v>
      </c>
      <c r="DU327" s="7">
        <v>5.0</v>
      </c>
      <c r="EF327" s="7">
        <v>3.0</v>
      </c>
      <c r="EG327" s="7">
        <v>3.0</v>
      </c>
      <c r="ET327" s="7">
        <v>15.0</v>
      </c>
      <c r="EU327" s="7">
        <v>30.0</v>
      </c>
      <c r="EV327" s="7">
        <v>25.0</v>
      </c>
      <c r="EX327" s="7">
        <v>15.0</v>
      </c>
      <c r="FB327" s="7">
        <v>105.0</v>
      </c>
      <c r="FK327" s="7">
        <v>15.0</v>
      </c>
      <c r="FR327" s="7">
        <v>90.0</v>
      </c>
      <c r="FX327" s="7">
        <v>1.0</v>
      </c>
      <c r="FZ327" s="7">
        <v>50.0</v>
      </c>
      <c r="GR327" s="87">
        <v>326.0</v>
      </c>
    </row>
    <row r="328">
      <c r="A328" s="5">
        <v>46083.398986203705</v>
      </c>
      <c r="B328" s="6">
        <v>46054.0</v>
      </c>
      <c r="C328" s="6">
        <v>46081.0</v>
      </c>
      <c r="D328" s="7" t="s">
        <v>212</v>
      </c>
      <c r="E328" s="7" t="s">
        <v>227</v>
      </c>
      <c r="F328" s="7">
        <v>3.0</v>
      </c>
      <c r="G328" s="7" t="s">
        <v>70</v>
      </c>
      <c r="H328" s="7" t="s">
        <v>76</v>
      </c>
      <c r="J328" s="7">
        <v>60.0</v>
      </c>
      <c r="N328" s="7">
        <v>59.0</v>
      </c>
      <c r="Q328" s="7">
        <v>1.0</v>
      </c>
      <c r="R328" s="7">
        <v>26.0</v>
      </c>
      <c r="S328" s="7">
        <v>40.0</v>
      </c>
      <c r="T328" s="7">
        <v>39.0</v>
      </c>
      <c r="AW328" s="7">
        <v>100.0</v>
      </c>
      <c r="AX328" s="7">
        <v>1400.0</v>
      </c>
      <c r="AY328" s="7">
        <v>1400.0</v>
      </c>
      <c r="BF328" s="7">
        <v>32.0</v>
      </c>
      <c r="BG328" s="7">
        <v>20.0</v>
      </c>
      <c r="BJ328" s="7">
        <v>15.0</v>
      </c>
      <c r="BK328" s="7">
        <v>6.0</v>
      </c>
      <c r="BL328" s="7">
        <v>15.0</v>
      </c>
      <c r="BM328" s="7">
        <v>8.0</v>
      </c>
      <c r="BN328" s="7">
        <v>70.0</v>
      </c>
      <c r="BO328" s="7">
        <v>40.0</v>
      </c>
      <c r="BR328" s="7">
        <v>25.0</v>
      </c>
      <c r="BS328" s="7">
        <v>25.0</v>
      </c>
      <c r="BZ328" s="7">
        <v>150.0</v>
      </c>
      <c r="CA328" s="7">
        <v>95.0</v>
      </c>
      <c r="CH328" s="7">
        <v>12.0</v>
      </c>
      <c r="CI328" s="7">
        <v>6.0</v>
      </c>
      <c r="CL328" s="7">
        <v>13.0</v>
      </c>
      <c r="CM328" s="7">
        <v>6.0</v>
      </c>
      <c r="CN328" s="7">
        <v>12.0</v>
      </c>
      <c r="CO328" s="7">
        <v>5.0</v>
      </c>
      <c r="CT328" s="7">
        <v>15.0</v>
      </c>
      <c r="CU328" s="7">
        <v>3.0</v>
      </c>
      <c r="DB328" s="7">
        <v>25.0</v>
      </c>
      <c r="DC328" s="7">
        <v>14.0</v>
      </c>
      <c r="DD328" s="7">
        <v>38.0</v>
      </c>
      <c r="DE328" s="7">
        <v>20.0</v>
      </c>
      <c r="DL328" s="7">
        <v>4.0</v>
      </c>
      <c r="DM328" s="7">
        <v>1.0</v>
      </c>
      <c r="EF328" s="7">
        <v>4.0</v>
      </c>
      <c r="EG328" s="7">
        <v>3.0</v>
      </c>
      <c r="ET328" s="7">
        <v>15.0</v>
      </c>
      <c r="EU328" s="7">
        <v>15.0</v>
      </c>
      <c r="EV328" s="7">
        <v>60.0</v>
      </c>
      <c r="EX328" s="7">
        <v>20.0</v>
      </c>
      <c r="FB328" s="7">
        <v>75.0</v>
      </c>
      <c r="FL328" s="7">
        <v>50.0</v>
      </c>
      <c r="FR328" s="7">
        <v>15.0</v>
      </c>
      <c r="GR328" s="87">
        <v>327.0</v>
      </c>
    </row>
    <row r="329">
      <c r="A329" s="5">
        <v>46083.41226681713</v>
      </c>
      <c r="B329" s="6">
        <v>46054.0</v>
      </c>
      <c r="C329" s="6">
        <v>46081.0</v>
      </c>
      <c r="D329" s="7" t="s">
        <v>35</v>
      </c>
      <c r="E329" s="7" t="s">
        <v>283</v>
      </c>
      <c r="F329" s="7">
        <v>2.0</v>
      </c>
      <c r="G329" s="7" t="s">
        <v>70</v>
      </c>
      <c r="H329" s="7" t="s">
        <v>76</v>
      </c>
      <c r="J329" s="7">
        <v>40.0</v>
      </c>
      <c r="N329" s="7">
        <v>18.0</v>
      </c>
      <c r="AW329" s="7">
        <v>100.0</v>
      </c>
      <c r="AX329" s="7">
        <v>2200.0</v>
      </c>
      <c r="AY329" s="7">
        <v>2200.0</v>
      </c>
      <c r="BJ329" s="7">
        <v>15.0</v>
      </c>
      <c r="BK329" s="7">
        <v>12.0</v>
      </c>
      <c r="BR329" s="7">
        <v>10.0</v>
      </c>
      <c r="BS329" s="7">
        <v>10.0</v>
      </c>
      <c r="BZ329" s="7">
        <v>15.0</v>
      </c>
      <c r="CA329" s="7">
        <v>12.0</v>
      </c>
      <c r="CT329" s="7">
        <v>3.0</v>
      </c>
      <c r="CU329" s="7">
        <v>1.0</v>
      </c>
      <c r="ET329" s="7">
        <v>15.0</v>
      </c>
      <c r="EX329" s="7">
        <v>10.0</v>
      </c>
      <c r="FB329" s="7">
        <v>15.0</v>
      </c>
      <c r="GR329" s="87">
        <v>328.0</v>
      </c>
    </row>
    <row r="330">
      <c r="A330" s="5">
        <v>46083.41231568287</v>
      </c>
      <c r="B330" s="6">
        <v>46054.0</v>
      </c>
      <c r="C330" s="6">
        <v>46081.0</v>
      </c>
      <c r="D330" s="7" t="s">
        <v>29</v>
      </c>
      <c r="E330" s="7" t="s">
        <v>110</v>
      </c>
      <c r="F330" s="7">
        <v>3.0</v>
      </c>
      <c r="G330" s="7" t="s">
        <v>70</v>
      </c>
      <c r="H330" s="7" t="s">
        <v>76</v>
      </c>
      <c r="J330" s="7">
        <v>74.0</v>
      </c>
      <c r="L330" s="7">
        <v>1.0</v>
      </c>
      <c r="N330" s="7">
        <v>26.0</v>
      </c>
      <c r="AX330" s="7">
        <v>800.0</v>
      </c>
      <c r="AY330" s="7">
        <v>800.0</v>
      </c>
      <c r="BD330" s="7">
        <v>8.0</v>
      </c>
      <c r="BE330" s="7">
        <v>8.0</v>
      </c>
      <c r="BN330" s="7">
        <v>30.0</v>
      </c>
      <c r="BO330" s="7">
        <v>30.0</v>
      </c>
      <c r="BR330" s="7">
        <v>16.0</v>
      </c>
      <c r="BS330" s="7">
        <v>16.0</v>
      </c>
      <c r="BZ330" s="7">
        <v>70.0</v>
      </c>
      <c r="CA330" s="7">
        <v>70.0</v>
      </c>
      <c r="CH330" s="7">
        <v>13.0</v>
      </c>
      <c r="CI330" s="7">
        <v>8.0</v>
      </c>
      <c r="CL330" s="7">
        <v>12.0</v>
      </c>
      <c r="CM330" s="7">
        <v>6.0</v>
      </c>
      <c r="CN330" s="7">
        <v>8.0</v>
      </c>
      <c r="CO330" s="7">
        <v>5.0</v>
      </c>
      <c r="CT330" s="7">
        <v>8.0</v>
      </c>
      <c r="CU330" s="7">
        <v>4.0</v>
      </c>
      <c r="DB330" s="7">
        <v>8.0</v>
      </c>
      <c r="DC330" s="7">
        <v>6.0</v>
      </c>
      <c r="EF330" s="7">
        <v>14.0</v>
      </c>
      <c r="EG330" s="7">
        <v>11.0</v>
      </c>
      <c r="EH330" s="7">
        <v>1.0</v>
      </c>
      <c r="EI330" s="7">
        <v>2.0</v>
      </c>
      <c r="EX330" s="7">
        <v>10.0</v>
      </c>
      <c r="FB330" s="7">
        <v>15.0</v>
      </c>
      <c r="GR330" s="87">
        <v>329.0</v>
      </c>
    </row>
    <row r="331">
      <c r="A331" s="5">
        <v>46083.43068138889</v>
      </c>
      <c r="B331" s="6">
        <v>46054.0</v>
      </c>
      <c r="C331" s="6">
        <v>46081.0</v>
      </c>
      <c r="D331" s="7" t="s">
        <v>23</v>
      </c>
      <c r="E331" s="7" t="s">
        <v>92</v>
      </c>
      <c r="F331" s="7">
        <v>3.0</v>
      </c>
      <c r="G331" s="7" t="s">
        <v>70</v>
      </c>
      <c r="H331" s="7" t="s">
        <v>76</v>
      </c>
      <c r="J331" s="7">
        <v>105.0</v>
      </c>
      <c r="K331" s="7">
        <v>2.0</v>
      </c>
      <c r="L331" s="7">
        <v>2.0</v>
      </c>
      <c r="N331" s="7">
        <v>71.0</v>
      </c>
      <c r="AX331" s="7">
        <v>700.0</v>
      </c>
      <c r="AY331" s="7">
        <v>700.0</v>
      </c>
      <c r="BD331" s="7">
        <v>14.0</v>
      </c>
      <c r="BE331" s="7">
        <v>5.0</v>
      </c>
      <c r="BN331" s="7">
        <v>45.0</v>
      </c>
      <c r="BO331" s="7">
        <v>45.0</v>
      </c>
      <c r="BR331" s="7">
        <v>9.0</v>
      </c>
      <c r="BS331" s="7">
        <v>9.0</v>
      </c>
      <c r="BZ331" s="7">
        <v>25.0</v>
      </c>
      <c r="CA331" s="7">
        <v>25.0</v>
      </c>
      <c r="CL331" s="7">
        <v>15.0</v>
      </c>
      <c r="CM331" s="7">
        <v>9.0</v>
      </c>
      <c r="DB331" s="7">
        <v>30.0</v>
      </c>
      <c r="DC331" s="7">
        <v>21.0</v>
      </c>
      <c r="EF331" s="7">
        <v>10.0</v>
      </c>
      <c r="EG331" s="7">
        <v>9.0</v>
      </c>
      <c r="GR331" s="87">
        <v>330.0</v>
      </c>
    </row>
    <row r="332">
      <c r="A332" s="5">
        <v>46083.43471725694</v>
      </c>
      <c r="B332" s="6">
        <v>46054.0</v>
      </c>
      <c r="C332" s="6">
        <v>46081.0</v>
      </c>
      <c r="D332" s="7" t="s">
        <v>20</v>
      </c>
      <c r="E332" s="7" t="s">
        <v>77</v>
      </c>
      <c r="F332" s="7">
        <v>1.0</v>
      </c>
      <c r="G332" s="7" t="s">
        <v>70</v>
      </c>
      <c r="H332" s="7" t="s">
        <v>76</v>
      </c>
      <c r="J332" s="7">
        <v>117.0</v>
      </c>
      <c r="K332" s="7">
        <v>17.0</v>
      </c>
      <c r="L332" s="7">
        <v>42.0</v>
      </c>
      <c r="N332" s="7">
        <v>23.0</v>
      </c>
      <c r="O332" s="7">
        <v>5.0</v>
      </c>
      <c r="P332" s="7">
        <v>20.0</v>
      </c>
      <c r="T332" s="7">
        <v>98.0</v>
      </c>
      <c r="AW332" s="7">
        <v>100.0</v>
      </c>
      <c r="AX332" s="7">
        <v>1900.0</v>
      </c>
      <c r="AY332" s="7">
        <v>1900.0</v>
      </c>
      <c r="BD332" s="7">
        <v>20.0</v>
      </c>
      <c r="BE332" s="7">
        <v>20.0</v>
      </c>
      <c r="BH332" s="7">
        <v>30.0</v>
      </c>
      <c r="BI332" s="7">
        <v>26.0</v>
      </c>
      <c r="BJ332" s="7">
        <v>120.0</v>
      </c>
      <c r="BK332" s="7">
        <v>95.0</v>
      </c>
      <c r="BL332" s="7">
        <v>45.0</v>
      </c>
      <c r="BM332" s="7">
        <v>37.0</v>
      </c>
      <c r="BR332" s="7">
        <v>10.0</v>
      </c>
      <c r="BS332" s="7">
        <v>10.0</v>
      </c>
      <c r="BZ332" s="7">
        <v>15.0</v>
      </c>
      <c r="CA332" s="7">
        <v>11.0</v>
      </c>
      <c r="CH332" s="7">
        <v>12.0</v>
      </c>
      <c r="CI332" s="7">
        <v>6.0</v>
      </c>
      <c r="CN332" s="7">
        <v>10.0</v>
      </c>
      <c r="CO332" s="7">
        <v>5.0</v>
      </c>
      <c r="CT332" s="7">
        <v>7.0</v>
      </c>
      <c r="CU332" s="7">
        <v>3.0</v>
      </c>
      <c r="DB332" s="7">
        <v>18.0</v>
      </c>
      <c r="DC332" s="7">
        <v>10.0</v>
      </c>
      <c r="DD332" s="7">
        <v>10.0</v>
      </c>
      <c r="DE332" s="7">
        <v>6.0</v>
      </c>
      <c r="EF332" s="7">
        <v>28.0</v>
      </c>
      <c r="EG332" s="7">
        <v>24.0</v>
      </c>
      <c r="EH332" s="7">
        <v>8.0</v>
      </c>
      <c r="EI332" s="7">
        <v>7.0</v>
      </c>
      <c r="ES332" s="7">
        <v>30.0</v>
      </c>
      <c r="ET332" s="7">
        <v>120.0</v>
      </c>
      <c r="EU332" s="7">
        <v>45.0</v>
      </c>
      <c r="EX332" s="7">
        <v>10.0</v>
      </c>
      <c r="FB332" s="7">
        <v>15.0</v>
      </c>
      <c r="GN332" s="7">
        <v>2.0</v>
      </c>
      <c r="GO332" s="7">
        <v>2.0</v>
      </c>
      <c r="GQ332" s="7">
        <v>20.0</v>
      </c>
      <c r="GR332" s="87">
        <v>331.0</v>
      </c>
    </row>
    <row r="333">
      <c r="A333" s="5">
        <v>46083.45840537037</v>
      </c>
      <c r="B333" s="6">
        <v>46054.0</v>
      </c>
      <c r="C333" s="6">
        <v>46081.0</v>
      </c>
      <c r="D333" s="7" t="s">
        <v>201</v>
      </c>
      <c r="E333" s="7" t="s">
        <v>199</v>
      </c>
      <c r="F333" s="7">
        <v>2.0</v>
      </c>
      <c r="G333" s="7" t="s">
        <v>70</v>
      </c>
      <c r="H333" s="7" t="s">
        <v>76</v>
      </c>
      <c r="J333" s="7">
        <v>100.0</v>
      </c>
      <c r="N333" s="7">
        <v>43.0</v>
      </c>
      <c r="AW333" s="7">
        <v>100.0</v>
      </c>
      <c r="AX333" s="7">
        <v>1300.0</v>
      </c>
      <c r="AY333" s="7">
        <v>1300.0</v>
      </c>
      <c r="BD333" s="7">
        <v>5.0</v>
      </c>
      <c r="BE333" s="7">
        <v>5.0</v>
      </c>
      <c r="BJ333" s="7">
        <v>30.0</v>
      </c>
      <c r="BK333" s="7">
        <v>24.0</v>
      </c>
      <c r="BL333" s="7">
        <v>30.0</v>
      </c>
      <c r="BM333" s="7">
        <v>24.0</v>
      </c>
      <c r="BR333" s="7">
        <v>16.0</v>
      </c>
      <c r="BS333" s="7">
        <v>10.0</v>
      </c>
      <c r="BZ333" s="7">
        <v>45.0</v>
      </c>
      <c r="CA333" s="7">
        <v>36.0</v>
      </c>
      <c r="CH333" s="7">
        <v>12.0</v>
      </c>
      <c r="CI333" s="7">
        <v>6.0</v>
      </c>
      <c r="CL333" s="7">
        <v>12.0</v>
      </c>
      <c r="CM333" s="7">
        <v>6.0</v>
      </c>
      <c r="CT333" s="7">
        <v>4.0</v>
      </c>
      <c r="CU333" s="7">
        <v>1.0</v>
      </c>
      <c r="DB333" s="7">
        <v>90.0</v>
      </c>
      <c r="DC333" s="7">
        <v>50.0</v>
      </c>
      <c r="DD333" s="7">
        <v>12.0</v>
      </c>
      <c r="DE333" s="7">
        <v>7.0</v>
      </c>
      <c r="DR333" s="7">
        <v>3.0</v>
      </c>
      <c r="DS333" s="7">
        <v>3.0</v>
      </c>
      <c r="DT333" s="7">
        <v>6.0</v>
      </c>
      <c r="DU333" s="7">
        <v>10.0</v>
      </c>
      <c r="DY333" s="7">
        <v>1.0</v>
      </c>
      <c r="EF333" s="7">
        <v>30.0</v>
      </c>
      <c r="EG333" s="7">
        <v>46.0</v>
      </c>
      <c r="EH333" s="7">
        <v>2.0</v>
      </c>
      <c r="EI333" s="7">
        <v>3.0</v>
      </c>
      <c r="ET333" s="7">
        <v>30.0</v>
      </c>
      <c r="EU333" s="7">
        <v>30.0</v>
      </c>
      <c r="EV333" s="7">
        <v>60.0</v>
      </c>
      <c r="EX333" s="7">
        <v>19.0</v>
      </c>
      <c r="FB333" s="7">
        <v>45.0</v>
      </c>
      <c r="GR333" s="87">
        <v>332.0</v>
      </c>
    </row>
    <row r="334">
      <c r="A334" s="5">
        <v>46083.490157106484</v>
      </c>
      <c r="B334" s="6">
        <v>46054.0</v>
      </c>
      <c r="C334" s="6">
        <v>46081.0</v>
      </c>
      <c r="D334" s="7" t="s">
        <v>31</v>
      </c>
      <c r="E334" s="7" t="s">
        <v>140</v>
      </c>
      <c r="F334" s="7">
        <v>3.0</v>
      </c>
      <c r="G334" s="7" t="s">
        <v>70</v>
      </c>
      <c r="H334" s="7" t="s">
        <v>76</v>
      </c>
      <c r="J334" s="7">
        <v>61.0</v>
      </c>
      <c r="N334" s="7">
        <v>13.0</v>
      </c>
      <c r="AX334" s="7">
        <v>600.0</v>
      </c>
      <c r="AY334" s="7">
        <v>600.0</v>
      </c>
      <c r="BN334" s="7">
        <v>10.0</v>
      </c>
      <c r="BO334" s="7">
        <v>8.0</v>
      </c>
      <c r="BR334" s="7">
        <v>11.0</v>
      </c>
      <c r="BS334" s="7">
        <v>9.0</v>
      </c>
      <c r="BZ334" s="7">
        <v>5.0</v>
      </c>
      <c r="CA334" s="7">
        <v>5.0</v>
      </c>
      <c r="CH334" s="7">
        <v>10.0</v>
      </c>
      <c r="CI334" s="7">
        <v>8.0</v>
      </c>
      <c r="CN334" s="7">
        <v>6.0</v>
      </c>
      <c r="CO334" s="7">
        <v>4.0</v>
      </c>
      <c r="DB334" s="7">
        <v>110.0</v>
      </c>
      <c r="DC334" s="7">
        <v>80.0</v>
      </c>
      <c r="DD334" s="7">
        <v>32.0</v>
      </c>
      <c r="DE334" s="7">
        <v>26.0</v>
      </c>
      <c r="EF334" s="7">
        <v>12.0</v>
      </c>
      <c r="EG334" s="7">
        <v>18.0</v>
      </c>
      <c r="GR334" s="87">
        <v>333.0</v>
      </c>
    </row>
    <row r="335">
      <c r="A335" s="5">
        <v>46083.57261923611</v>
      </c>
      <c r="B335" s="6">
        <v>46054.0</v>
      </c>
      <c r="C335" s="6">
        <v>46081.0</v>
      </c>
      <c r="D335" s="7" t="s">
        <v>33</v>
      </c>
      <c r="E335" s="7" t="s">
        <v>151</v>
      </c>
      <c r="F335" s="7">
        <v>2.0</v>
      </c>
      <c r="G335" s="7" t="s">
        <v>70</v>
      </c>
      <c r="H335" s="7" t="s">
        <v>76</v>
      </c>
      <c r="J335" s="7">
        <v>27.0</v>
      </c>
      <c r="K335" s="7">
        <v>5.0</v>
      </c>
      <c r="N335" s="7">
        <v>11.0</v>
      </c>
      <c r="AW335" s="7">
        <v>100.0</v>
      </c>
      <c r="AX335" s="7">
        <v>1900.0</v>
      </c>
      <c r="AY335" s="7">
        <v>1900.0</v>
      </c>
      <c r="BL335" s="7">
        <v>15.0</v>
      </c>
      <c r="BM335" s="7">
        <v>8.0</v>
      </c>
      <c r="BR335" s="7">
        <v>8.0</v>
      </c>
      <c r="BS335" s="7">
        <v>8.0</v>
      </c>
      <c r="BZ335" s="7">
        <v>32.0</v>
      </c>
      <c r="CA335" s="7">
        <v>16.0</v>
      </c>
      <c r="CH335" s="7">
        <v>5.0</v>
      </c>
      <c r="CI335" s="7">
        <v>3.0</v>
      </c>
      <c r="CP335" s="7">
        <v>9.0</v>
      </c>
      <c r="CQ335" s="7">
        <v>5.0</v>
      </c>
      <c r="CT335" s="7">
        <v>5.0</v>
      </c>
      <c r="CU335" s="7">
        <v>3.0</v>
      </c>
      <c r="DB335" s="7">
        <v>7.0</v>
      </c>
      <c r="DC335" s="7">
        <v>4.0</v>
      </c>
      <c r="DL335" s="7">
        <v>3.0</v>
      </c>
      <c r="DM335" s="7">
        <v>2.0</v>
      </c>
      <c r="EU335" s="7">
        <v>15.0</v>
      </c>
      <c r="EX335" s="7">
        <v>10.0</v>
      </c>
      <c r="FB335" s="7">
        <v>15.0</v>
      </c>
      <c r="GR335" s="87">
        <v>334.0</v>
      </c>
    </row>
    <row r="336">
      <c r="A336" s="5">
        <v>46084.4049678125</v>
      </c>
      <c r="B336" s="6">
        <v>46054.0</v>
      </c>
      <c r="C336" s="6">
        <v>46081.0</v>
      </c>
      <c r="D336" s="7" t="s">
        <v>27</v>
      </c>
      <c r="E336" s="7" t="s">
        <v>120</v>
      </c>
      <c r="F336" s="7">
        <v>2.0</v>
      </c>
      <c r="G336" s="7" t="s">
        <v>70</v>
      </c>
      <c r="H336" s="7" t="s">
        <v>76</v>
      </c>
      <c r="J336" s="7">
        <v>75.0</v>
      </c>
      <c r="N336" s="7">
        <v>17.0</v>
      </c>
      <c r="AW336" s="7">
        <v>100.0</v>
      </c>
      <c r="AX336" s="7">
        <v>1100.0</v>
      </c>
      <c r="AY336" s="7">
        <v>1100.0</v>
      </c>
      <c r="BL336" s="7">
        <v>15.0</v>
      </c>
      <c r="BN336" s="7">
        <v>25.0</v>
      </c>
      <c r="BR336" s="7">
        <v>6.0</v>
      </c>
      <c r="BZ336" s="7">
        <v>15.0</v>
      </c>
      <c r="CN336" s="7">
        <v>12.0</v>
      </c>
      <c r="CO336" s="7">
        <v>9.0</v>
      </c>
      <c r="CT336" s="7">
        <v>5.0</v>
      </c>
      <c r="CU336" s="7">
        <v>4.0</v>
      </c>
      <c r="DB336" s="7">
        <v>14.0</v>
      </c>
      <c r="DC336" s="7">
        <v>11.0</v>
      </c>
      <c r="EU336" s="7">
        <v>15.0</v>
      </c>
      <c r="EX336" s="7">
        <v>25.0</v>
      </c>
      <c r="FB336" s="7">
        <v>15.0</v>
      </c>
      <c r="GR336" s="87">
        <v>335.0</v>
      </c>
    </row>
    <row r="337">
      <c r="A337" s="5">
        <v>46084.43952425926</v>
      </c>
      <c r="B337" s="6">
        <v>46054.0</v>
      </c>
      <c r="C337" s="6">
        <v>46081.0</v>
      </c>
      <c r="D337" s="7" t="s">
        <v>30</v>
      </c>
      <c r="E337" s="7" t="s">
        <v>237</v>
      </c>
      <c r="F337" s="7">
        <v>2.0</v>
      </c>
      <c r="G337" s="7" t="s">
        <v>70</v>
      </c>
      <c r="H337" s="7" t="s">
        <v>76</v>
      </c>
      <c r="AW337" s="7">
        <v>100.0</v>
      </c>
      <c r="AX337" s="7">
        <v>1400.0</v>
      </c>
      <c r="AY337" s="7">
        <v>1400.0</v>
      </c>
      <c r="EX337" s="7">
        <v>5.0</v>
      </c>
      <c r="GR337" s="87">
        <v>336.0</v>
      </c>
    </row>
    <row r="338">
      <c r="A338" s="5">
        <v>46111.48647466435</v>
      </c>
      <c r="B338" s="6">
        <v>46082.0</v>
      </c>
      <c r="C338" s="6">
        <v>46112.0</v>
      </c>
      <c r="D338" s="7" t="s">
        <v>33</v>
      </c>
      <c r="E338" s="7" t="s">
        <v>151</v>
      </c>
      <c r="F338" s="7">
        <v>2.0</v>
      </c>
      <c r="G338" s="7" t="s">
        <v>70</v>
      </c>
      <c r="H338" s="7" t="s">
        <v>76</v>
      </c>
      <c r="J338" s="7">
        <v>78.0</v>
      </c>
      <c r="N338" s="7">
        <v>11.0</v>
      </c>
      <c r="AE338" s="7">
        <v>50.0</v>
      </c>
      <c r="AF338" s="7">
        <v>50.0</v>
      </c>
      <c r="AG338" s="7">
        <v>50.0</v>
      </c>
      <c r="AH338" s="7">
        <v>4700.0</v>
      </c>
      <c r="BD338" s="7">
        <v>10.0</v>
      </c>
      <c r="BE338" s="7">
        <v>10.0</v>
      </c>
      <c r="BF338" s="7">
        <v>15.0</v>
      </c>
      <c r="BG338" s="7">
        <v>8.0</v>
      </c>
      <c r="BL338" s="7">
        <v>15.0</v>
      </c>
      <c r="BM338" s="7">
        <v>8.0</v>
      </c>
      <c r="BN338" s="7">
        <v>15.0</v>
      </c>
      <c r="BO338" s="7">
        <v>8.0</v>
      </c>
      <c r="BR338" s="7">
        <v>34.0</v>
      </c>
      <c r="BS338" s="7">
        <v>17.0</v>
      </c>
      <c r="BZ338" s="7">
        <v>15.0</v>
      </c>
      <c r="CA338" s="7">
        <v>8.0</v>
      </c>
      <c r="CH338" s="7">
        <v>1.0</v>
      </c>
      <c r="CI338" s="7">
        <v>1.0</v>
      </c>
      <c r="CN338" s="7">
        <v>3.0</v>
      </c>
      <c r="CO338" s="7">
        <v>2.0</v>
      </c>
      <c r="CP338" s="7">
        <v>15.0</v>
      </c>
      <c r="CQ338" s="7">
        <v>12.0</v>
      </c>
      <c r="CT338" s="7">
        <v>7.0</v>
      </c>
      <c r="CU338" s="7">
        <v>2.0</v>
      </c>
      <c r="DB338" s="7">
        <v>15.0</v>
      </c>
      <c r="DC338" s="7">
        <v>12.0</v>
      </c>
      <c r="DT338" s="7">
        <v>1.0</v>
      </c>
      <c r="DU338" s="7">
        <v>1.0</v>
      </c>
      <c r="EF338" s="7">
        <v>2.0</v>
      </c>
      <c r="EG338" s="7">
        <v>1.0</v>
      </c>
      <c r="ER338" s="7">
        <v>15.0</v>
      </c>
      <c r="EU338" s="7">
        <v>15.0</v>
      </c>
      <c r="FB338" s="7">
        <v>15.0</v>
      </c>
      <c r="GR338" s="87">
        <v>337.0</v>
      </c>
    </row>
    <row r="339">
      <c r="A339" s="5">
        <v>46111.57648782407</v>
      </c>
      <c r="B339" s="6">
        <v>46082.0</v>
      </c>
      <c r="C339" s="6">
        <v>46112.0</v>
      </c>
      <c r="D339" s="7" t="s">
        <v>26</v>
      </c>
      <c r="E339" s="7" t="s">
        <v>104</v>
      </c>
      <c r="F339" s="7">
        <v>3.0</v>
      </c>
      <c r="G339" s="7" t="s">
        <v>70</v>
      </c>
      <c r="H339" s="7" t="s">
        <v>76</v>
      </c>
      <c r="J339" s="7">
        <v>31.0</v>
      </c>
      <c r="K339" s="7">
        <v>14.0</v>
      </c>
      <c r="N339" s="7">
        <v>19.0</v>
      </c>
      <c r="O339" s="7">
        <v>14.0</v>
      </c>
      <c r="AH339" s="7">
        <v>3350.0</v>
      </c>
      <c r="AZ339" s="7">
        <v>50.0</v>
      </c>
      <c r="BA339" s="7">
        <v>50.0</v>
      </c>
      <c r="BB339" s="7">
        <v>50.0</v>
      </c>
      <c r="BN339" s="7">
        <v>14.0</v>
      </c>
      <c r="BO339" s="7">
        <v>14.0</v>
      </c>
      <c r="BR339" s="7">
        <v>1.0</v>
      </c>
      <c r="BS339" s="7">
        <v>1.0</v>
      </c>
      <c r="BZ339" s="7">
        <v>50.0</v>
      </c>
      <c r="CA339" s="7">
        <v>36.0</v>
      </c>
      <c r="CB339" s="7">
        <v>15.0</v>
      </c>
      <c r="CC339" s="7">
        <v>11.0</v>
      </c>
      <c r="CH339" s="7">
        <v>18.0</v>
      </c>
      <c r="CI339" s="7">
        <v>10.0</v>
      </c>
      <c r="CN339" s="7">
        <v>10.0</v>
      </c>
      <c r="CO339" s="7">
        <v>5.0</v>
      </c>
      <c r="CP339" s="7">
        <v>60.0</v>
      </c>
      <c r="CQ339" s="7">
        <v>35.0</v>
      </c>
      <c r="CT339" s="7">
        <v>11.0</v>
      </c>
      <c r="CU339" s="7">
        <v>5.0</v>
      </c>
      <c r="DB339" s="7">
        <v>121.0</v>
      </c>
      <c r="DC339" s="7">
        <v>68.0</v>
      </c>
      <c r="DD339" s="7">
        <v>42.0</v>
      </c>
      <c r="DE339" s="7">
        <v>18.0</v>
      </c>
      <c r="DP339" s="7">
        <v>4.0</v>
      </c>
      <c r="DQ339" s="7">
        <v>4.0</v>
      </c>
      <c r="DR339" s="7">
        <v>5.0</v>
      </c>
      <c r="DS339" s="7">
        <v>3.0</v>
      </c>
      <c r="EF339" s="7">
        <v>4.0</v>
      </c>
      <c r="EG339" s="7">
        <v>4.0</v>
      </c>
      <c r="FB339" s="7">
        <v>50.0</v>
      </c>
      <c r="FC339" s="7">
        <v>15.0</v>
      </c>
      <c r="GR339" s="87">
        <v>338.0</v>
      </c>
    </row>
    <row r="340">
      <c r="A340" s="5">
        <v>46111.600998842594</v>
      </c>
      <c r="B340" s="6">
        <v>46082.0</v>
      </c>
      <c r="C340" s="6">
        <v>46112.0</v>
      </c>
      <c r="D340" s="7" t="s">
        <v>37</v>
      </c>
      <c r="E340" s="7" t="s">
        <v>87</v>
      </c>
      <c r="F340" s="7">
        <v>3.0</v>
      </c>
      <c r="G340" s="7" t="s">
        <v>70</v>
      </c>
      <c r="H340" s="7" t="s">
        <v>76</v>
      </c>
      <c r="J340" s="7">
        <v>49.0</v>
      </c>
      <c r="K340" s="7">
        <v>1.0</v>
      </c>
      <c r="L340" s="7">
        <v>1.0</v>
      </c>
      <c r="AH340" s="7">
        <v>2050.0</v>
      </c>
      <c r="AI340" s="7">
        <v>0.0</v>
      </c>
      <c r="AJ340" s="7">
        <v>0.0</v>
      </c>
      <c r="AZ340" s="7">
        <v>150.0</v>
      </c>
      <c r="BA340" s="7">
        <v>150.0</v>
      </c>
      <c r="BB340" s="7">
        <v>150.0</v>
      </c>
      <c r="BD340" s="7">
        <v>2.0</v>
      </c>
      <c r="BE340" s="7">
        <v>2.0</v>
      </c>
      <c r="BL340" s="7">
        <v>15.0</v>
      </c>
      <c r="BM340" s="7">
        <v>10.0</v>
      </c>
      <c r="BN340" s="7">
        <v>30.0</v>
      </c>
      <c r="BO340" s="7">
        <v>24.0</v>
      </c>
      <c r="BR340" s="7">
        <v>10.0</v>
      </c>
      <c r="BS340" s="7">
        <v>10.0</v>
      </c>
      <c r="BZ340" s="7">
        <v>15.0</v>
      </c>
      <c r="CA340" s="7">
        <v>12.0</v>
      </c>
      <c r="CB340" s="7">
        <v>15.0</v>
      </c>
      <c r="CC340" s="7">
        <v>12.0</v>
      </c>
      <c r="CH340" s="7">
        <v>5.0</v>
      </c>
      <c r="CI340" s="7">
        <v>3.0</v>
      </c>
      <c r="CT340" s="7">
        <v>6.0</v>
      </c>
      <c r="CU340" s="7">
        <v>2.0</v>
      </c>
      <c r="DB340" s="7">
        <v>48.0</v>
      </c>
      <c r="DC340" s="7">
        <v>26.0</v>
      </c>
      <c r="DM340" s="7">
        <v>1.0</v>
      </c>
      <c r="DP340" s="7">
        <v>3.0</v>
      </c>
      <c r="DQ340" s="7">
        <v>3.0</v>
      </c>
      <c r="DR340" s="7">
        <v>4.0</v>
      </c>
      <c r="DS340" s="7">
        <v>3.0</v>
      </c>
      <c r="DX340" s="7">
        <v>1.0</v>
      </c>
      <c r="DY340" s="7">
        <v>3.0</v>
      </c>
      <c r="EV340" s="7">
        <v>15.0</v>
      </c>
      <c r="EX340" s="7">
        <v>10.0</v>
      </c>
      <c r="FC340" s="7">
        <v>15.0</v>
      </c>
      <c r="GR340" s="87">
        <v>339.0</v>
      </c>
    </row>
    <row r="341">
      <c r="A341" s="5">
        <v>46112.71010224537</v>
      </c>
      <c r="B341" s="6">
        <v>46082.0</v>
      </c>
      <c r="C341" s="6">
        <v>46112.0</v>
      </c>
      <c r="D341" s="7" t="s">
        <v>32</v>
      </c>
      <c r="E341" s="7" t="s">
        <v>134</v>
      </c>
      <c r="F341" s="7">
        <v>3.0</v>
      </c>
      <c r="G341" s="7" t="s">
        <v>70</v>
      </c>
      <c r="H341" s="7" t="s">
        <v>76</v>
      </c>
      <c r="J341" s="7">
        <v>45.0</v>
      </c>
      <c r="N341" s="7">
        <v>23.0</v>
      </c>
      <c r="AH341" s="7">
        <v>2550.0</v>
      </c>
      <c r="AZ341" s="7">
        <v>50.0</v>
      </c>
      <c r="BA341" s="7">
        <v>50.0</v>
      </c>
      <c r="BB341" s="7">
        <v>50.0</v>
      </c>
      <c r="BF341" s="7">
        <v>15.0</v>
      </c>
      <c r="BG341" s="7">
        <v>10.0</v>
      </c>
      <c r="BH341" s="7">
        <v>15.0</v>
      </c>
      <c r="BI341" s="7">
        <v>12.0</v>
      </c>
      <c r="BN341" s="7">
        <v>20.0</v>
      </c>
      <c r="BO341" s="7">
        <v>15.0</v>
      </c>
      <c r="BR341" s="7">
        <v>8.0</v>
      </c>
      <c r="BS341" s="7">
        <v>8.0</v>
      </c>
      <c r="BZ341" s="7">
        <v>60.0</v>
      </c>
      <c r="CA341" s="7">
        <v>40.0</v>
      </c>
      <c r="CB341" s="7">
        <v>15.0</v>
      </c>
      <c r="CC341" s="7">
        <v>10.0</v>
      </c>
      <c r="CH341" s="7">
        <v>5.0</v>
      </c>
      <c r="CI341" s="7">
        <v>3.0</v>
      </c>
      <c r="CL341" s="7">
        <v>10.0</v>
      </c>
      <c r="CM341" s="7">
        <v>6.0</v>
      </c>
      <c r="CN341" s="7">
        <v>10.0</v>
      </c>
      <c r="CO341" s="7">
        <v>5.0</v>
      </c>
      <c r="CP341" s="7">
        <v>30.0</v>
      </c>
      <c r="CQ341" s="7">
        <v>18.0</v>
      </c>
      <c r="CT341" s="7">
        <v>5.0</v>
      </c>
      <c r="DB341" s="7">
        <v>60.0</v>
      </c>
      <c r="DC341" s="7">
        <v>36.0</v>
      </c>
      <c r="DP341" s="7">
        <v>3.0</v>
      </c>
      <c r="DQ341" s="7">
        <v>5.0</v>
      </c>
      <c r="DR341" s="7">
        <v>4.0</v>
      </c>
      <c r="DS341" s="7">
        <v>2.0</v>
      </c>
      <c r="EF341" s="7">
        <v>2.0</v>
      </c>
      <c r="EG341" s="7">
        <v>3.0</v>
      </c>
      <c r="EH341" s="7">
        <v>1.0</v>
      </c>
      <c r="EI341" s="7">
        <v>1.0</v>
      </c>
      <c r="ER341" s="7">
        <v>15.0</v>
      </c>
      <c r="ES341" s="7">
        <v>15.0</v>
      </c>
      <c r="FB341" s="7">
        <v>30.0</v>
      </c>
      <c r="FC341" s="7">
        <v>15.0</v>
      </c>
      <c r="GR341" s="87">
        <v>340.0</v>
      </c>
    </row>
    <row r="342">
      <c r="A342" s="5">
        <v>46113.403089687505</v>
      </c>
      <c r="B342" s="6">
        <v>46082.0</v>
      </c>
      <c r="C342" s="6">
        <v>46112.0</v>
      </c>
      <c r="D342" s="7" t="s">
        <v>29</v>
      </c>
      <c r="E342" s="7" t="s">
        <v>110</v>
      </c>
      <c r="F342" s="7">
        <v>3.0</v>
      </c>
      <c r="G342" s="7" t="s">
        <v>70</v>
      </c>
      <c r="H342" s="7" t="s">
        <v>76</v>
      </c>
      <c r="J342" s="7">
        <v>53.0</v>
      </c>
      <c r="K342" s="7">
        <v>1.0</v>
      </c>
      <c r="N342" s="7">
        <v>11.0</v>
      </c>
      <c r="AH342" s="7">
        <v>2800.0</v>
      </c>
      <c r="AZ342" s="7">
        <v>50.0</v>
      </c>
      <c r="BA342" s="7">
        <v>50.0</v>
      </c>
      <c r="BB342" s="7">
        <v>50.0</v>
      </c>
      <c r="BR342" s="7">
        <v>19.0</v>
      </c>
      <c r="BS342" s="7">
        <v>19.0</v>
      </c>
      <c r="BZ342" s="7">
        <v>105.0</v>
      </c>
      <c r="CA342" s="7">
        <v>105.0</v>
      </c>
      <c r="CB342" s="7">
        <v>30.0</v>
      </c>
      <c r="CC342" s="7">
        <v>30.0</v>
      </c>
      <c r="CP342" s="7">
        <v>52.0</v>
      </c>
      <c r="CQ342" s="7">
        <v>17.0</v>
      </c>
      <c r="CT342" s="7">
        <v>4.0</v>
      </c>
      <c r="CU342" s="7">
        <v>1.0</v>
      </c>
      <c r="DB342" s="7">
        <v>44.0</v>
      </c>
      <c r="DC342" s="7">
        <v>19.0</v>
      </c>
      <c r="DN342" s="7">
        <v>3.0</v>
      </c>
      <c r="DO342" s="7">
        <v>2.0</v>
      </c>
      <c r="DR342" s="7">
        <v>2.0</v>
      </c>
      <c r="DS342" s="7">
        <v>1.0</v>
      </c>
      <c r="FB342" s="7">
        <v>90.0</v>
      </c>
      <c r="FC342" s="7">
        <v>30.0</v>
      </c>
      <c r="GR342" s="87">
        <v>341.0</v>
      </c>
    </row>
    <row r="343">
      <c r="A343" s="5">
        <v>46113.41481642361</v>
      </c>
      <c r="B343" s="6">
        <v>46082.0</v>
      </c>
      <c r="C343" s="6">
        <v>46112.0</v>
      </c>
      <c r="D343" s="7" t="s">
        <v>212</v>
      </c>
      <c r="E343" s="7" t="s">
        <v>227</v>
      </c>
      <c r="F343" s="7">
        <v>3.0</v>
      </c>
      <c r="G343" s="7" t="s">
        <v>70</v>
      </c>
      <c r="H343" s="7" t="s">
        <v>76</v>
      </c>
      <c r="J343" s="7">
        <v>69.0</v>
      </c>
      <c r="N343" s="7">
        <v>45.0</v>
      </c>
      <c r="T343" s="7">
        <v>35.0</v>
      </c>
      <c r="AH343" s="7">
        <v>3400.0</v>
      </c>
      <c r="AZ343" s="7">
        <v>50.0</v>
      </c>
      <c r="BA343" s="7">
        <v>50.0</v>
      </c>
      <c r="BB343" s="7">
        <v>50.0</v>
      </c>
      <c r="BD343" s="7">
        <v>10.0</v>
      </c>
      <c r="BE343" s="7">
        <v>10.0</v>
      </c>
      <c r="BN343" s="7">
        <v>45.0</v>
      </c>
      <c r="BO343" s="7">
        <v>28.0</v>
      </c>
      <c r="BR343" s="7">
        <v>11.0</v>
      </c>
      <c r="BS343" s="7">
        <v>11.0</v>
      </c>
      <c r="BZ343" s="7">
        <v>32.0</v>
      </c>
      <c r="CA343" s="7">
        <v>20.0</v>
      </c>
      <c r="CN343" s="7">
        <v>10.0</v>
      </c>
      <c r="CO343" s="7">
        <v>5.0</v>
      </c>
      <c r="CP343" s="7">
        <v>30.0</v>
      </c>
      <c r="CQ343" s="7">
        <v>18.0</v>
      </c>
      <c r="CT343" s="7">
        <v>10.0</v>
      </c>
      <c r="CU343" s="7">
        <v>6.0</v>
      </c>
      <c r="DB343" s="7">
        <v>10.0</v>
      </c>
      <c r="DC343" s="7">
        <v>6.0</v>
      </c>
      <c r="DD343" s="7">
        <v>10.0</v>
      </c>
      <c r="DE343" s="7">
        <v>7.0</v>
      </c>
      <c r="EF343" s="7">
        <v>4.0</v>
      </c>
      <c r="EG343" s="7">
        <v>3.0</v>
      </c>
      <c r="GR343" s="87">
        <v>342.0</v>
      </c>
    </row>
    <row r="344">
      <c r="A344" s="5">
        <v>46113.42817105324</v>
      </c>
      <c r="B344" s="6">
        <v>46082.0</v>
      </c>
      <c r="C344" s="6">
        <v>46112.0</v>
      </c>
      <c r="D344" s="7" t="s">
        <v>35</v>
      </c>
      <c r="E344" s="7" t="s">
        <v>283</v>
      </c>
      <c r="F344" s="7">
        <v>2.0</v>
      </c>
      <c r="G344" s="7" t="s">
        <v>70</v>
      </c>
      <c r="H344" s="7" t="s">
        <v>76</v>
      </c>
      <c r="J344" s="7">
        <v>40.0</v>
      </c>
      <c r="N344" s="7">
        <v>20.0</v>
      </c>
      <c r="AE344" s="7">
        <v>50.0</v>
      </c>
      <c r="AF344" s="7">
        <v>50.0</v>
      </c>
      <c r="AG344" s="7">
        <v>50.0</v>
      </c>
      <c r="AH344" s="7">
        <v>5050.0</v>
      </c>
      <c r="AZ344" s="7">
        <v>50.0</v>
      </c>
      <c r="BA344" s="7">
        <v>50.0</v>
      </c>
      <c r="BB344" s="7">
        <v>50.0</v>
      </c>
      <c r="BN344" s="7">
        <v>15.0</v>
      </c>
      <c r="BO344" s="7">
        <v>11.0</v>
      </c>
      <c r="BR344" s="7">
        <v>25.0</v>
      </c>
      <c r="BS344" s="7">
        <v>25.0</v>
      </c>
      <c r="BZ344" s="7">
        <v>15.0</v>
      </c>
      <c r="CA344" s="7">
        <v>13.0</v>
      </c>
      <c r="CP344" s="7">
        <v>12.0</v>
      </c>
      <c r="CQ344" s="7">
        <v>7.0</v>
      </c>
      <c r="EK344" s="7">
        <v>2.0</v>
      </c>
      <c r="EV344" s="7">
        <v>15.0</v>
      </c>
      <c r="EX344" s="7">
        <v>20.0</v>
      </c>
      <c r="FB344" s="7">
        <v>15.0</v>
      </c>
      <c r="GR344" s="87">
        <v>343.0</v>
      </c>
    </row>
    <row r="345">
      <c r="A345" s="5">
        <v>46113.43748320602</v>
      </c>
      <c r="B345" s="6">
        <v>46082.0</v>
      </c>
      <c r="C345" s="6">
        <v>46112.0</v>
      </c>
      <c r="D345" s="7" t="s">
        <v>24</v>
      </c>
      <c r="E345" s="7" t="s">
        <v>158</v>
      </c>
      <c r="F345" s="7">
        <v>3.0</v>
      </c>
      <c r="G345" s="7" t="s">
        <v>70</v>
      </c>
      <c r="H345" s="7" t="s">
        <v>76</v>
      </c>
      <c r="J345" s="7">
        <v>60.0</v>
      </c>
      <c r="N345" s="7">
        <v>8.0</v>
      </c>
      <c r="AH345" s="7">
        <v>1900.0</v>
      </c>
      <c r="BR345" s="7">
        <v>2.0</v>
      </c>
      <c r="BS345" s="7">
        <v>1.0</v>
      </c>
      <c r="BZ345" s="7">
        <v>40.0</v>
      </c>
      <c r="CA345" s="7">
        <v>33.0</v>
      </c>
      <c r="CL345" s="7">
        <v>3.0</v>
      </c>
      <c r="CM345" s="7">
        <v>2.0</v>
      </c>
      <c r="CN345" s="7">
        <v>3.0</v>
      </c>
      <c r="CO345" s="7">
        <v>2.0</v>
      </c>
      <c r="CT345" s="7">
        <v>11.0</v>
      </c>
      <c r="CU345" s="7">
        <v>2.0</v>
      </c>
      <c r="DB345" s="7">
        <v>25.0</v>
      </c>
      <c r="DC345" s="7">
        <v>18.0</v>
      </c>
      <c r="DL345" s="7">
        <v>8.0</v>
      </c>
      <c r="DM345" s="7">
        <v>7.0</v>
      </c>
      <c r="DN345" s="7">
        <v>4.0</v>
      </c>
      <c r="DO345" s="7">
        <v>3.0</v>
      </c>
      <c r="DP345" s="7">
        <v>3.0</v>
      </c>
      <c r="DQ345" s="7">
        <v>3.0</v>
      </c>
      <c r="DR345" s="7">
        <v>11.0</v>
      </c>
      <c r="DS345" s="7">
        <v>15.0</v>
      </c>
      <c r="GR345" s="87">
        <v>344.0</v>
      </c>
    </row>
    <row r="346">
      <c r="A346" s="5">
        <v>46113.44720444444</v>
      </c>
      <c r="B346" s="6">
        <v>46082.0</v>
      </c>
      <c r="C346" s="6">
        <v>46112.0</v>
      </c>
      <c r="D346" s="7" t="s">
        <v>41</v>
      </c>
      <c r="E346" s="7" t="s">
        <v>251</v>
      </c>
      <c r="F346" s="7">
        <v>2.0</v>
      </c>
      <c r="G346" s="7" t="s">
        <v>70</v>
      </c>
      <c r="H346" s="7" t="s">
        <v>76</v>
      </c>
      <c r="J346" s="7">
        <v>105.0</v>
      </c>
      <c r="N346" s="7">
        <v>32.0</v>
      </c>
      <c r="Q346" s="7">
        <v>1.0</v>
      </c>
      <c r="R346" s="7">
        <v>21.0</v>
      </c>
      <c r="S346" s="7">
        <v>35.0</v>
      </c>
      <c r="AE346" s="7">
        <v>50.0</v>
      </c>
      <c r="AF346" s="7">
        <v>50.0</v>
      </c>
      <c r="AG346" s="7">
        <v>50.0</v>
      </c>
      <c r="AH346" s="7">
        <v>3600.0</v>
      </c>
      <c r="AO346" s="7">
        <v>110.0</v>
      </c>
      <c r="AP346" s="7">
        <v>110.0</v>
      </c>
      <c r="AZ346" s="7">
        <v>50.0</v>
      </c>
      <c r="BA346" s="7">
        <v>50.0</v>
      </c>
      <c r="BB346" s="7">
        <v>50.0</v>
      </c>
      <c r="BD346" s="7">
        <v>10.0</v>
      </c>
      <c r="BE346" s="7">
        <v>10.0</v>
      </c>
      <c r="BR346" s="7">
        <v>15.0</v>
      </c>
      <c r="BS346" s="7">
        <v>11.0</v>
      </c>
      <c r="BZ346" s="7">
        <v>15.0</v>
      </c>
      <c r="CA346" s="7">
        <v>12.0</v>
      </c>
      <c r="CP346" s="7">
        <v>21.0</v>
      </c>
      <c r="CQ346" s="7">
        <v>15.0</v>
      </c>
      <c r="CT346" s="7">
        <v>3.0</v>
      </c>
      <c r="CU346" s="7">
        <v>1.0</v>
      </c>
      <c r="DL346" s="7">
        <v>4.0</v>
      </c>
      <c r="DM346" s="7">
        <v>2.0</v>
      </c>
      <c r="EX346" s="7">
        <v>10.0</v>
      </c>
      <c r="FB346" s="7">
        <v>15.0</v>
      </c>
      <c r="GR346" s="87">
        <v>345.0</v>
      </c>
    </row>
    <row r="347">
      <c r="A347" s="5">
        <v>46113.45518512731</v>
      </c>
      <c r="B347" s="6">
        <v>46082.0</v>
      </c>
      <c r="C347" s="6">
        <v>46112.0</v>
      </c>
      <c r="D347" s="7" t="s">
        <v>258</v>
      </c>
      <c r="E347" s="7" t="s">
        <v>256</v>
      </c>
      <c r="F347" s="7">
        <v>2.0</v>
      </c>
      <c r="G347" s="7" t="s">
        <v>70</v>
      </c>
      <c r="H347" s="7" t="s">
        <v>76</v>
      </c>
      <c r="J347" s="7">
        <v>20.0</v>
      </c>
      <c r="AH347" s="7">
        <v>4400.0</v>
      </c>
      <c r="GR347" s="87">
        <v>346.0</v>
      </c>
    </row>
    <row r="348">
      <c r="A348" s="5">
        <v>46113.459668379626</v>
      </c>
      <c r="B348" s="6">
        <v>46082.0</v>
      </c>
      <c r="C348" s="6">
        <v>46112.0</v>
      </c>
      <c r="D348" s="7" t="s">
        <v>25</v>
      </c>
      <c r="E348" s="7" t="s">
        <v>246</v>
      </c>
      <c r="F348" s="7">
        <v>2.0</v>
      </c>
      <c r="G348" s="7" t="s">
        <v>70</v>
      </c>
      <c r="H348" s="7" t="s">
        <v>76</v>
      </c>
      <c r="J348" s="7">
        <v>85.0</v>
      </c>
      <c r="N348" s="7">
        <v>47.0</v>
      </c>
      <c r="Q348" s="7">
        <v>1.0</v>
      </c>
      <c r="R348" s="7">
        <v>20.0</v>
      </c>
      <c r="AE348" s="7">
        <v>50.0</v>
      </c>
      <c r="AF348" s="7">
        <v>50.0</v>
      </c>
      <c r="AG348" s="7">
        <v>50.0</v>
      </c>
      <c r="AH348" s="7">
        <v>2300.0</v>
      </c>
      <c r="AZ348" s="7">
        <v>50.0</v>
      </c>
      <c r="BA348" s="7">
        <v>50.0</v>
      </c>
      <c r="BB348" s="7">
        <v>50.0</v>
      </c>
      <c r="BF348" s="7">
        <v>20.0</v>
      </c>
      <c r="BG348" s="7">
        <v>10.0</v>
      </c>
      <c r="BH348" s="7">
        <v>15.0</v>
      </c>
      <c r="BI348" s="7">
        <v>8.0</v>
      </c>
      <c r="BL348" s="7">
        <v>15.0</v>
      </c>
      <c r="BM348" s="7">
        <v>8.0</v>
      </c>
      <c r="BN348" s="7">
        <v>5.0</v>
      </c>
      <c r="BO348" s="7">
        <v>3.0</v>
      </c>
      <c r="BR348" s="7">
        <v>12.0</v>
      </c>
      <c r="BS348" s="7">
        <v>12.0</v>
      </c>
      <c r="BZ348" s="7">
        <v>20.0</v>
      </c>
      <c r="CA348" s="7">
        <v>10.0</v>
      </c>
      <c r="CH348" s="7">
        <v>5.0</v>
      </c>
      <c r="CI348" s="7">
        <v>3.0</v>
      </c>
      <c r="CT348" s="7">
        <v>2.0</v>
      </c>
      <c r="CU348" s="7">
        <v>1.0</v>
      </c>
      <c r="ER348" s="7">
        <v>15.0</v>
      </c>
      <c r="ES348" s="7">
        <v>15.0</v>
      </c>
      <c r="EU348" s="7">
        <v>15.0</v>
      </c>
      <c r="FB348" s="7">
        <v>15.0</v>
      </c>
      <c r="GR348" s="87">
        <v>347.0</v>
      </c>
    </row>
    <row r="349">
      <c r="A349" s="5">
        <v>46113.46929576389</v>
      </c>
      <c r="B349" s="6">
        <v>46082.0</v>
      </c>
      <c r="C349" s="6">
        <v>46112.0</v>
      </c>
      <c r="D349" s="7" t="s">
        <v>42</v>
      </c>
      <c r="E349" s="7" t="s">
        <v>279</v>
      </c>
      <c r="F349" s="7">
        <v>2.0</v>
      </c>
      <c r="G349" s="7" t="s">
        <v>70</v>
      </c>
      <c r="H349" s="7" t="s">
        <v>76</v>
      </c>
      <c r="J349" s="7">
        <v>114.0</v>
      </c>
      <c r="N349" s="7">
        <v>56.0</v>
      </c>
      <c r="Q349" s="7">
        <v>1.0</v>
      </c>
      <c r="R349" s="7">
        <v>40.0</v>
      </c>
      <c r="S349" s="7">
        <v>40.0</v>
      </c>
      <c r="AE349" s="7">
        <v>100.0</v>
      </c>
      <c r="AF349" s="7">
        <v>100.0</v>
      </c>
      <c r="AG349" s="7">
        <v>100.0</v>
      </c>
      <c r="AH349" s="7">
        <v>3500.0</v>
      </c>
      <c r="AZ349" s="7">
        <v>50.0</v>
      </c>
      <c r="BA349" s="7">
        <v>50.0</v>
      </c>
      <c r="BB349" s="7">
        <v>50.0</v>
      </c>
      <c r="BJ349" s="7">
        <v>15.0</v>
      </c>
      <c r="BK349" s="7">
        <v>10.0</v>
      </c>
      <c r="BR349" s="7">
        <v>40.0</v>
      </c>
      <c r="BS349" s="7">
        <v>40.0</v>
      </c>
      <c r="ET349" s="7">
        <v>15.0</v>
      </c>
      <c r="EX349" s="7">
        <v>40.0</v>
      </c>
      <c r="GR349" s="87">
        <v>348.0</v>
      </c>
    </row>
    <row r="350">
      <c r="A350" s="5">
        <v>46113.47044939815</v>
      </c>
      <c r="B350" s="6">
        <v>46082.0</v>
      </c>
      <c r="C350" s="6">
        <v>46112.0</v>
      </c>
      <c r="D350" s="7" t="s">
        <v>213</v>
      </c>
      <c r="E350" s="7" t="s">
        <v>231</v>
      </c>
      <c r="F350" s="7">
        <v>3.0</v>
      </c>
      <c r="G350" s="7" t="s">
        <v>70</v>
      </c>
      <c r="H350" s="7" t="s">
        <v>76</v>
      </c>
      <c r="J350" s="7">
        <v>60.0</v>
      </c>
      <c r="N350" s="7">
        <v>40.0</v>
      </c>
      <c r="AH350" s="7">
        <v>1850.0</v>
      </c>
      <c r="AZ350" s="7">
        <v>50.0</v>
      </c>
      <c r="BA350" s="7">
        <v>50.0</v>
      </c>
      <c r="BB350" s="7">
        <v>50.0</v>
      </c>
      <c r="BR350" s="7">
        <v>36.0</v>
      </c>
      <c r="BS350" s="7">
        <v>36.0</v>
      </c>
      <c r="BZ350" s="7">
        <v>35.0</v>
      </c>
      <c r="CA350" s="7">
        <v>35.0</v>
      </c>
      <c r="CN350" s="7">
        <v>50.0</v>
      </c>
      <c r="CO350" s="7">
        <v>25.0</v>
      </c>
      <c r="CT350" s="7">
        <v>5.0</v>
      </c>
      <c r="CU350" s="7">
        <v>1.0</v>
      </c>
      <c r="DB350" s="7">
        <v>15.0</v>
      </c>
      <c r="DC350" s="7">
        <v>7.0</v>
      </c>
      <c r="DL350" s="7">
        <v>3.0</v>
      </c>
      <c r="DM350" s="7">
        <v>4.0</v>
      </c>
      <c r="DN350" s="7">
        <v>3.0</v>
      </c>
      <c r="DO350" s="7">
        <v>3.0</v>
      </c>
      <c r="DR350" s="7">
        <v>4.0</v>
      </c>
      <c r="DS350" s="7">
        <v>4.0</v>
      </c>
      <c r="EF350" s="7">
        <v>5.0</v>
      </c>
      <c r="EG350" s="7">
        <v>2.0</v>
      </c>
      <c r="GR350" s="87">
        <v>349.0</v>
      </c>
    </row>
    <row r="351">
      <c r="A351" s="5">
        <v>46113.47134203704</v>
      </c>
      <c r="B351" s="6">
        <v>46082.0</v>
      </c>
      <c r="C351" s="6">
        <v>46112.0</v>
      </c>
      <c r="D351" s="7" t="s">
        <v>201</v>
      </c>
      <c r="E351" s="7" t="s">
        <v>199</v>
      </c>
      <c r="F351" s="7">
        <v>2.0</v>
      </c>
      <c r="G351" s="7" t="s">
        <v>70</v>
      </c>
      <c r="H351" s="7" t="s">
        <v>76</v>
      </c>
      <c r="J351" s="7">
        <v>123.0</v>
      </c>
      <c r="N351" s="7">
        <v>48.0</v>
      </c>
      <c r="Q351" s="7">
        <v>1.0</v>
      </c>
      <c r="R351" s="7">
        <v>25.0</v>
      </c>
      <c r="S351" s="7">
        <v>35.0</v>
      </c>
      <c r="AE351" s="7">
        <v>50.0</v>
      </c>
      <c r="AF351" s="7">
        <v>50.0</v>
      </c>
      <c r="AG351" s="7">
        <v>50.0</v>
      </c>
      <c r="AH351" s="7">
        <v>3950.0</v>
      </c>
      <c r="AZ351" s="7">
        <v>50.0</v>
      </c>
      <c r="BA351" s="7">
        <v>50.0</v>
      </c>
      <c r="BB351" s="7">
        <v>50.0</v>
      </c>
      <c r="BD351" s="7">
        <v>10.0</v>
      </c>
      <c r="BE351" s="7">
        <v>10.0</v>
      </c>
      <c r="BN351" s="7">
        <v>60.0</v>
      </c>
      <c r="BO351" s="7">
        <v>40.0</v>
      </c>
      <c r="BR351" s="7">
        <v>30.0</v>
      </c>
      <c r="BS351" s="7">
        <v>18.0</v>
      </c>
      <c r="CP351" s="7">
        <v>34.0</v>
      </c>
      <c r="CQ351" s="7">
        <v>20.0</v>
      </c>
      <c r="CT351" s="7">
        <v>5.0</v>
      </c>
      <c r="CU351" s="7">
        <v>1.0</v>
      </c>
      <c r="DB351" s="7">
        <v>94.0</v>
      </c>
      <c r="DC351" s="7">
        <v>60.0</v>
      </c>
      <c r="DD351" s="7">
        <v>12.0</v>
      </c>
      <c r="DE351" s="7">
        <v>8.0</v>
      </c>
      <c r="DN351" s="7">
        <v>3.0</v>
      </c>
      <c r="DO351" s="7">
        <v>3.0</v>
      </c>
      <c r="DP351" s="7">
        <v>7.0</v>
      </c>
      <c r="DQ351" s="7">
        <v>5.0</v>
      </c>
      <c r="FX351" s="7">
        <v>1.0</v>
      </c>
      <c r="FZ351" s="7">
        <v>50.0</v>
      </c>
      <c r="GR351" s="87">
        <v>350.0</v>
      </c>
    </row>
    <row r="352">
      <c r="A352" s="5">
        <v>46113.474209803244</v>
      </c>
      <c r="B352" s="6">
        <v>46082.0</v>
      </c>
      <c r="C352" s="6">
        <v>46112.0</v>
      </c>
      <c r="D352" s="7" t="s">
        <v>23</v>
      </c>
      <c r="E352" s="7" t="s">
        <v>92</v>
      </c>
      <c r="F352" s="7">
        <v>3.0</v>
      </c>
      <c r="G352" s="7" t="s">
        <v>70</v>
      </c>
      <c r="H352" s="7" t="s">
        <v>76</v>
      </c>
      <c r="J352" s="7">
        <v>96.0</v>
      </c>
      <c r="K352" s="7">
        <v>5.0</v>
      </c>
      <c r="L352" s="7">
        <v>3.0</v>
      </c>
      <c r="N352" s="7">
        <v>53.0</v>
      </c>
      <c r="AE352" s="7">
        <v>50.0</v>
      </c>
      <c r="AF352" s="7">
        <v>50.0</v>
      </c>
      <c r="AG352" s="7">
        <v>50.0</v>
      </c>
      <c r="AH352" s="7">
        <v>1900.0</v>
      </c>
      <c r="AZ352" s="7">
        <v>50.0</v>
      </c>
      <c r="BA352" s="7">
        <v>50.0</v>
      </c>
      <c r="BB352" s="7">
        <v>50.0</v>
      </c>
      <c r="BD352" s="7">
        <v>6.0</v>
      </c>
      <c r="BE352" s="7">
        <v>6.0</v>
      </c>
      <c r="BH352" s="7">
        <v>15.0</v>
      </c>
      <c r="BI352" s="7">
        <v>13.0</v>
      </c>
      <c r="BN352" s="7">
        <v>20.0</v>
      </c>
      <c r="BO352" s="7">
        <v>19.0</v>
      </c>
      <c r="BR352" s="7">
        <v>21.0</v>
      </c>
      <c r="BS352" s="7">
        <v>20.0</v>
      </c>
      <c r="BZ352" s="7">
        <v>40.0</v>
      </c>
      <c r="CA352" s="7">
        <v>39.0</v>
      </c>
      <c r="CH352" s="7">
        <v>15.0</v>
      </c>
      <c r="CI352" s="7">
        <v>10.0</v>
      </c>
      <c r="CP352" s="7">
        <v>25.0</v>
      </c>
      <c r="CQ352" s="7">
        <v>15.0</v>
      </c>
      <c r="CT352" s="7">
        <v>2.0</v>
      </c>
      <c r="DB352" s="7">
        <v>30.0</v>
      </c>
      <c r="DC352" s="7">
        <v>22.0</v>
      </c>
      <c r="DP352" s="7">
        <v>6.0</v>
      </c>
      <c r="DQ352" s="7">
        <v>4.0</v>
      </c>
      <c r="DR352" s="7">
        <v>5.0</v>
      </c>
      <c r="DS352" s="7">
        <v>4.0</v>
      </c>
      <c r="EF352" s="7">
        <v>6.0</v>
      </c>
      <c r="EG352" s="7">
        <v>5.0</v>
      </c>
      <c r="ES352" s="7">
        <v>15.0</v>
      </c>
      <c r="FB352" s="7">
        <v>30.0</v>
      </c>
      <c r="GR352" s="87">
        <v>351.0</v>
      </c>
    </row>
    <row r="353">
      <c r="A353" s="5">
        <v>46113.48370736111</v>
      </c>
      <c r="B353" s="6">
        <v>46082.0</v>
      </c>
      <c r="C353" s="6">
        <v>46112.0</v>
      </c>
      <c r="D353" s="7" t="s">
        <v>36</v>
      </c>
      <c r="E353" s="7" t="s">
        <v>183</v>
      </c>
      <c r="F353" s="7">
        <v>3.0</v>
      </c>
      <c r="G353" s="7" t="s">
        <v>70</v>
      </c>
      <c r="H353" s="7" t="s">
        <v>76</v>
      </c>
      <c r="J353" s="7">
        <v>70.0</v>
      </c>
      <c r="N353" s="7">
        <v>40.0</v>
      </c>
      <c r="T353" s="7">
        <v>35.0</v>
      </c>
      <c r="AH353" s="7">
        <v>2700.0</v>
      </c>
      <c r="AO353" s="7">
        <v>260.0</v>
      </c>
      <c r="AP353" s="7">
        <v>260.0</v>
      </c>
      <c r="BD353" s="7">
        <v>10.0</v>
      </c>
      <c r="BE353" s="7">
        <v>10.0</v>
      </c>
      <c r="BN353" s="7">
        <v>75.0</v>
      </c>
      <c r="BO353" s="7">
        <v>58.0</v>
      </c>
      <c r="BR353" s="7">
        <v>43.0</v>
      </c>
      <c r="BS353" s="7">
        <v>30.0</v>
      </c>
      <c r="BZ353" s="7">
        <v>15.0</v>
      </c>
      <c r="CA353" s="7">
        <v>12.0</v>
      </c>
      <c r="CP353" s="7">
        <v>24.0</v>
      </c>
      <c r="CQ353" s="7">
        <v>13.0</v>
      </c>
      <c r="CT353" s="7">
        <v>2.0</v>
      </c>
      <c r="CU353" s="7">
        <v>1.0</v>
      </c>
      <c r="DB353" s="7">
        <v>24.0</v>
      </c>
      <c r="DC353" s="7">
        <v>12.0</v>
      </c>
      <c r="DD353" s="7">
        <v>12.0</v>
      </c>
      <c r="DE353" s="7">
        <v>6.0</v>
      </c>
      <c r="DL353" s="7">
        <v>3.0</v>
      </c>
      <c r="DM353" s="7">
        <v>3.0</v>
      </c>
      <c r="EF353" s="7">
        <v>4.0</v>
      </c>
      <c r="EG353" s="7">
        <v>4.0</v>
      </c>
      <c r="EV353" s="7">
        <v>75.0</v>
      </c>
      <c r="EX353" s="7">
        <v>20.0</v>
      </c>
      <c r="FB353" s="7">
        <v>15.0</v>
      </c>
      <c r="GR353" s="87">
        <v>352.0</v>
      </c>
    </row>
    <row r="354">
      <c r="A354" s="5">
        <v>46113.492102268516</v>
      </c>
      <c r="B354" s="6">
        <v>46082.0</v>
      </c>
      <c r="C354" s="6">
        <v>46112.0</v>
      </c>
      <c r="D354" s="7" t="s">
        <v>192</v>
      </c>
      <c r="E354" s="7" t="s">
        <v>194</v>
      </c>
      <c r="F354" s="7">
        <v>4.0</v>
      </c>
      <c r="G354" s="7" t="s">
        <v>70</v>
      </c>
      <c r="H354" s="7" t="s">
        <v>76</v>
      </c>
      <c r="BL354" s="7">
        <v>15.0</v>
      </c>
      <c r="BM354" s="7">
        <v>8.0</v>
      </c>
      <c r="EU354" s="7">
        <v>15.0</v>
      </c>
      <c r="GR354" s="87">
        <v>353.0</v>
      </c>
    </row>
    <row r="355">
      <c r="A355" s="5">
        <v>46113.49444401621</v>
      </c>
      <c r="B355" s="6">
        <v>46082.0</v>
      </c>
      <c r="C355" s="6">
        <v>46112.0</v>
      </c>
      <c r="D355" s="7" t="s">
        <v>31</v>
      </c>
      <c r="E355" s="7" t="s">
        <v>140</v>
      </c>
      <c r="F355" s="7">
        <v>3.0</v>
      </c>
      <c r="G355" s="7" t="s">
        <v>70</v>
      </c>
      <c r="H355" s="7" t="s">
        <v>76</v>
      </c>
      <c r="J355" s="7">
        <v>60.0</v>
      </c>
      <c r="N355" s="7">
        <v>8.0</v>
      </c>
      <c r="AH355" s="7">
        <v>1950.0</v>
      </c>
      <c r="AO355" s="7">
        <v>10.0</v>
      </c>
      <c r="AP355" s="7">
        <v>10.0</v>
      </c>
      <c r="AZ355" s="7">
        <v>50.0</v>
      </c>
      <c r="BA355" s="7">
        <v>50.0</v>
      </c>
      <c r="BB355" s="7">
        <v>50.0</v>
      </c>
      <c r="BD355" s="7">
        <v>10.0</v>
      </c>
      <c r="BE355" s="7">
        <v>10.0</v>
      </c>
      <c r="BF355" s="7">
        <v>15.0</v>
      </c>
      <c r="BG355" s="7">
        <v>12.0</v>
      </c>
      <c r="BH355" s="7">
        <v>15.0</v>
      </c>
      <c r="BI355" s="7">
        <v>13.0</v>
      </c>
      <c r="BN355" s="7">
        <v>10.0</v>
      </c>
      <c r="BO355" s="7">
        <v>10.0</v>
      </c>
      <c r="BR355" s="7">
        <v>15.0</v>
      </c>
      <c r="BS355" s="7">
        <v>13.0</v>
      </c>
      <c r="BZ355" s="7">
        <v>5.0</v>
      </c>
      <c r="CA355" s="7">
        <v>5.0</v>
      </c>
      <c r="CH355" s="7">
        <v>6.0</v>
      </c>
      <c r="CI355" s="7">
        <v>4.0</v>
      </c>
      <c r="CN355" s="7">
        <v>8.0</v>
      </c>
      <c r="CO355" s="7">
        <v>5.0</v>
      </c>
      <c r="CP355" s="7">
        <v>3.0</v>
      </c>
      <c r="CQ355" s="7">
        <v>2.0</v>
      </c>
      <c r="CT355" s="7">
        <v>4.0</v>
      </c>
      <c r="CU355" s="7">
        <v>3.0</v>
      </c>
      <c r="DB355" s="7">
        <v>35.0</v>
      </c>
      <c r="DC355" s="7">
        <v>28.0</v>
      </c>
      <c r="DD355" s="7">
        <v>23.0</v>
      </c>
      <c r="DE355" s="7">
        <v>20.0</v>
      </c>
      <c r="DL355" s="7">
        <v>2.0</v>
      </c>
      <c r="DM355" s="7">
        <v>4.0</v>
      </c>
      <c r="DN355" s="7">
        <v>1.0</v>
      </c>
      <c r="DO355" s="7">
        <v>2.0</v>
      </c>
      <c r="DP355" s="7">
        <v>4.0</v>
      </c>
      <c r="DQ355" s="7">
        <v>4.0</v>
      </c>
      <c r="DR355" s="7">
        <v>5.0</v>
      </c>
      <c r="DS355" s="7">
        <v>10.0</v>
      </c>
      <c r="DY355" s="7">
        <v>1.0</v>
      </c>
      <c r="EH355" s="7">
        <v>3.0</v>
      </c>
      <c r="EI355" s="7">
        <v>5.0</v>
      </c>
      <c r="ER355" s="7">
        <v>15.0</v>
      </c>
      <c r="ES355" s="7">
        <v>15.0</v>
      </c>
      <c r="GR355" s="87">
        <v>354.0</v>
      </c>
    </row>
    <row r="356">
      <c r="A356" s="5">
        <v>46113.49741773148</v>
      </c>
      <c r="B356" s="6">
        <v>46082.0</v>
      </c>
      <c r="C356" s="6">
        <v>46112.0</v>
      </c>
      <c r="D356" s="7" t="s">
        <v>214</v>
      </c>
      <c r="E356" s="7" t="s">
        <v>217</v>
      </c>
      <c r="F356" s="7">
        <v>4.0</v>
      </c>
      <c r="G356" s="7" t="s">
        <v>70</v>
      </c>
      <c r="H356" s="7" t="s">
        <v>76</v>
      </c>
      <c r="BN356" s="7">
        <v>25.0</v>
      </c>
      <c r="BO356" s="7">
        <v>17.0</v>
      </c>
      <c r="DB356" s="7">
        <v>10.0</v>
      </c>
      <c r="DC356" s="7">
        <v>3.0</v>
      </c>
      <c r="DD356" s="7">
        <v>11.0</v>
      </c>
      <c r="DE356" s="7">
        <v>4.0</v>
      </c>
      <c r="DL356" s="7">
        <v>2.0</v>
      </c>
      <c r="GR356" s="87">
        <v>355.0</v>
      </c>
    </row>
    <row r="357">
      <c r="A357" s="5">
        <v>46113.49818054398</v>
      </c>
      <c r="B357" s="6">
        <v>46082.0</v>
      </c>
      <c r="C357" s="6">
        <v>46112.0</v>
      </c>
      <c r="D357" s="7" t="s">
        <v>38</v>
      </c>
      <c r="E357" s="7" t="s">
        <v>188</v>
      </c>
      <c r="F357" s="7">
        <v>2.0</v>
      </c>
      <c r="G357" s="7" t="s">
        <v>70</v>
      </c>
      <c r="H357" s="7" t="s">
        <v>76</v>
      </c>
      <c r="J357" s="7">
        <v>180.0</v>
      </c>
      <c r="N357" s="7">
        <v>70.0</v>
      </c>
      <c r="AE357" s="7">
        <v>50.0</v>
      </c>
      <c r="AF357" s="7">
        <v>50.0</v>
      </c>
      <c r="AG357" s="7">
        <v>50.0</v>
      </c>
      <c r="AH357" s="7">
        <v>2800.0</v>
      </c>
      <c r="AZ357" s="7">
        <v>50.0</v>
      </c>
      <c r="BA357" s="7">
        <v>50.0</v>
      </c>
      <c r="BB357" s="7">
        <v>50.0</v>
      </c>
      <c r="BL357" s="7">
        <v>30.0</v>
      </c>
      <c r="BM357" s="7">
        <v>15.0</v>
      </c>
      <c r="CP357" s="7">
        <v>8.0</v>
      </c>
      <c r="CQ357" s="7">
        <v>6.0</v>
      </c>
      <c r="DB357" s="7">
        <v>8.0</v>
      </c>
      <c r="DC357" s="7">
        <v>6.0</v>
      </c>
      <c r="DR357" s="7">
        <v>4.0</v>
      </c>
      <c r="DS357" s="7">
        <v>4.0</v>
      </c>
      <c r="EU357" s="7">
        <v>45.0</v>
      </c>
      <c r="FK357" s="7">
        <v>15.0</v>
      </c>
      <c r="GR357" s="87">
        <v>356.0</v>
      </c>
    </row>
    <row r="358">
      <c r="A358" s="5">
        <v>46113.49991868055</v>
      </c>
      <c r="B358" s="6">
        <v>46082.0</v>
      </c>
      <c r="C358" s="6">
        <v>46112.0</v>
      </c>
      <c r="D358" s="7" t="s">
        <v>211</v>
      </c>
      <c r="E358" s="7" t="s">
        <v>223</v>
      </c>
      <c r="F358" s="7">
        <v>4.0</v>
      </c>
      <c r="G358" s="7" t="s">
        <v>70</v>
      </c>
      <c r="H358" s="7" t="s">
        <v>76</v>
      </c>
      <c r="CP358" s="7">
        <v>21.0</v>
      </c>
      <c r="CQ358" s="7">
        <v>10.0</v>
      </c>
      <c r="DB358" s="7">
        <v>19.0</v>
      </c>
      <c r="DC358" s="7">
        <v>9.0</v>
      </c>
      <c r="GR358" s="87">
        <v>357.0</v>
      </c>
    </row>
    <row r="359">
      <c r="A359" s="5">
        <v>46113.51235167824</v>
      </c>
      <c r="B359" s="6">
        <v>46082.0</v>
      </c>
      <c r="C359" s="6">
        <v>46112.0</v>
      </c>
      <c r="D359" s="7" t="s">
        <v>207</v>
      </c>
      <c r="E359" s="7" t="s">
        <v>205</v>
      </c>
      <c r="F359" s="7">
        <v>2.0</v>
      </c>
      <c r="G359" s="7" t="s">
        <v>70</v>
      </c>
      <c r="H359" s="7" t="s">
        <v>76</v>
      </c>
      <c r="J359" s="7">
        <v>150.0</v>
      </c>
      <c r="N359" s="7">
        <v>63.0</v>
      </c>
      <c r="Q359" s="7">
        <v>2.0</v>
      </c>
      <c r="R359" s="7">
        <v>150.0</v>
      </c>
      <c r="S359" s="7">
        <v>70.0</v>
      </c>
      <c r="T359" s="7">
        <v>60.0</v>
      </c>
      <c r="Y359" s="7">
        <v>20.0</v>
      </c>
      <c r="AA359" s="7">
        <v>1.0</v>
      </c>
      <c r="AE359" s="7">
        <v>50.0</v>
      </c>
      <c r="AF359" s="7">
        <v>50.0</v>
      </c>
      <c r="AG359" s="7">
        <v>50.0</v>
      </c>
      <c r="AH359" s="7">
        <v>4350.0</v>
      </c>
      <c r="AZ359" s="7">
        <v>50.0</v>
      </c>
      <c r="BA359" s="7">
        <v>50.0</v>
      </c>
      <c r="BB359" s="7">
        <v>50.0</v>
      </c>
      <c r="BD359" s="7">
        <v>10.0</v>
      </c>
      <c r="BE359" s="7">
        <v>10.0</v>
      </c>
      <c r="BR359" s="7">
        <v>15.0</v>
      </c>
      <c r="BS359" s="7">
        <v>11.0</v>
      </c>
      <c r="CP359" s="7">
        <v>51.0</v>
      </c>
      <c r="CQ359" s="7">
        <v>28.0</v>
      </c>
      <c r="CT359" s="7">
        <v>15.0</v>
      </c>
      <c r="CU359" s="7">
        <v>5.0</v>
      </c>
      <c r="DP359" s="7">
        <v>4.0</v>
      </c>
      <c r="DQ359" s="7">
        <v>2.0</v>
      </c>
      <c r="DR359" s="7">
        <v>3.0</v>
      </c>
      <c r="DS359" s="7">
        <v>3.0</v>
      </c>
      <c r="DY359" s="7">
        <v>2.0</v>
      </c>
      <c r="EX359" s="7">
        <v>15.0</v>
      </c>
      <c r="FX359" s="7">
        <v>1.0</v>
      </c>
      <c r="FZ359" s="7">
        <v>45.0</v>
      </c>
      <c r="GR359" s="87">
        <v>358.0</v>
      </c>
    </row>
    <row r="360">
      <c r="A360" s="5">
        <v>46113.5298625463</v>
      </c>
      <c r="B360" s="6">
        <v>46082.0</v>
      </c>
      <c r="C360" s="6">
        <v>46112.0</v>
      </c>
      <c r="D360" s="7" t="s">
        <v>269</v>
      </c>
      <c r="E360" s="7" t="s">
        <v>267</v>
      </c>
      <c r="F360" s="7">
        <v>2.0</v>
      </c>
      <c r="G360" s="7" t="s">
        <v>70</v>
      </c>
      <c r="H360" s="7" t="s">
        <v>76</v>
      </c>
      <c r="J360" s="7">
        <v>160.0</v>
      </c>
      <c r="N360" s="7">
        <v>73.0</v>
      </c>
      <c r="Q360" s="7">
        <v>1.0</v>
      </c>
      <c r="R360" s="7">
        <v>14.0</v>
      </c>
      <c r="S360" s="7">
        <v>20.0</v>
      </c>
      <c r="Y360" s="7">
        <v>3.0</v>
      </c>
      <c r="AA360" s="7">
        <v>1.0</v>
      </c>
      <c r="AE360" s="7">
        <v>50.0</v>
      </c>
      <c r="AF360" s="7">
        <v>50.0</v>
      </c>
      <c r="AG360" s="7">
        <v>50.0</v>
      </c>
      <c r="AH360" s="7">
        <v>3600.0</v>
      </c>
      <c r="AZ360" s="7">
        <v>50.0</v>
      </c>
      <c r="BA360" s="7">
        <v>50.0</v>
      </c>
      <c r="BB360" s="7">
        <v>50.0</v>
      </c>
      <c r="BD360" s="7">
        <v>10.0</v>
      </c>
      <c r="BE360" s="7">
        <v>10.0</v>
      </c>
      <c r="BR360" s="7">
        <v>32.0</v>
      </c>
      <c r="BS360" s="7">
        <v>30.0</v>
      </c>
      <c r="CN360" s="7">
        <v>15.0</v>
      </c>
      <c r="CO360" s="7">
        <v>9.0</v>
      </c>
      <c r="CP360" s="7">
        <v>15.0</v>
      </c>
      <c r="CQ360" s="7">
        <v>9.0</v>
      </c>
      <c r="CT360" s="7">
        <v>6.0</v>
      </c>
      <c r="CU360" s="7">
        <v>3.0</v>
      </c>
      <c r="DB360" s="7">
        <v>39.0</v>
      </c>
      <c r="DC360" s="7">
        <v>22.0</v>
      </c>
      <c r="DP360" s="7">
        <v>3.0</v>
      </c>
      <c r="DQ360" s="7">
        <v>4.0</v>
      </c>
      <c r="DR360" s="7">
        <v>5.0</v>
      </c>
      <c r="DS360" s="7">
        <v>3.0</v>
      </c>
      <c r="GR360" s="87">
        <v>359.0</v>
      </c>
    </row>
    <row r="361">
      <c r="A361" s="5">
        <v>46113.53019244213</v>
      </c>
      <c r="B361" s="6">
        <v>46082.0</v>
      </c>
      <c r="C361" s="6">
        <v>46112.0</v>
      </c>
      <c r="D361" s="7" t="s">
        <v>27</v>
      </c>
      <c r="E361" s="7" t="s">
        <v>120</v>
      </c>
      <c r="F361" s="7">
        <v>2.0</v>
      </c>
      <c r="G361" s="7" t="s">
        <v>70</v>
      </c>
      <c r="H361" s="7" t="s">
        <v>76</v>
      </c>
      <c r="J361" s="7">
        <v>115.0</v>
      </c>
      <c r="N361" s="7">
        <v>45.0</v>
      </c>
      <c r="AE361" s="7">
        <v>50.0</v>
      </c>
      <c r="AF361" s="7">
        <v>50.0</v>
      </c>
      <c r="AG361" s="7">
        <v>50.0</v>
      </c>
      <c r="AH361" s="7">
        <v>3350.0</v>
      </c>
      <c r="AZ361" s="7">
        <v>50.0</v>
      </c>
      <c r="BA361" s="7">
        <v>50.0</v>
      </c>
      <c r="BB361" s="7">
        <v>50.0</v>
      </c>
      <c r="BF361" s="7">
        <v>15.0</v>
      </c>
      <c r="BG361" s="7">
        <v>10.0</v>
      </c>
      <c r="BJ361" s="7">
        <v>15.0</v>
      </c>
      <c r="BK361" s="7">
        <v>10.0</v>
      </c>
      <c r="BR361" s="7">
        <v>40.0</v>
      </c>
      <c r="BS361" s="7">
        <v>40.0</v>
      </c>
      <c r="BZ361" s="7">
        <v>25.0</v>
      </c>
      <c r="CA361" s="7">
        <v>15.0</v>
      </c>
      <c r="CP361" s="7">
        <v>11.0</v>
      </c>
      <c r="CQ361" s="7">
        <v>9.0</v>
      </c>
      <c r="CT361" s="7">
        <v>3.0</v>
      </c>
      <c r="CU361" s="7">
        <v>2.0</v>
      </c>
      <c r="DB361" s="7">
        <v>11.0</v>
      </c>
      <c r="DC361" s="7">
        <v>8.0</v>
      </c>
      <c r="DR361" s="7">
        <v>2.0</v>
      </c>
      <c r="DS361" s="7">
        <v>4.0</v>
      </c>
      <c r="EF361" s="7">
        <v>4.0</v>
      </c>
      <c r="EG361" s="7">
        <v>3.0</v>
      </c>
      <c r="EH361" s="7">
        <v>2.0</v>
      </c>
      <c r="EI361" s="7">
        <v>4.0</v>
      </c>
      <c r="ER361" s="7">
        <v>15.0</v>
      </c>
      <c r="ET361" s="7">
        <v>15.0</v>
      </c>
      <c r="FB361" s="7">
        <v>25.0</v>
      </c>
      <c r="GR361" s="87">
        <v>360.0</v>
      </c>
    </row>
    <row r="362">
      <c r="A362" s="5">
        <v>46114.43468711806</v>
      </c>
      <c r="B362" s="6">
        <v>46082.0</v>
      </c>
      <c r="C362" s="6">
        <v>46112.0</v>
      </c>
      <c r="D362" s="7" t="s">
        <v>39</v>
      </c>
      <c r="E362" s="7" t="s">
        <v>179</v>
      </c>
      <c r="F362" s="7">
        <v>4.0</v>
      </c>
      <c r="G362" s="7" t="s">
        <v>70</v>
      </c>
      <c r="H362" s="7" t="s">
        <v>76</v>
      </c>
      <c r="EF362" s="7">
        <v>7.0</v>
      </c>
      <c r="EG362" s="7">
        <v>4.0</v>
      </c>
      <c r="GR362" s="87">
        <v>361.0</v>
      </c>
    </row>
    <row r="363">
      <c r="A363" s="5">
        <v>46114.45017523148</v>
      </c>
      <c r="B363" s="6">
        <v>46082.0</v>
      </c>
      <c r="C363" s="6">
        <v>46112.0</v>
      </c>
      <c r="D363" s="7" t="s">
        <v>20</v>
      </c>
      <c r="E363" s="7" t="s">
        <v>77</v>
      </c>
      <c r="F363" s="7">
        <v>1.0</v>
      </c>
      <c r="G363" s="7" t="s">
        <v>70</v>
      </c>
      <c r="H363" s="7" t="s">
        <v>76</v>
      </c>
      <c r="J363" s="7">
        <v>90.0</v>
      </c>
      <c r="K363" s="7">
        <v>14.0</v>
      </c>
      <c r="L363" s="7">
        <v>44.0</v>
      </c>
      <c r="N363" s="7">
        <v>20.0</v>
      </c>
      <c r="O363" s="7">
        <v>5.0</v>
      </c>
      <c r="P363" s="7">
        <v>10.0</v>
      </c>
      <c r="T363" s="7">
        <v>180.0</v>
      </c>
      <c r="AE363" s="7">
        <v>50.0</v>
      </c>
      <c r="AF363" s="7">
        <v>50.0</v>
      </c>
      <c r="AG363" s="7">
        <v>50.0</v>
      </c>
      <c r="AH363" s="7">
        <v>5500.0</v>
      </c>
      <c r="AZ363" s="7">
        <v>50.0</v>
      </c>
      <c r="BA363" s="7">
        <v>50.0</v>
      </c>
      <c r="BB363" s="7">
        <v>50.0</v>
      </c>
      <c r="BF363" s="7">
        <v>15.0</v>
      </c>
      <c r="BG363" s="7">
        <v>11.0</v>
      </c>
      <c r="BH363" s="7">
        <v>15.0</v>
      </c>
      <c r="BI363" s="7">
        <v>11.0</v>
      </c>
      <c r="BZ363" s="7">
        <v>15.0</v>
      </c>
      <c r="CA363" s="7">
        <v>11.0</v>
      </c>
      <c r="CP363" s="7">
        <v>110.0</v>
      </c>
      <c r="CQ363" s="7">
        <v>50.0</v>
      </c>
      <c r="CT363" s="7">
        <v>5.0</v>
      </c>
      <c r="CU363" s="7">
        <v>2.0</v>
      </c>
      <c r="DB363" s="7">
        <v>35.0</v>
      </c>
      <c r="DC363" s="7">
        <v>18.0</v>
      </c>
      <c r="DD363" s="7">
        <v>7.0</v>
      </c>
      <c r="DE363" s="7">
        <v>3.0</v>
      </c>
      <c r="DN363" s="7">
        <v>4.0</v>
      </c>
      <c r="DO363" s="7">
        <v>2.0</v>
      </c>
      <c r="DR363" s="7">
        <v>3.0</v>
      </c>
      <c r="DS363" s="7">
        <v>3.0</v>
      </c>
      <c r="ER363" s="7">
        <v>15.0</v>
      </c>
      <c r="ES363" s="7">
        <v>15.0</v>
      </c>
      <c r="FB363" s="7">
        <v>15.0</v>
      </c>
      <c r="GN363" s="7">
        <v>2.0</v>
      </c>
      <c r="GO363" s="7">
        <v>2.0</v>
      </c>
      <c r="GQ363" s="7">
        <v>20.0</v>
      </c>
      <c r="GR363" s="87">
        <v>362.0</v>
      </c>
    </row>
    <row r="364">
      <c r="A364" s="5">
        <v>46114.502709583336</v>
      </c>
      <c r="B364" s="6">
        <v>46082.0</v>
      </c>
      <c r="C364" s="6">
        <v>46112.0</v>
      </c>
      <c r="D364" s="7" t="s">
        <v>34</v>
      </c>
      <c r="E364" s="7" t="s">
        <v>169</v>
      </c>
      <c r="F364" s="7">
        <v>1.0</v>
      </c>
      <c r="G364" s="7" t="s">
        <v>70</v>
      </c>
      <c r="H364" s="7" t="s">
        <v>76</v>
      </c>
      <c r="J364" s="7">
        <v>60.0</v>
      </c>
      <c r="N364" s="7">
        <v>60.0</v>
      </c>
      <c r="Q364" s="7">
        <v>1.0</v>
      </c>
      <c r="R364" s="7">
        <v>50.0</v>
      </c>
      <c r="S364" s="7">
        <v>50.0</v>
      </c>
      <c r="T364" s="7">
        <v>60.0</v>
      </c>
      <c r="AE364" s="7">
        <v>50.0</v>
      </c>
      <c r="AF364" s="7">
        <v>50.0</v>
      </c>
      <c r="AG364" s="7">
        <v>50.0</v>
      </c>
      <c r="AH364" s="7">
        <v>3150.0</v>
      </c>
      <c r="BD364" s="7">
        <v>30.0</v>
      </c>
      <c r="BE364" s="7">
        <v>30.0</v>
      </c>
      <c r="BN364" s="7">
        <v>15.0</v>
      </c>
      <c r="BO364" s="7">
        <v>10.0</v>
      </c>
      <c r="BR364" s="7">
        <v>220.0</v>
      </c>
      <c r="BS364" s="7">
        <v>220.0</v>
      </c>
      <c r="BZ364" s="7">
        <v>30.0</v>
      </c>
      <c r="CA364" s="7">
        <v>20.0</v>
      </c>
      <c r="CB364" s="7">
        <v>45.0</v>
      </c>
      <c r="CC364" s="7">
        <v>25.0</v>
      </c>
      <c r="CP364" s="7">
        <v>20.0</v>
      </c>
      <c r="CQ364" s="7">
        <v>13.0</v>
      </c>
      <c r="DB364" s="7">
        <v>40.0</v>
      </c>
      <c r="DC364" s="7">
        <v>27.0</v>
      </c>
      <c r="DR364" s="7">
        <v>3.0</v>
      </c>
      <c r="DS364" s="7">
        <v>3.0</v>
      </c>
      <c r="EH364" s="7">
        <v>5.0</v>
      </c>
      <c r="EI364" s="7">
        <v>3.0</v>
      </c>
      <c r="EK364" s="7">
        <v>4.0</v>
      </c>
      <c r="ER364" s="7">
        <v>25.0</v>
      </c>
      <c r="ES364" s="7">
        <v>30.0</v>
      </c>
      <c r="ET364" s="7">
        <v>45.0</v>
      </c>
      <c r="EV364" s="7">
        <v>85.0</v>
      </c>
      <c r="EX364" s="7">
        <v>200.0</v>
      </c>
      <c r="FB364" s="7">
        <v>15.0</v>
      </c>
      <c r="FC364" s="7">
        <v>120.0</v>
      </c>
      <c r="FR364" s="7">
        <v>30.0</v>
      </c>
      <c r="GR364" s="87">
        <v>363.0</v>
      </c>
    </row>
    <row r="365">
      <c r="A365" s="5">
        <v>46114.52261788194</v>
      </c>
      <c r="B365" s="6">
        <v>46082.0</v>
      </c>
      <c r="C365" s="6">
        <v>46112.0</v>
      </c>
      <c r="D365" s="7" t="s">
        <v>40</v>
      </c>
      <c r="E365" s="7" t="s">
        <v>174</v>
      </c>
      <c r="F365" s="7">
        <v>4.0</v>
      </c>
      <c r="G365" s="7" t="s">
        <v>70</v>
      </c>
      <c r="H365" s="7" t="s">
        <v>76</v>
      </c>
      <c r="BF365" s="7">
        <v>15.0</v>
      </c>
      <c r="BN365" s="7">
        <v>15.0</v>
      </c>
      <c r="DB365" s="7">
        <v>20.0</v>
      </c>
      <c r="DC365" s="7">
        <v>13.0</v>
      </c>
      <c r="EF365" s="7">
        <v>3.0</v>
      </c>
      <c r="EG365" s="7">
        <v>2.0</v>
      </c>
      <c r="ER365" s="7">
        <v>15.0</v>
      </c>
      <c r="EV365" s="7">
        <v>15.0</v>
      </c>
      <c r="GR365" s="87">
        <v>364.0</v>
      </c>
    </row>
    <row r="366">
      <c r="A366" s="5">
        <v>46114.60603427084</v>
      </c>
      <c r="B366" s="6">
        <v>46082.0</v>
      </c>
      <c r="C366" s="6">
        <v>46112.0</v>
      </c>
      <c r="D366" s="7" t="s">
        <v>30</v>
      </c>
      <c r="E366" s="7" t="s">
        <v>237</v>
      </c>
      <c r="F366" s="7">
        <v>2.0</v>
      </c>
      <c r="G366" s="7" t="s">
        <v>70</v>
      </c>
      <c r="H366" s="7" t="s">
        <v>76</v>
      </c>
      <c r="J366" s="7">
        <v>24.0</v>
      </c>
      <c r="N366" s="7">
        <v>9.0</v>
      </c>
      <c r="Y366" s="7">
        <v>4.0</v>
      </c>
      <c r="AE366" s="7">
        <v>100.0</v>
      </c>
      <c r="AF366" s="7">
        <v>100.0</v>
      </c>
      <c r="AG366" s="7">
        <v>100.0</v>
      </c>
      <c r="AH366" s="7">
        <v>5250.0</v>
      </c>
      <c r="BJ366" s="7">
        <v>15.0</v>
      </c>
      <c r="BK366" s="7">
        <v>12.0</v>
      </c>
      <c r="BL366" s="7">
        <v>15.0</v>
      </c>
      <c r="BM366" s="7">
        <v>13.0</v>
      </c>
      <c r="BR366" s="7">
        <v>5.0</v>
      </c>
      <c r="BS366" s="7">
        <v>5.0</v>
      </c>
      <c r="DL366" s="7">
        <v>3.0</v>
      </c>
      <c r="DM366" s="7">
        <v>3.0</v>
      </c>
      <c r="ET366" s="7">
        <v>15.0</v>
      </c>
      <c r="EU366" s="7">
        <v>15.0</v>
      </c>
      <c r="GR366" s="87">
        <v>365.0</v>
      </c>
    </row>
    <row r="367">
      <c r="A367" s="5">
        <v>46142.413019467596</v>
      </c>
      <c r="B367" s="6">
        <v>46113.0</v>
      </c>
      <c r="C367" s="6">
        <v>46142.0</v>
      </c>
      <c r="D367" s="7" t="s">
        <v>26</v>
      </c>
      <c r="E367" s="7" t="s">
        <v>104</v>
      </c>
      <c r="F367" s="7">
        <v>3.0</v>
      </c>
      <c r="G367" s="7" t="s">
        <v>70</v>
      </c>
      <c r="H367" s="7" t="s">
        <v>76</v>
      </c>
      <c r="J367" s="7">
        <v>33.0</v>
      </c>
      <c r="K367" s="7">
        <v>1.0</v>
      </c>
      <c r="N367" s="7">
        <v>8.0</v>
      </c>
      <c r="O367" s="7">
        <v>3.0</v>
      </c>
      <c r="AI367" s="7">
        <v>700.0</v>
      </c>
      <c r="AJ367" s="7">
        <v>700.0</v>
      </c>
      <c r="AQ367" s="7">
        <v>300.0</v>
      </c>
      <c r="BF367" s="7">
        <v>15.0</v>
      </c>
      <c r="BG367" s="7">
        <v>11.0</v>
      </c>
      <c r="BL367" s="7">
        <v>15.0</v>
      </c>
      <c r="BM367" s="7">
        <v>11.0</v>
      </c>
      <c r="CB367" s="7">
        <v>15.0</v>
      </c>
      <c r="CC367" s="7">
        <v>11.0</v>
      </c>
      <c r="CP367" s="7">
        <v>6.0</v>
      </c>
      <c r="CQ367" s="7">
        <v>4.0</v>
      </c>
      <c r="CT367" s="7">
        <v>7.0</v>
      </c>
      <c r="CU367" s="7">
        <v>2.0</v>
      </c>
      <c r="DB367" s="7">
        <v>45.0</v>
      </c>
      <c r="DC367" s="7">
        <v>28.0</v>
      </c>
      <c r="DP367" s="7">
        <v>2.0</v>
      </c>
      <c r="DQ367" s="7">
        <v>1.0</v>
      </c>
      <c r="DR367" s="7">
        <v>2.0</v>
      </c>
      <c r="DS367" s="7">
        <v>1.0</v>
      </c>
      <c r="DT367" s="7">
        <v>12.0</v>
      </c>
      <c r="DU367" s="7">
        <v>10.0</v>
      </c>
      <c r="EH367" s="7">
        <v>3.0</v>
      </c>
      <c r="EI367" s="7">
        <v>2.0</v>
      </c>
      <c r="ER367" s="7">
        <v>15.0</v>
      </c>
      <c r="EU367" s="7">
        <v>15.0</v>
      </c>
      <c r="FB367" s="7">
        <v>15.0</v>
      </c>
      <c r="FC367" s="7">
        <v>15.0</v>
      </c>
      <c r="GR367" s="87">
        <v>366.0</v>
      </c>
    </row>
    <row r="368">
      <c r="A368" s="5">
        <v>46142.49419445602</v>
      </c>
      <c r="B368" s="6">
        <v>46113.0</v>
      </c>
      <c r="C368" s="6">
        <v>46142.0</v>
      </c>
      <c r="D368" s="7" t="s">
        <v>25</v>
      </c>
      <c r="E368" s="7" t="s">
        <v>246</v>
      </c>
      <c r="F368" s="7">
        <v>2.0</v>
      </c>
      <c r="G368" s="7" t="s">
        <v>70</v>
      </c>
      <c r="H368" s="7" t="s">
        <v>76</v>
      </c>
      <c r="J368" s="7">
        <v>80.0</v>
      </c>
      <c r="N368" s="7">
        <v>92.0</v>
      </c>
      <c r="AI368" s="7">
        <v>1350.0</v>
      </c>
      <c r="AJ368" s="7">
        <v>1350.0</v>
      </c>
      <c r="AK368" s="7">
        <v>50.0</v>
      </c>
      <c r="AQ368" s="7">
        <v>100.0</v>
      </c>
      <c r="BL368" s="7">
        <v>10.0</v>
      </c>
      <c r="BM368" s="7">
        <v>5.0</v>
      </c>
      <c r="BN368" s="7">
        <v>10.0</v>
      </c>
      <c r="BO368" s="7">
        <v>5.0</v>
      </c>
      <c r="BZ368" s="7">
        <v>10.0</v>
      </c>
      <c r="CA368" s="7">
        <v>5.0</v>
      </c>
      <c r="CT368" s="7">
        <v>6.0</v>
      </c>
      <c r="CU368" s="7">
        <v>2.0</v>
      </c>
      <c r="DB368" s="7">
        <v>5.0</v>
      </c>
      <c r="DC368" s="7">
        <v>3.0</v>
      </c>
      <c r="DT368" s="7">
        <v>1.0</v>
      </c>
      <c r="DU368" s="7">
        <v>1.0</v>
      </c>
      <c r="EF368" s="7">
        <v>1.0</v>
      </c>
      <c r="EG368" s="7">
        <v>1.0</v>
      </c>
      <c r="EH368" s="7">
        <v>1.0</v>
      </c>
      <c r="EI368" s="7">
        <v>1.0</v>
      </c>
      <c r="EU368" s="7">
        <v>15.0</v>
      </c>
      <c r="EV368" s="7">
        <v>30.0</v>
      </c>
      <c r="FB368" s="7">
        <v>30.0</v>
      </c>
      <c r="FX368" s="7">
        <v>1.0</v>
      </c>
      <c r="FZ368" s="7">
        <v>20.0</v>
      </c>
      <c r="GR368" s="87">
        <v>367.0</v>
      </c>
    </row>
    <row r="369">
      <c r="A369" s="5">
        <v>46142.547258032406</v>
      </c>
      <c r="B369" s="6">
        <v>46113.0</v>
      </c>
      <c r="C369" s="6">
        <v>46142.0</v>
      </c>
      <c r="D369" s="7" t="s">
        <v>23</v>
      </c>
      <c r="E369" s="7" t="s">
        <v>92</v>
      </c>
      <c r="F369" s="7">
        <v>3.0</v>
      </c>
      <c r="G369" s="7" t="s">
        <v>70</v>
      </c>
      <c r="H369" s="7" t="s">
        <v>76</v>
      </c>
      <c r="J369" s="7">
        <v>113.0</v>
      </c>
      <c r="K369" s="7">
        <v>2.0</v>
      </c>
      <c r="N369" s="7">
        <v>66.0</v>
      </c>
      <c r="AI369" s="7">
        <v>800.0</v>
      </c>
      <c r="AJ369" s="7">
        <v>800.0</v>
      </c>
      <c r="AQ369" s="7">
        <v>400.0</v>
      </c>
      <c r="BF369" s="7">
        <v>15.0</v>
      </c>
      <c r="BG369" s="7">
        <v>15.0</v>
      </c>
      <c r="BZ369" s="7">
        <v>15.0</v>
      </c>
      <c r="CA369" s="7">
        <v>15.0</v>
      </c>
      <c r="CP369" s="7">
        <v>40.0</v>
      </c>
      <c r="CQ369" s="7">
        <v>30.0</v>
      </c>
      <c r="CT369" s="7">
        <v>1.0</v>
      </c>
      <c r="CU369" s="7">
        <v>1.0</v>
      </c>
      <c r="DB369" s="7">
        <v>38.0</v>
      </c>
      <c r="DC369" s="7">
        <v>28.0</v>
      </c>
      <c r="DT369" s="7">
        <v>6.0</v>
      </c>
      <c r="DU369" s="7">
        <v>7.0</v>
      </c>
      <c r="DY369" s="7">
        <v>1.0</v>
      </c>
      <c r="EF369" s="7">
        <v>5.0</v>
      </c>
      <c r="EG369" s="7">
        <v>4.0</v>
      </c>
      <c r="ER369" s="7">
        <v>15.0</v>
      </c>
      <c r="FB369" s="7">
        <v>15.0</v>
      </c>
      <c r="GR369" s="87">
        <v>368.0</v>
      </c>
    </row>
    <row r="370">
      <c r="A370" s="5">
        <v>46142.55909003472</v>
      </c>
      <c r="B370" s="6">
        <v>46113.0</v>
      </c>
      <c r="C370" s="6">
        <v>46142.0</v>
      </c>
      <c r="D370" s="7" t="s">
        <v>29</v>
      </c>
      <c r="E370" s="7" t="s">
        <v>110</v>
      </c>
      <c r="F370" s="7">
        <v>3.0</v>
      </c>
      <c r="G370" s="7" t="s">
        <v>70</v>
      </c>
      <c r="H370" s="7" t="s">
        <v>76</v>
      </c>
      <c r="J370" s="7">
        <v>64.0</v>
      </c>
      <c r="K370" s="7">
        <v>1.0</v>
      </c>
      <c r="N370" s="7">
        <v>12.0</v>
      </c>
      <c r="AI370" s="7">
        <v>700.0</v>
      </c>
      <c r="AJ370" s="7">
        <v>700.0</v>
      </c>
      <c r="AQ370" s="7">
        <v>400.0</v>
      </c>
      <c r="BF370" s="7">
        <v>30.0</v>
      </c>
      <c r="BG370" s="7">
        <v>30.0</v>
      </c>
      <c r="BL370" s="7">
        <v>15.0</v>
      </c>
      <c r="BM370" s="7">
        <v>15.0</v>
      </c>
      <c r="BZ370" s="7">
        <v>15.0</v>
      </c>
      <c r="CA370" s="7">
        <v>15.0</v>
      </c>
      <c r="CN370" s="7">
        <v>4.0</v>
      </c>
      <c r="CO370" s="7">
        <v>2.0</v>
      </c>
      <c r="CP370" s="7">
        <v>55.0</v>
      </c>
      <c r="CQ370" s="7">
        <v>17.0</v>
      </c>
      <c r="CT370" s="7">
        <v>5.0</v>
      </c>
      <c r="CU370" s="7">
        <v>2.0</v>
      </c>
      <c r="DB370" s="7">
        <v>124.0</v>
      </c>
      <c r="DC370" s="7">
        <v>60.0</v>
      </c>
      <c r="EF370" s="7">
        <v>3.0</v>
      </c>
      <c r="EG370" s="7">
        <v>2.0</v>
      </c>
      <c r="ER370" s="7">
        <v>30.0</v>
      </c>
      <c r="EU370" s="7">
        <v>15.0</v>
      </c>
      <c r="FB370" s="7">
        <v>15.0</v>
      </c>
      <c r="FC370" s="7">
        <v>15.0</v>
      </c>
      <c r="GR370" s="87">
        <v>369.0</v>
      </c>
    </row>
    <row r="371">
      <c r="A371" s="5">
        <v>46142.57264237269</v>
      </c>
      <c r="B371" s="6">
        <v>46113.0</v>
      </c>
      <c r="C371" s="6">
        <v>46142.0</v>
      </c>
      <c r="D371" s="7" t="s">
        <v>207</v>
      </c>
      <c r="E371" s="7" t="s">
        <v>205</v>
      </c>
      <c r="F371" s="7">
        <v>2.0</v>
      </c>
      <c r="G371" s="7" t="s">
        <v>70</v>
      </c>
      <c r="H371" s="7" t="s">
        <v>76</v>
      </c>
      <c r="J371" s="7">
        <v>165.0</v>
      </c>
      <c r="N371" s="7">
        <v>67.0</v>
      </c>
      <c r="Q371" s="7">
        <v>2.0</v>
      </c>
      <c r="R371" s="7">
        <v>150.0</v>
      </c>
      <c r="S371" s="7">
        <v>70.0</v>
      </c>
      <c r="T371" s="7">
        <v>60.0</v>
      </c>
      <c r="Y371" s="7">
        <v>20.0</v>
      </c>
      <c r="AI371" s="7">
        <v>1300.0</v>
      </c>
      <c r="AJ371" s="7">
        <v>1300.0</v>
      </c>
      <c r="AK371" s="7">
        <v>50.0</v>
      </c>
      <c r="AL371" s="7">
        <v>50.0</v>
      </c>
      <c r="AM371" s="7">
        <v>50.0</v>
      </c>
      <c r="AQ371" s="7">
        <v>500.0</v>
      </c>
      <c r="AR371" s="7">
        <v>500.0</v>
      </c>
      <c r="AS371" s="7">
        <v>500.0</v>
      </c>
      <c r="BF371" s="7">
        <v>15.0</v>
      </c>
      <c r="BG371" s="7">
        <v>9.0</v>
      </c>
      <c r="BZ371" s="7">
        <v>45.0</v>
      </c>
      <c r="CA371" s="7">
        <v>29.0</v>
      </c>
      <c r="CP371" s="7">
        <v>23.0</v>
      </c>
      <c r="CQ371" s="7">
        <v>14.0</v>
      </c>
      <c r="CT371" s="7">
        <v>10.0</v>
      </c>
      <c r="CU371" s="7">
        <v>3.0</v>
      </c>
      <c r="DR371" s="7">
        <v>7.0</v>
      </c>
      <c r="DS371" s="7">
        <v>6.0</v>
      </c>
      <c r="DT371" s="7">
        <v>17.0</v>
      </c>
      <c r="DU371" s="7">
        <v>14.0</v>
      </c>
      <c r="DY371" s="7">
        <v>2.0</v>
      </c>
      <c r="EF371" s="7">
        <v>7.0</v>
      </c>
      <c r="EG371" s="7">
        <v>5.0</v>
      </c>
      <c r="ER371" s="7">
        <v>30.0</v>
      </c>
      <c r="FB371" s="7">
        <v>75.0</v>
      </c>
      <c r="FH371" s="7">
        <v>15.0</v>
      </c>
      <c r="FR371" s="7">
        <v>30.0</v>
      </c>
      <c r="FX371" s="7">
        <v>1.0</v>
      </c>
      <c r="FZ371" s="7">
        <v>45.0</v>
      </c>
      <c r="GR371" s="87">
        <v>370.0</v>
      </c>
    </row>
    <row r="372">
      <c r="A372" s="5">
        <v>46143.46902921297</v>
      </c>
      <c r="B372" s="6">
        <v>46113.0</v>
      </c>
      <c r="C372" s="6">
        <v>46142.0</v>
      </c>
      <c r="D372" s="7" t="s">
        <v>211</v>
      </c>
      <c r="E372" s="7" t="s">
        <v>223</v>
      </c>
      <c r="F372" s="7">
        <v>4.0</v>
      </c>
      <c r="G372" s="7" t="s">
        <v>70</v>
      </c>
      <c r="H372" s="7" t="s">
        <v>76</v>
      </c>
      <c r="BF372" s="7">
        <v>15.0</v>
      </c>
      <c r="BG372" s="7">
        <v>9.0</v>
      </c>
      <c r="BZ372" s="7">
        <v>30.0</v>
      </c>
      <c r="CA372" s="7">
        <v>21.0</v>
      </c>
      <c r="CP372" s="7">
        <v>21.0</v>
      </c>
      <c r="CQ372" s="7">
        <v>13.0</v>
      </c>
      <c r="DB372" s="7">
        <v>23.0</v>
      </c>
      <c r="DC372" s="7">
        <v>12.0</v>
      </c>
      <c r="ER372" s="7">
        <v>15.0</v>
      </c>
      <c r="FB372" s="7">
        <v>30.0</v>
      </c>
      <c r="GR372" s="87">
        <v>371.0</v>
      </c>
    </row>
    <row r="373">
      <c r="A373" s="5">
        <v>46143.75291815972</v>
      </c>
      <c r="B373" s="6">
        <v>46113.0</v>
      </c>
      <c r="C373" s="6">
        <v>46142.0</v>
      </c>
      <c r="D373" s="7" t="s">
        <v>41</v>
      </c>
      <c r="E373" s="7" t="s">
        <v>251</v>
      </c>
      <c r="F373" s="7">
        <v>2.0</v>
      </c>
      <c r="G373" s="7" t="s">
        <v>70</v>
      </c>
      <c r="H373" s="7" t="s">
        <v>76</v>
      </c>
      <c r="J373" s="7">
        <v>115.0</v>
      </c>
      <c r="Q373" s="7">
        <v>1.0</v>
      </c>
      <c r="R373" s="7">
        <v>22.0</v>
      </c>
      <c r="S373" s="7">
        <v>32.0</v>
      </c>
      <c r="AI373" s="7">
        <v>1400.0</v>
      </c>
      <c r="AJ373" s="7">
        <v>1400.0</v>
      </c>
      <c r="AK373" s="7">
        <v>50.0</v>
      </c>
      <c r="AQ373" s="7">
        <v>400.0</v>
      </c>
      <c r="BL373" s="7">
        <v>15.0</v>
      </c>
      <c r="BM373" s="7">
        <v>11.0</v>
      </c>
      <c r="BN373" s="7">
        <v>15.0</v>
      </c>
      <c r="BO373" s="7">
        <v>12.0</v>
      </c>
      <c r="BZ373" s="7">
        <v>15.0</v>
      </c>
      <c r="CA373" s="7">
        <v>9.0</v>
      </c>
      <c r="CB373" s="7">
        <v>15.0</v>
      </c>
      <c r="CC373" s="7">
        <v>12.0</v>
      </c>
      <c r="CP373" s="7">
        <v>77.0</v>
      </c>
      <c r="CQ373" s="7">
        <v>45.0</v>
      </c>
      <c r="CT373" s="7">
        <v>7.0</v>
      </c>
      <c r="CU373" s="7">
        <v>3.0</v>
      </c>
      <c r="DB373" s="7">
        <v>69.0</v>
      </c>
      <c r="DC373" s="7">
        <v>39.0</v>
      </c>
      <c r="DY373" s="7">
        <v>3.0</v>
      </c>
      <c r="EF373" s="7">
        <v>2.0</v>
      </c>
      <c r="EG373" s="7">
        <v>3.0</v>
      </c>
      <c r="EU373" s="7">
        <v>15.0</v>
      </c>
      <c r="EV373" s="7">
        <v>30.0</v>
      </c>
      <c r="FB373" s="7">
        <v>15.0</v>
      </c>
      <c r="FC373" s="7">
        <v>15.0</v>
      </c>
      <c r="GR373" s="87">
        <v>372.0</v>
      </c>
    </row>
    <row r="374">
      <c r="A374" s="5">
        <v>46143.76561695602</v>
      </c>
      <c r="B374" s="6">
        <v>46113.0</v>
      </c>
      <c r="C374" s="6">
        <v>46142.0</v>
      </c>
      <c r="D374" s="7" t="s">
        <v>269</v>
      </c>
      <c r="E374" s="7" t="s">
        <v>267</v>
      </c>
      <c r="F374" s="7">
        <v>2.0</v>
      </c>
      <c r="G374" s="7" t="s">
        <v>70</v>
      </c>
      <c r="H374" s="7" t="s">
        <v>76</v>
      </c>
      <c r="J374" s="7">
        <v>125.0</v>
      </c>
      <c r="N374" s="7">
        <v>66.0</v>
      </c>
      <c r="AI374" s="7">
        <v>1600.0</v>
      </c>
      <c r="AJ374" s="7">
        <v>1600.0</v>
      </c>
      <c r="AK374" s="7">
        <v>50.0</v>
      </c>
      <c r="AO374" s="7">
        <v>50.0</v>
      </c>
      <c r="AP374" s="7">
        <v>50.0</v>
      </c>
      <c r="AQ374" s="7">
        <v>400.0</v>
      </c>
      <c r="BF374" s="7">
        <v>15.0</v>
      </c>
      <c r="BG374" s="7">
        <v>15.0</v>
      </c>
      <c r="BL374" s="7">
        <v>15.0</v>
      </c>
      <c r="BM374" s="7">
        <v>15.0</v>
      </c>
      <c r="BZ374" s="7">
        <v>15.0</v>
      </c>
      <c r="CA374" s="7">
        <v>15.0</v>
      </c>
      <c r="CB374" s="7">
        <v>15.0</v>
      </c>
      <c r="CC374" s="7">
        <v>15.0</v>
      </c>
      <c r="CP374" s="7">
        <v>30.0</v>
      </c>
      <c r="CQ374" s="7">
        <v>18.0</v>
      </c>
      <c r="CT374" s="7">
        <v>13.0</v>
      </c>
      <c r="CU374" s="7">
        <v>6.0</v>
      </c>
      <c r="DB374" s="7">
        <v>40.0</v>
      </c>
      <c r="DC374" s="7">
        <v>26.0</v>
      </c>
      <c r="DT374" s="7">
        <v>5.0</v>
      </c>
      <c r="DU374" s="7">
        <v>8.0</v>
      </c>
      <c r="EF374" s="7">
        <v>7.0</v>
      </c>
      <c r="EG374" s="7">
        <v>7.0</v>
      </c>
      <c r="ER374" s="7">
        <v>15.0</v>
      </c>
      <c r="EU374" s="7">
        <v>30.0</v>
      </c>
      <c r="FB374" s="7">
        <v>45.0</v>
      </c>
      <c r="FC374" s="7">
        <v>15.0</v>
      </c>
      <c r="FX374" s="7">
        <v>1.0</v>
      </c>
      <c r="FZ374" s="7">
        <v>28.0</v>
      </c>
      <c r="GR374" s="87">
        <v>373.0</v>
      </c>
    </row>
    <row r="375">
      <c r="A375" s="5">
        <v>46144.23722041667</v>
      </c>
      <c r="B375" s="6">
        <v>46113.0</v>
      </c>
      <c r="C375" s="6">
        <v>46142.0</v>
      </c>
      <c r="D375" s="7" t="s">
        <v>36</v>
      </c>
      <c r="E375" s="7" t="s">
        <v>183</v>
      </c>
      <c r="F375" s="7">
        <v>3.0</v>
      </c>
      <c r="G375" s="7" t="s">
        <v>70</v>
      </c>
      <c r="H375" s="7" t="s">
        <v>76</v>
      </c>
      <c r="J375" s="7">
        <v>60.0</v>
      </c>
      <c r="N375" s="7">
        <v>38.0</v>
      </c>
      <c r="T375" s="7">
        <v>25.0</v>
      </c>
      <c r="AI375" s="7">
        <v>900.0</v>
      </c>
      <c r="AJ375" s="7">
        <v>900.0</v>
      </c>
      <c r="AQ375" s="7">
        <v>500.0</v>
      </c>
      <c r="BF375" s="7">
        <v>15.0</v>
      </c>
      <c r="BG375" s="7">
        <v>12.0</v>
      </c>
      <c r="BN375" s="7">
        <v>15.0</v>
      </c>
      <c r="BO375" s="7">
        <v>12.0</v>
      </c>
      <c r="BZ375" s="7">
        <v>30.0</v>
      </c>
      <c r="CA375" s="7">
        <v>23.0</v>
      </c>
      <c r="CN375" s="7">
        <v>12.0</v>
      </c>
      <c r="CO375" s="7">
        <v>6.0</v>
      </c>
      <c r="CP375" s="7">
        <v>31.0</v>
      </c>
      <c r="CQ375" s="7">
        <v>15.0</v>
      </c>
      <c r="CT375" s="7">
        <v>1.0</v>
      </c>
      <c r="DB375" s="7">
        <v>47.0</v>
      </c>
      <c r="DC375" s="7">
        <v>24.0</v>
      </c>
      <c r="DT375" s="7">
        <v>7.0</v>
      </c>
      <c r="DU375" s="7">
        <v>7.0</v>
      </c>
      <c r="ER375" s="7">
        <v>15.0</v>
      </c>
      <c r="EV375" s="7">
        <v>15.0</v>
      </c>
      <c r="FB375" s="7">
        <v>30.0</v>
      </c>
      <c r="GR375" s="87">
        <v>374.0</v>
      </c>
    </row>
    <row r="376">
      <c r="A376" s="5">
        <v>46144.349679618055</v>
      </c>
      <c r="B376" s="6">
        <v>46113.0</v>
      </c>
      <c r="C376" s="6">
        <v>46142.0</v>
      </c>
      <c r="D376" s="7" t="s">
        <v>214</v>
      </c>
      <c r="E376" s="7" t="s">
        <v>217</v>
      </c>
      <c r="F376" s="7">
        <v>4.0</v>
      </c>
      <c r="G376" s="7" t="s">
        <v>70</v>
      </c>
      <c r="H376" s="7" t="s">
        <v>76</v>
      </c>
      <c r="BF376" s="7">
        <v>15.0</v>
      </c>
      <c r="BG376" s="7">
        <v>10.0</v>
      </c>
      <c r="CP376" s="7">
        <v>35.0</v>
      </c>
      <c r="CQ376" s="7">
        <v>17.0</v>
      </c>
      <c r="ER376" s="7">
        <v>15.0</v>
      </c>
      <c r="GR376" s="87">
        <v>375.0</v>
      </c>
    </row>
    <row r="377">
      <c r="A377" s="5">
        <v>46144.38130620371</v>
      </c>
      <c r="B377" s="6">
        <v>46113.0</v>
      </c>
      <c r="C377" s="6">
        <v>46142.0</v>
      </c>
      <c r="D377" s="7" t="s">
        <v>192</v>
      </c>
      <c r="E377" s="7" t="s">
        <v>194</v>
      </c>
      <c r="F377" s="7">
        <v>4.0</v>
      </c>
      <c r="G377" s="7" t="s">
        <v>70</v>
      </c>
      <c r="H377" s="7" t="s">
        <v>76</v>
      </c>
      <c r="BF377" s="7">
        <v>25.0</v>
      </c>
      <c r="BG377" s="7">
        <v>15.0</v>
      </c>
      <c r="BZ377" s="7">
        <v>15.0</v>
      </c>
      <c r="CA377" s="7">
        <v>8.0</v>
      </c>
      <c r="CP377" s="7">
        <v>8.0</v>
      </c>
      <c r="CQ377" s="7">
        <v>4.0</v>
      </c>
      <c r="DB377" s="7">
        <v>8.0</v>
      </c>
      <c r="DC377" s="7">
        <v>4.0</v>
      </c>
      <c r="DL377" s="7">
        <v>2.0</v>
      </c>
      <c r="DM377" s="7">
        <v>2.0</v>
      </c>
      <c r="EF377" s="7">
        <v>2.0</v>
      </c>
      <c r="EG377" s="7">
        <v>2.0</v>
      </c>
      <c r="ER377" s="7">
        <v>25.0</v>
      </c>
      <c r="FB377" s="7">
        <v>15.0</v>
      </c>
      <c r="GR377" s="87">
        <v>376.0</v>
      </c>
    </row>
    <row r="378">
      <c r="A378" s="5">
        <v>46144.385698125</v>
      </c>
      <c r="B378" s="6">
        <v>46113.0</v>
      </c>
      <c r="C378" s="6">
        <v>46142.0</v>
      </c>
      <c r="D378" s="7" t="s">
        <v>42</v>
      </c>
      <c r="E378" s="7" t="s">
        <v>279</v>
      </c>
      <c r="F378" s="7">
        <v>2.0</v>
      </c>
      <c r="G378" s="7" t="s">
        <v>70</v>
      </c>
      <c r="H378" s="7" t="s">
        <v>76</v>
      </c>
      <c r="J378" s="7">
        <v>117.0</v>
      </c>
      <c r="N378" s="7">
        <v>44.0</v>
      </c>
      <c r="AI378" s="7">
        <v>1500.0</v>
      </c>
      <c r="AJ378" s="7">
        <v>1500.0</v>
      </c>
      <c r="AK378" s="7">
        <v>50.0</v>
      </c>
      <c r="AL378" s="7">
        <v>50.0</v>
      </c>
      <c r="AM378" s="7">
        <v>50.0</v>
      </c>
      <c r="AQ378" s="7">
        <v>600.0</v>
      </c>
      <c r="AR378" s="7">
        <v>400.0</v>
      </c>
      <c r="AS378" s="7">
        <v>400.0</v>
      </c>
      <c r="BL378" s="7">
        <v>15.0</v>
      </c>
      <c r="BM378" s="7">
        <v>8.0</v>
      </c>
      <c r="BN378" s="7">
        <v>30.0</v>
      </c>
      <c r="BO378" s="7">
        <v>20.0</v>
      </c>
      <c r="BZ378" s="7">
        <v>15.0</v>
      </c>
      <c r="CA378" s="7">
        <v>10.0</v>
      </c>
      <c r="CB378" s="7">
        <v>15.0</v>
      </c>
      <c r="CC378" s="7">
        <v>10.0</v>
      </c>
      <c r="EU378" s="7">
        <v>15.0</v>
      </c>
      <c r="EV378" s="7">
        <v>30.0</v>
      </c>
      <c r="FB378" s="7">
        <v>15.0</v>
      </c>
      <c r="FC378" s="7">
        <v>15.0</v>
      </c>
      <c r="GR378" s="87">
        <v>377.0</v>
      </c>
    </row>
    <row r="379">
      <c r="A379" s="5">
        <v>46144.388593020834</v>
      </c>
      <c r="B379" s="6">
        <v>46113.0</v>
      </c>
      <c r="C379" s="6">
        <v>46142.0</v>
      </c>
      <c r="D379" s="7" t="s">
        <v>24</v>
      </c>
      <c r="E379" s="7" t="s">
        <v>158</v>
      </c>
      <c r="F379" s="7">
        <v>3.0</v>
      </c>
      <c r="G379" s="7" t="s">
        <v>70</v>
      </c>
      <c r="H379" s="7" t="s">
        <v>76</v>
      </c>
      <c r="J379" s="7">
        <v>46.0</v>
      </c>
      <c r="N379" s="7">
        <v>9.0</v>
      </c>
      <c r="AI379" s="7">
        <v>600.0</v>
      </c>
      <c r="AJ379" s="7">
        <v>600.0</v>
      </c>
      <c r="AQ379" s="7">
        <v>100.0</v>
      </c>
      <c r="BL379" s="7">
        <v>15.0</v>
      </c>
      <c r="BM379" s="7">
        <v>10.0</v>
      </c>
      <c r="BZ379" s="7">
        <v>7.0</v>
      </c>
      <c r="CA379" s="7">
        <v>5.0</v>
      </c>
      <c r="CT379" s="7">
        <v>11.0</v>
      </c>
      <c r="CU379" s="7">
        <v>7.0</v>
      </c>
      <c r="DB379" s="7">
        <v>35.0</v>
      </c>
      <c r="DC379" s="7">
        <v>20.0</v>
      </c>
      <c r="DR379" s="7">
        <v>2.0</v>
      </c>
      <c r="DS379" s="7">
        <v>2.0</v>
      </c>
      <c r="DT379" s="7">
        <v>1.0</v>
      </c>
      <c r="DU379" s="7">
        <v>1.0</v>
      </c>
      <c r="EF379" s="7">
        <v>2.0</v>
      </c>
      <c r="EG379" s="7">
        <v>2.0</v>
      </c>
      <c r="EU379" s="7">
        <v>15.0</v>
      </c>
      <c r="EV379" s="7">
        <v>15.0</v>
      </c>
      <c r="FB379" s="7">
        <v>15.0</v>
      </c>
      <c r="GR379" s="87">
        <v>378.0</v>
      </c>
    </row>
    <row r="380">
      <c r="A380" s="5">
        <v>46144.41561372685</v>
      </c>
      <c r="B380" s="6">
        <v>46113.0</v>
      </c>
      <c r="C380" s="6">
        <v>46142.0</v>
      </c>
      <c r="D380" s="7" t="s">
        <v>201</v>
      </c>
      <c r="E380" s="7" t="s">
        <v>199</v>
      </c>
      <c r="F380" s="7">
        <v>2.0</v>
      </c>
      <c r="G380" s="7" t="s">
        <v>70</v>
      </c>
      <c r="H380" s="7" t="s">
        <v>76</v>
      </c>
      <c r="J380" s="7">
        <v>122.0</v>
      </c>
      <c r="N380" s="7">
        <v>51.0</v>
      </c>
      <c r="Q380" s="7">
        <v>1.0</v>
      </c>
      <c r="R380" s="7">
        <v>70.0</v>
      </c>
      <c r="S380" s="7">
        <v>40.0</v>
      </c>
      <c r="AA380" s="7">
        <v>1.0</v>
      </c>
      <c r="AI380" s="7">
        <v>1400.0</v>
      </c>
      <c r="AJ380" s="7">
        <v>1400.0</v>
      </c>
      <c r="AK380" s="7">
        <v>50.0</v>
      </c>
      <c r="AL380" s="7">
        <v>50.0</v>
      </c>
      <c r="AM380" s="7">
        <v>50.0</v>
      </c>
      <c r="AQ380" s="7">
        <v>200.0</v>
      </c>
      <c r="AR380" s="7">
        <v>200.0</v>
      </c>
      <c r="AS380" s="7">
        <v>200.0</v>
      </c>
      <c r="BF380" s="7">
        <v>30.0</v>
      </c>
      <c r="BG380" s="7">
        <v>22.0</v>
      </c>
      <c r="BZ380" s="7">
        <v>15.0</v>
      </c>
      <c r="CA380" s="7">
        <v>12.0</v>
      </c>
      <c r="CB380" s="7">
        <v>15.0</v>
      </c>
      <c r="CC380" s="7">
        <v>12.0</v>
      </c>
      <c r="CT380" s="7">
        <v>8.0</v>
      </c>
      <c r="CU380" s="7">
        <v>2.0</v>
      </c>
      <c r="DB380" s="7">
        <v>24.0</v>
      </c>
      <c r="DC380" s="7">
        <v>13.0</v>
      </c>
      <c r="DT380" s="7">
        <v>9.0</v>
      </c>
      <c r="DU380" s="7">
        <v>7.0</v>
      </c>
      <c r="DY380" s="7">
        <v>1.0</v>
      </c>
      <c r="EF380" s="7">
        <v>10.0</v>
      </c>
      <c r="EG380" s="7">
        <v>7.0</v>
      </c>
      <c r="EH380" s="7">
        <v>4.0</v>
      </c>
      <c r="EI380" s="7">
        <v>4.0</v>
      </c>
      <c r="ER380" s="7">
        <v>30.0</v>
      </c>
      <c r="FB380" s="7">
        <v>15.0</v>
      </c>
      <c r="FC380" s="7">
        <v>15.0</v>
      </c>
      <c r="FX380" s="7">
        <v>1.0</v>
      </c>
      <c r="FZ380" s="7">
        <v>40.0</v>
      </c>
      <c r="GR380" s="87">
        <v>379.0</v>
      </c>
    </row>
    <row r="381">
      <c r="A381" s="5">
        <v>46144.416404421296</v>
      </c>
      <c r="B381" s="6">
        <v>46113.0</v>
      </c>
      <c r="C381" s="6">
        <v>46142.0</v>
      </c>
      <c r="D381" s="7" t="s">
        <v>212</v>
      </c>
      <c r="E381" s="7" t="s">
        <v>227</v>
      </c>
      <c r="F381" s="7">
        <v>3.0</v>
      </c>
      <c r="G381" s="7" t="s">
        <v>70</v>
      </c>
      <c r="H381" s="7" t="s">
        <v>76</v>
      </c>
      <c r="J381" s="7">
        <v>57.0</v>
      </c>
      <c r="K381" s="7">
        <v>3.0</v>
      </c>
      <c r="N381" s="7">
        <v>40.0</v>
      </c>
      <c r="O381" s="7">
        <v>3.0</v>
      </c>
      <c r="T381" s="7">
        <v>29.0</v>
      </c>
      <c r="AI381" s="7">
        <v>1000.0</v>
      </c>
      <c r="AJ381" s="7">
        <v>1000.0</v>
      </c>
      <c r="AQ381" s="7">
        <v>400.0</v>
      </c>
      <c r="BF381" s="7">
        <v>15.0</v>
      </c>
      <c r="BG381" s="7">
        <v>12.0</v>
      </c>
      <c r="CB381" s="7">
        <v>30.0</v>
      </c>
      <c r="CC381" s="7">
        <v>22.0</v>
      </c>
      <c r="CL381" s="7">
        <v>5.0</v>
      </c>
      <c r="CM381" s="7">
        <v>2.0</v>
      </c>
      <c r="CT381" s="7">
        <v>18.0</v>
      </c>
      <c r="CU381" s="7">
        <v>9.0</v>
      </c>
      <c r="DB381" s="7">
        <v>16.0</v>
      </c>
      <c r="DC381" s="7">
        <v>8.0</v>
      </c>
      <c r="DT381" s="7">
        <v>32.0</v>
      </c>
      <c r="DU381" s="7">
        <v>23.0</v>
      </c>
      <c r="DY381" s="7">
        <v>5.0</v>
      </c>
      <c r="EH381" s="7">
        <v>10.0</v>
      </c>
      <c r="EI381" s="7">
        <v>8.0</v>
      </c>
      <c r="ER381" s="7">
        <v>30.0</v>
      </c>
      <c r="FC381" s="7">
        <v>30.0</v>
      </c>
      <c r="FH381" s="7">
        <v>15.0</v>
      </c>
      <c r="GR381" s="87">
        <v>380.0</v>
      </c>
    </row>
    <row r="382">
      <c r="A382" s="5">
        <v>46144.42488155093</v>
      </c>
      <c r="B382" s="6">
        <v>46113.0</v>
      </c>
      <c r="C382" s="6">
        <v>46142.0</v>
      </c>
      <c r="D382" s="7" t="s">
        <v>33</v>
      </c>
      <c r="E382" s="7" t="s">
        <v>151</v>
      </c>
      <c r="F382" s="7">
        <v>2.0</v>
      </c>
      <c r="G382" s="7" t="s">
        <v>70</v>
      </c>
      <c r="H382" s="7" t="s">
        <v>76</v>
      </c>
      <c r="J382" s="7">
        <v>102.0</v>
      </c>
      <c r="N382" s="7">
        <v>19.0</v>
      </c>
      <c r="AI382" s="7">
        <v>2400.0</v>
      </c>
      <c r="AJ382" s="7">
        <v>2400.0</v>
      </c>
      <c r="AK382" s="7">
        <v>50.0</v>
      </c>
      <c r="AQ382" s="7">
        <v>300.0</v>
      </c>
      <c r="BF382" s="7">
        <v>15.0</v>
      </c>
      <c r="BG382" s="7">
        <v>8.0</v>
      </c>
      <c r="BL382" s="7">
        <v>15.0</v>
      </c>
      <c r="BM382" s="7">
        <v>8.0</v>
      </c>
      <c r="BZ382" s="7">
        <v>30.0</v>
      </c>
      <c r="CA382" s="7">
        <v>15.0</v>
      </c>
      <c r="CB382" s="7">
        <v>15.0</v>
      </c>
      <c r="CC382" s="7">
        <v>8.0</v>
      </c>
      <c r="CN382" s="7">
        <v>2.0</v>
      </c>
      <c r="CO382" s="7">
        <v>1.0</v>
      </c>
      <c r="CP382" s="7">
        <v>8.0</v>
      </c>
      <c r="CQ382" s="7">
        <v>5.0</v>
      </c>
      <c r="CT382" s="7">
        <v>3.0</v>
      </c>
      <c r="CU382" s="7">
        <v>1.0</v>
      </c>
      <c r="DB382" s="7">
        <v>8.0</v>
      </c>
      <c r="DC382" s="7">
        <v>4.0</v>
      </c>
      <c r="DD382" s="7">
        <v>5.0</v>
      </c>
      <c r="DE382" s="7">
        <v>3.0</v>
      </c>
      <c r="DT382" s="7">
        <v>1.0</v>
      </c>
      <c r="DU382" s="7">
        <v>1.0</v>
      </c>
      <c r="DY382" s="7">
        <v>1.0</v>
      </c>
      <c r="EF382" s="7">
        <v>1.0</v>
      </c>
      <c r="EG382" s="7">
        <v>2.0</v>
      </c>
      <c r="EH382" s="7">
        <v>1.0</v>
      </c>
      <c r="EI382" s="7">
        <v>1.0</v>
      </c>
      <c r="ER382" s="7">
        <v>15.0</v>
      </c>
      <c r="EU382" s="7">
        <v>15.0</v>
      </c>
      <c r="FB382" s="7">
        <v>30.0</v>
      </c>
      <c r="FC382" s="7">
        <v>15.0</v>
      </c>
      <c r="GR382" s="87">
        <v>381.0</v>
      </c>
    </row>
    <row r="383">
      <c r="A383" s="5">
        <v>46144.428906076384</v>
      </c>
      <c r="B383" s="6">
        <v>46113.0</v>
      </c>
      <c r="C383" s="6">
        <v>46142.0</v>
      </c>
      <c r="D383" s="7" t="s">
        <v>213</v>
      </c>
      <c r="E383" s="7" t="s">
        <v>231</v>
      </c>
      <c r="F383" s="7">
        <v>3.0</v>
      </c>
      <c r="G383" s="7" t="s">
        <v>70</v>
      </c>
      <c r="H383" s="7" t="s">
        <v>76</v>
      </c>
      <c r="J383" s="7">
        <v>50.0</v>
      </c>
      <c r="N383" s="7">
        <v>40.0</v>
      </c>
      <c r="AI383" s="7">
        <v>800.0</v>
      </c>
      <c r="AJ383" s="7">
        <v>800.0</v>
      </c>
      <c r="AQ383" s="7">
        <v>400.0</v>
      </c>
      <c r="BF383" s="7">
        <v>15.0</v>
      </c>
      <c r="BG383" s="7">
        <v>15.0</v>
      </c>
      <c r="BL383" s="7">
        <v>15.0</v>
      </c>
      <c r="BM383" s="7">
        <v>15.0</v>
      </c>
      <c r="CN383" s="7">
        <v>41.0</v>
      </c>
      <c r="CO383" s="7">
        <v>22.0</v>
      </c>
      <c r="CT383" s="7">
        <v>5.0</v>
      </c>
      <c r="CU383" s="7">
        <v>1.0</v>
      </c>
      <c r="DB383" s="7">
        <v>30.0</v>
      </c>
      <c r="DC383" s="7">
        <v>15.0</v>
      </c>
      <c r="DR383" s="7">
        <v>10.0</v>
      </c>
      <c r="DS383" s="7">
        <v>12.0</v>
      </c>
      <c r="DY383" s="7">
        <v>1.0</v>
      </c>
      <c r="EF383" s="7">
        <v>4.0</v>
      </c>
      <c r="EG383" s="7">
        <v>4.0</v>
      </c>
      <c r="ER383" s="7">
        <v>15.0</v>
      </c>
      <c r="EU383" s="7">
        <v>15.0</v>
      </c>
      <c r="FB383" s="7">
        <v>15.0</v>
      </c>
      <c r="GR383" s="87">
        <v>382.0</v>
      </c>
    </row>
    <row r="384">
      <c r="A384" s="5">
        <v>46144.42933670139</v>
      </c>
      <c r="B384" s="6">
        <v>46113.0</v>
      </c>
      <c r="C384" s="6">
        <v>46142.0</v>
      </c>
      <c r="D384" s="7" t="s">
        <v>38</v>
      </c>
      <c r="E384" s="7" t="s">
        <v>188</v>
      </c>
      <c r="F384" s="7">
        <v>2.0</v>
      </c>
      <c r="G384" s="7" t="s">
        <v>70</v>
      </c>
      <c r="H384" s="7" t="s">
        <v>76</v>
      </c>
      <c r="J384" s="7">
        <v>150.0</v>
      </c>
      <c r="N384" s="7">
        <v>30.0</v>
      </c>
      <c r="AI384" s="7">
        <v>1200.0</v>
      </c>
      <c r="AJ384" s="7">
        <v>1200.0</v>
      </c>
      <c r="AK384" s="7">
        <v>50.0</v>
      </c>
      <c r="AQ384" s="7">
        <v>500.0</v>
      </c>
      <c r="BF384" s="7">
        <v>20.0</v>
      </c>
      <c r="BG384" s="7">
        <v>10.0</v>
      </c>
      <c r="CB384" s="7">
        <v>15.0</v>
      </c>
      <c r="CC384" s="7">
        <v>8.0</v>
      </c>
      <c r="CP384" s="7">
        <v>8.0</v>
      </c>
      <c r="CQ384" s="7">
        <v>4.0</v>
      </c>
      <c r="CT384" s="7">
        <v>2.0</v>
      </c>
      <c r="DB384" s="7">
        <v>10.0</v>
      </c>
      <c r="DC384" s="7">
        <v>5.0</v>
      </c>
      <c r="DR384" s="7">
        <v>1.0</v>
      </c>
      <c r="DS384" s="7">
        <v>2.0</v>
      </c>
      <c r="EF384" s="7">
        <v>4.0</v>
      </c>
      <c r="EG384" s="7">
        <v>4.0</v>
      </c>
      <c r="ER384" s="7">
        <v>45.0</v>
      </c>
      <c r="FB384" s="7">
        <v>15.0</v>
      </c>
      <c r="FC384" s="7">
        <v>15.0</v>
      </c>
      <c r="FH384" s="7">
        <v>25.0</v>
      </c>
      <c r="FR384" s="7">
        <v>15.0</v>
      </c>
      <c r="GR384" s="87">
        <v>383.0</v>
      </c>
    </row>
    <row r="385">
      <c r="A385" s="5">
        <v>46144.47681309028</v>
      </c>
      <c r="B385" s="6">
        <v>46113.0</v>
      </c>
      <c r="C385" s="6">
        <v>46142.0</v>
      </c>
      <c r="D385" s="7" t="s">
        <v>40</v>
      </c>
      <c r="E385" s="7" t="s">
        <v>174</v>
      </c>
      <c r="F385" s="7">
        <v>4.0</v>
      </c>
      <c r="G385" s="7" t="s">
        <v>70</v>
      </c>
      <c r="H385" s="7" t="s">
        <v>76</v>
      </c>
      <c r="BF385" s="7">
        <v>30.0</v>
      </c>
      <c r="BG385" s="7">
        <v>20.0</v>
      </c>
      <c r="DT385" s="7">
        <v>4.0</v>
      </c>
      <c r="DU385" s="7">
        <v>2.0</v>
      </c>
      <c r="EF385" s="7">
        <v>6.0</v>
      </c>
      <c r="EG385" s="7">
        <v>6.0</v>
      </c>
      <c r="ER385" s="7">
        <v>30.0</v>
      </c>
      <c r="GR385" s="87">
        <v>384.0</v>
      </c>
    </row>
    <row r="386">
      <c r="A386" s="5">
        <v>46144.492007974535</v>
      </c>
      <c r="B386" s="6">
        <v>46113.0</v>
      </c>
      <c r="C386" s="6">
        <v>46142.0</v>
      </c>
      <c r="D386" s="7" t="s">
        <v>258</v>
      </c>
      <c r="E386" s="7" t="s">
        <v>256</v>
      </c>
      <c r="F386" s="7">
        <v>2.0</v>
      </c>
      <c r="G386" s="7" t="s">
        <v>70</v>
      </c>
      <c r="H386" s="7" t="s">
        <v>76</v>
      </c>
      <c r="J386" s="7">
        <v>20.0</v>
      </c>
      <c r="N386" s="7">
        <v>10.0</v>
      </c>
      <c r="AI386" s="7">
        <v>1450.0</v>
      </c>
      <c r="AJ386" s="7">
        <v>1450.0</v>
      </c>
      <c r="AQ386" s="7">
        <v>400.0</v>
      </c>
      <c r="BD386" s="7">
        <v>10.0</v>
      </c>
      <c r="BE386" s="7">
        <v>10.0</v>
      </c>
      <c r="GR386" s="87">
        <v>385.0</v>
      </c>
    </row>
    <row r="387">
      <c r="A387" s="5">
        <v>46144.515939537036</v>
      </c>
      <c r="B387" s="6">
        <v>46113.0</v>
      </c>
      <c r="C387" s="6">
        <v>46142.0</v>
      </c>
      <c r="D387" s="7" t="s">
        <v>35</v>
      </c>
      <c r="E387" s="7" t="s">
        <v>283</v>
      </c>
      <c r="F387" s="7">
        <v>2.0</v>
      </c>
      <c r="G387" s="7" t="s">
        <v>70</v>
      </c>
      <c r="H387" s="7" t="s">
        <v>76</v>
      </c>
      <c r="J387" s="7">
        <v>40.0</v>
      </c>
      <c r="N387" s="7">
        <v>40.0</v>
      </c>
      <c r="AI387" s="7">
        <v>1300.0</v>
      </c>
      <c r="AJ387" s="7">
        <v>1300.0</v>
      </c>
      <c r="AK387" s="7">
        <v>50.0</v>
      </c>
      <c r="AL387" s="7">
        <v>50.0</v>
      </c>
      <c r="AM387" s="7">
        <v>50.0</v>
      </c>
      <c r="AQ387" s="7">
        <v>400.0</v>
      </c>
      <c r="AR387" s="7">
        <v>400.0</v>
      </c>
      <c r="AS387" s="7">
        <v>400.0</v>
      </c>
      <c r="GR387" s="87">
        <v>386.0</v>
      </c>
    </row>
    <row r="388">
      <c r="A388" s="5">
        <v>46144.52359010417</v>
      </c>
      <c r="B388" s="6">
        <v>46113.0</v>
      </c>
      <c r="C388" s="6">
        <v>46142.0</v>
      </c>
      <c r="D388" s="7" t="s">
        <v>31</v>
      </c>
      <c r="E388" s="7" t="s">
        <v>140</v>
      </c>
      <c r="F388" s="7">
        <v>3.0</v>
      </c>
      <c r="G388" s="7" t="s">
        <v>70</v>
      </c>
      <c r="H388" s="7" t="s">
        <v>76</v>
      </c>
      <c r="J388" s="7">
        <v>61.0</v>
      </c>
      <c r="N388" s="7">
        <v>7.0</v>
      </c>
      <c r="AI388" s="7">
        <v>700.0</v>
      </c>
      <c r="AJ388" s="7">
        <v>700.0</v>
      </c>
      <c r="AQ388" s="7">
        <v>300.0</v>
      </c>
      <c r="BF388" s="7">
        <v>9.0</v>
      </c>
      <c r="BG388" s="7">
        <v>9.0</v>
      </c>
      <c r="BL388" s="7">
        <v>15.0</v>
      </c>
      <c r="BM388" s="7">
        <v>13.0</v>
      </c>
      <c r="BZ388" s="7">
        <v>4.0</v>
      </c>
      <c r="CA388" s="7">
        <v>4.0</v>
      </c>
      <c r="CB388" s="7">
        <v>2.0</v>
      </c>
      <c r="CC388" s="7">
        <v>2.0</v>
      </c>
      <c r="CT388" s="7">
        <v>3.0</v>
      </c>
      <c r="CU388" s="7">
        <v>1.0</v>
      </c>
      <c r="DB388" s="7">
        <v>5.0</v>
      </c>
      <c r="DC388" s="7">
        <v>3.0</v>
      </c>
      <c r="DD388" s="7">
        <v>8.0</v>
      </c>
      <c r="DE388" s="7">
        <v>5.0</v>
      </c>
      <c r="DN388" s="7">
        <v>1.0</v>
      </c>
      <c r="DO388" s="7">
        <v>1.0</v>
      </c>
      <c r="DR388" s="7">
        <v>1.0</v>
      </c>
      <c r="DS388" s="7">
        <v>3.0</v>
      </c>
      <c r="DT388" s="7">
        <v>3.0</v>
      </c>
      <c r="DU388" s="7">
        <v>5.0</v>
      </c>
      <c r="DY388" s="7">
        <v>1.0</v>
      </c>
      <c r="ER388" s="7">
        <v>15.0</v>
      </c>
      <c r="EU388" s="7">
        <v>15.0</v>
      </c>
      <c r="FB388" s="7">
        <v>30.0</v>
      </c>
      <c r="FC388" s="7">
        <v>15.0</v>
      </c>
      <c r="GR388" s="87">
        <v>387.0</v>
      </c>
    </row>
    <row r="389">
      <c r="A389" s="5">
        <v>46144.529812037035</v>
      </c>
      <c r="B389" s="6">
        <v>46113.0</v>
      </c>
      <c r="C389" s="6">
        <v>46142.0</v>
      </c>
      <c r="D389" s="7" t="s">
        <v>30</v>
      </c>
      <c r="E389" s="7" t="s">
        <v>237</v>
      </c>
      <c r="F389" s="7">
        <v>2.0</v>
      </c>
      <c r="G389" s="7" t="s">
        <v>70</v>
      </c>
      <c r="H389" s="7" t="s">
        <v>76</v>
      </c>
      <c r="J389" s="7">
        <v>63.0</v>
      </c>
      <c r="N389" s="7">
        <v>10.0</v>
      </c>
      <c r="Q389" s="7">
        <v>1.0</v>
      </c>
      <c r="R389" s="7">
        <v>40.0</v>
      </c>
      <c r="S389" s="7">
        <v>40.0</v>
      </c>
      <c r="AI389" s="7">
        <v>2100.0</v>
      </c>
      <c r="AJ389" s="7">
        <v>2100.0</v>
      </c>
      <c r="AK389" s="7">
        <v>50.0</v>
      </c>
      <c r="AQ389" s="7">
        <v>500.0</v>
      </c>
      <c r="BF389" s="7">
        <v>15.0</v>
      </c>
      <c r="BG389" s="7">
        <v>15.0</v>
      </c>
      <c r="BZ389" s="7">
        <v>15.0</v>
      </c>
      <c r="CA389" s="7">
        <v>15.0</v>
      </c>
      <c r="CB389" s="7">
        <v>15.0</v>
      </c>
      <c r="CC389" s="7">
        <v>15.0</v>
      </c>
      <c r="DL389" s="7">
        <v>4.0</v>
      </c>
      <c r="EF389" s="7">
        <v>4.0</v>
      </c>
      <c r="EG389" s="7">
        <v>4.0</v>
      </c>
      <c r="ER389" s="7">
        <v>15.0</v>
      </c>
      <c r="FB389" s="7">
        <v>15.0</v>
      </c>
      <c r="FC389" s="7">
        <v>15.0</v>
      </c>
      <c r="GR389" s="87">
        <v>388.0</v>
      </c>
    </row>
    <row r="390">
      <c r="A390" s="5">
        <v>46144.539035</v>
      </c>
      <c r="B390" s="6">
        <v>46113.0</v>
      </c>
      <c r="C390" s="6">
        <v>46142.0</v>
      </c>
      <c r="D390" s="7" t="s">
        <v>34</v>
      </c>
      <c r="E390" s="7" t="s">
        <v>169</v>
      </c>
      <c r="F390" s="7">
        <v>1.0</v>
      </c>
      <c r="G390" s="7" t="s">
        <v>70</v>
      </c>
      <c r="H390" s="7" t="s">
        <v>76</v>
      </c>
      <c r="J390" s="7">
        <v>60.0</v>
      </c>
      <c r="N390" s="7">
        <v>50.0</v>
      </c>
      <c r="T390" s="7">
        <v>40.0</v>
      </c>
      <c r="AI390" s="7">
        <v>1000.0</v>
      </c>
      <c r="AJ390" s="7">
        <v>1000.0</v>
      </c>
      <c r="AK390" s="7">
        <v>50.0</v>
      </c>
      <c r="AL390" s="7">
        <v>50.0</v>
      </c>
      <c r="AM390" s="7">
        <v>50.0</v>
      </c>
      <c r="AQ390" s="7">
        <v>600.0</v>
      </c>
      <c r="AR390" s="7">
        <v>300.0</v>
      </c>
      <c r="AS390" s="7">
        <v>300.0</v>
      </c>
      <c r="BF390" s="7">
        <v>25.0</v>
      </c>
      <c r="BG390" s="7">
        <v>20.0</v>
      </c>
      <c r="BH390" s="7">
        <v>30.0</v>
      </c>
      <c r="BI390" s="7">
        <v>20.0</v>
      </c>
      <c r="BJ390" s="7">
        <v>45.0</v>
      </c>
      <c r="BK390" s="7">
        <v>35.0</v>
      </c>
      <c r="BN390" s="7">
        <v>70.0</v>
      </c>
      <c r="BO390" s="7">
        <v>50.0</v>
      </c>
      <c r="CB390" s="7">
        <v>90.0</v>
      </c>
      <c r="CC390" s="7">
        <v>45.0</v>
      </c>
      <c r="CP390" s="7">
        <v>20.0</v>
      </c>
      <c r="CQ390" s="7">
        <v>12.0</v>
      </c>
      <c r="DB390" s="7">
        <v>20.0</v>
      </c>
      <c r="DC390" s="7">
        <v>12.0</v>
      </c>
      <c r="DT390" s="7">
        <v>6.0</v>
      </c>
      <c r="DU390" s="7">
        <v>6.0</v>
      </c>
      <c r="ER390" s="7">
        <v>30.0</v>
      </c>
      <c r="FH390" s="7">
        <v>30.0</v>
      </c>
      <c r="GR390" s="87">
        <v>389.0</v>
      </c>
    </row>
    <row r="391">
      <c r="A391" s="5">
        <v>46144.772138125</v>
      </c>
      <c r="B391" s="6">
        <v>46113.0</v>
      </c>
      <c r="C391" s="6">
        <v>46142.0</v>
      </c>
      <c r="D391" s="7" t="s">
        <v>37</v>
      </c>
      <c r="E391" s="7" t="s">
        <v>87</v>
      </c>
      <c r="F391" s="7">
        <v>3.0</v>
      </c>
      <c r="G391" s="7" t="s">
        <v>70</v>
      </c>
      <c r="H391" s="7" t="s">
        <v>76</v>
      </c>
      <c r="J391" s="7">
        <v>70.0</v>
      </c>
      <c r="K391" s="7">
        <v>3.0</v>
      </c>
      <c r="AI391" s="7">
        <v>800.0</v>
      </c>
      <c r="AJ391" s="7">
        <v>800.0</v>
      </c>
      <c r="AQ391" s="7">
        <v>500.0</v>
      </c>
      <c r="BF391" s="7">
        <v>15.0</v>
      </c>
      <c r="BG391" s="7">
        <v>13.0</v>
      </c>
      <c r="BN391" s="7">
        <v>15.0</v>
      </c>
      <c r="BO391" s="7">
        <v>10.0</v>
      </c>
      <c r="BZ391" s="7">
        <v>5.0</v>
      </c>
      <c r="CA391" s="7">
        <v>3.0</v>
      </c>
      <c r="CD391" s="7"/>
      <c r="CE391" s="7"/>
      <c r="CP391" s="7">
        <v>60.0</v>
      </c>
      <c r="CQ391" s="7">
        <v>31.0</v>
      </c>
      <c r="CT391" s="7">
        <v>3.0</v>
      </c>
      <c r="CU391" s="7">
        <v>2.0</v>
      </c>
      <c r="DB391" s="7">
        <v>41.0</v>
      </c>
      <c r="DC391" s="7">
        <v>27.0</v>
      </c>
      <c r="DT391" s="7">
        <v>4.0</v>
      </c>
      <c r="DU391" s="7">
        <v>5.0</v>
      </c>
      <c r="EF391" s="7">
        <v>1.0</v>
      </c>
      <c r="EG391" s="7">
        <v>1.0</v>
      </c>
      <c r="ER391" s="7">
        <v>15.0</v>
      </c>
      <c r="EV391" s="7">
        <v>30.0</v>
      </c>
      <c r="FB391" s="7">
        <v>30.0</v>
      </c>
      <c r="GR391" s="87">
        <v>390.0</v>
      </c>
    </row>
    <row r="392">
      <c r="A392" s="5">
        <v>46146.453679259255</v>
      </c>
      <c r="B392" s="6">
        <v>46113.0</v>
      </c>
      <c r="C392" s="6">
        <v>46142.0</v>
      </c>
      <c r="D392" s="7" t="s">
        <v>32</v>
      </c>
      <c r="E392" s="7" t="s">
        <v>134</v>
      </c>
      <c r="F392" s="7">
        <v>3.0</v>
      </c>
      <c r="G392" s="7" t="s">
        <v>70</v>
      </c>
      <c r="H392" s="7" t="s">
        <v>76</v>
      </c>
      <c r="J392" s="7">
        <v>45.0</v>
      </c>
      <c r="N392" s="7">
        <v>20.0</v>
      </c>
      <c r="AI392" s="7">
        <v>750.0</v>
      </c>
      <c r="AJ392" s="7">
        <v>750.0</v>
      </c>
      <c r="AQ392" s="7">
        <v>300.0</v>
      </c>
      <c r="BF392" s="7">
        <v>12.0</v>
      </c>
      <c r="BG392" s="7">
        <v>10.0</v>
      </c>
      <c r="BL392" s="7">
        <v>10.0</v>
      </c>
      <c r="BM392" s="7">
        <v>8.0</v>
      </c>
      <c r="BN392" s="7">
        <v>6.0</v>
      </c>
      <c r="BO392" s="7">
        <v>4.0</v>
      </c>
      <c r="BZ392" s="7">
        <v>8.0</v>
      </c>
      <c r="CA392" s="7">
        <v>6.0</v>
      </c>
      <c r="CL392" s="7">
        <v>9.0</v>
      </c>
      <c r="CM392" s="7">
        <v>5.0</v>
      </c>
      <c r="CN392" s="7">
        <v>8.0</v>
      </c>
      <c r="CO392" s="7">
        <v>5.0</v>
      </c>
      <c r="CP392" s="7">
        <v>40.0</v>
      </c>
      <c r="CQ392" s="7">
        <v>25.0</v>
      </c>
      <c r="CT392" s="7">
        <v>8.0</v>
      </c>
      <c r="DB392" s="7">
        <v>60.0</v>
      </c>
      <c r="DC392" s="7">
        <v>36.0</v>
      </c>
      <c r="DP392" s="7">
        <v>1.0</v>
      </c>
      <c r="DQ392" s="7">
        <v>1.0</v>
      </c>
      <c r="DR392" s="7">
        <v>2.0</v>
      </c>
      <c r="DS392" s="7">
        <v>2.0</v>
      </c>
      <c r="DT392" s="7">
        <v>1.0</v>
      </c>
      <c r="DU392" s="7">
        <v>2.0</v>
      </c>
      <c r="EF392" s="7">
        <v>2.0</v>
      </c>
      <c r="EG392" s="7">
        <v>2.0</v>
      </c>
      <c r="EH392" s="7">
        <v>2.0</v>
      </c>
      <c r="EI392" s="7">
        <v>4.0</v>
      </c>
      <c r="ER392" s="7">
        <v>15.0</v>
      </c>
      <c r="EU392" s="7">
        <v>15.0</v>
      </c>
      <c r="EV392" s="7">
        <v>15.0</v>
      </c>
      <c r="FB392" s="7">
        <v>15.0</v>
      </c>
      <c r="GR392" s="87">
        <v>391.0</v>
      </c>
    </row>
    <row r="393">
      <c r="A393" s="5">
        <v>46146.459438460646</v>
      </c>
      <c r="B393" s="6">
        <v>46113.0</v>
      </c>
      <c r="C393" s="6">
        <v>46142.0</v>
      </c>
      <c r="D393" s="7" t="s">
        <v>20</v>
      </c>
      <c r="E393" s="7" t="s">
        <v>77</v>
      </c>
      <c r="F393" s="7">
        <v>1.0</v>
      </c>
      <c r="G393" s="7" t="s">
        <v>70</v>
      </c>
      <c r="H393" s="7" t="s">
        <v>76</v>
      </c>
      <c r="I393" s="7">
        <v>1.0</v>
      </c>
      <c r="J393" s="7">
        <v>75.0</v>
      </c>
      <c r="K393" s="7">
        <v>7.0</v>
      </c>
      <c r="L393" s="7">
        <v>32.0</v>
      </c>
      <c r="N393" s="7">
        <v>15.0</v>
      </c>
      <c r="O393" s="7">
        <v>2.0</v>
      </c>
      <c r="P393" s="7">
        <v>5.0</v>
      </c>
      <c r="T393" s="7">
        <v>150.0</v>
      </c>
      <c r="Y393" s="7">
        <v>14.0</v>
      </c>
      <c r="AI393" s="7">
        <v>1800.0</v>
      </c>
      <c r="AJ393" s="7">
        <v>1800.0</v>
      </c>
      <c r="AQ393" s="7">
        <v>600.0</v>
      </c>
      <c r="BD393" s="7">
        <v>14.0</v>
      </c>
      <c r="BE393" s="7">
        <v>14.0</v>
      </c>
      <c r="BF393" s="7">
        <v>15.0</v>
      </c>
      <c r="BG393" s="7">
        <v>12.0</v>
      </c>
      <c r="BL393" s="7">
        <v>15.0</v>
      </c>
      <c r="BM393" s="7">
        <v>11.0</v>
      </c>
      <c r="BN393" s="7">
        <v>15.0</v>
      </c>
      <c r="BO393" s="7">
        <v>12.0</v>
      </c>
      <c r="BZ393" s="7">
        <v>30.0</v>
      </c>
      <c r="CA393" s="7">
        <v>25.0</v>
      </c>
      <c r="CB393" s="7">
        <v>30.0</v>
      </c>
      <c r="CC393" s="7">
        <v>24.0</v>
      </c>
      <c r="CP393" s="7">
        <v>100.0</v>
      </c>
      <c r="CQ393" s="7">
        <v>41.0</v>
      </c>
      <c r="CT393" s="7">
        <v>28.0</v>
      </c>
      <c r="CU393" s="7">
        <v>10.0</v>
      </c>
      <c r="DB393" s="7">
        <v>90.0</v>
      </c>
      <c r="DC393" s="7">
        <v>38.0</v>
      </c>
      <c r="DT393" s="7">
        <v>2.0</v>
      </c>
      <c r="DU393" s="7">
        <v>4.0</v>
      </c>
      <c r="EF393" s="7">
        <v>2.0</v>
      </c>
      <c r="EG393" s="7">
        <v>2.0</v>
      </c>
      <c r="ER393" s="7">
        <v>15.0</v>
      </c>
      <c r="EU393" s="7">
        <v>15.0</v>
      </c>
      <c r="EV393" s="7">
        <v>15.0</v>
      </c>
      <c r="FB393" s="7">
        <v>30.0</v>
      </c>
      <c r="FC393" s="7">
        <v>30.0</v>
      </c>
      <c r="GN393" s="7">
        <v>2.0</v>
      </c>
      <c r="GO393" s="7">
        <v>2.0</v>
      </c>
      <c r="GQ393" s="7">
        <v>20.0</v>
      </c>
      <c r="GR393" s="87">
        <v>392.0</v>
      </c>
    </row>
    <row r="394">
      <c r="A394" s="5">
        <v>46146.465571319444</v>
      </c>
      <c r="B394" s="6">
        <v>46113.0</v>
      </c>
      <c r="C394" s="6">
        <v>46142.0</v>
      </c>
      <c r="D394" s="7" t="s">
        <v>27</v>
      </c>
      <c r="E394" s="7" t="s">
        <v>120</v>
      </c>
      <c r="F394" s="7">
        <v>2.0</v>
      </c>
      <c r="G394" s="7" t="s">
        <v>70</v>
      </c>
      <c r="H394" s="7" t="s">
        <v>76</v>
      </c>
      <c r="J394" s="7">
        <v>103.0</v>
      </c>
      <c r="N394" s="7">
        <v>23.0</v>
      </c>
      <c r="AI394" s="7">
        <v>2300.0</v>
      </c>
      <c r="AJ394" s="7">
        <v>2300.0</v>
      </c>
      <c r="AK394" s="7">
        <v>50.0</v>
      </c>
      <c r="AL394" s="7">
        <v>50.0</v>
      </c>
      <c r="AM394" s="7">
        <v>50.0</v>
      </c>
      <c r="AQ394" s="7">
        <v>300.0</v>
      </c>
      <c r="AR394" s="7">
        <v>100.0</v>
      </c>
      <c r="AS394" s="7">
        <v>100.0</v>
      </c>
      <c r="BZ394" s="7">
        <v>45.0</v>
      </c>
      <c r="CA394" s="7">
        <v>35.0</v>
      </c>
      <c r="CN394" s="7">
        <v>9.0</v>
      </c>
      <c r="CO394" s="7">
        <v>7.0</v>
      </c>
      <c r="CP394" s="7">
        <v>26.0</v>
      </c>
      <c r="CQ394" s="7">
        <v>17.0</v>
      </c>
      <c r="CT394" s="7">
        <v>5.0</v>
      </c>
      <c r="CU394" s="7">
        <v>4.0</v>
      </c>
      <c r="DB394" s="7">
        <v>38.0</v>
      </c>
      <c r="DC394" s="7">
        <v>25.0</v>
      </c>
      <c r="EF394" s="7">
        <v>3.0</v>
      </c>
      <c r="EG394" s="7">
        <v>2.0</v>
      </c>
      <c r="FB394" s="7">
        <v>45.0</v>
      </c>
      <c r="GR394" s="87">
        <v>393.0</v>
      </c>
    </row>
  </sheetData>
  <autoFilter ref="$A$1:$GR$394"/>
  <customSheetViews>
    <customSheetView guid="{9C21C3E1-66DB-4535-9C65-7184AA79A408}" filter="1" showAutoFilter="1">
      <autoFilter ref="$D$1:$D$32"/>
    </customSheetView>
  </customSheetViews>
  <dataValidations>
    <dataValidation type="list" allowBlank="1" showDropDown="1" sqref="E2:E394">
      <formula1>Credentials!$A$3:$A394</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9.5"/>
    <col customWidth="1" min="3" max="3" width="8.63"/>
    <col customWidth="1" min="4" max="4" width="9.63"/>
    <col customWidth="1" min="5" max="5" width="10.25"/>
    <col customWidth="1" min="6" max="6" width="8.38"/>
    <col customWidth="1" min="7" max="7" width="8.75"/>
    <col customWidth="1" min="8" max="8" width="10.0"/>
    <col customWidth="1" min="9" max="9" width="9.88"/>
    <col customWidth="1" min="10" max="11" width="9.5"/>
    <col customWidth="1" min="12" max="12" width="9.13"/>
    <col customWidth="1" min="13" max="13" width="10.88"/>
    <col customWidth="1" min="14" max="15" width="8.63"/>
    <col customWidth="1" min="16" max="16" width="8.75"/>
    <col customWidth="1" min="17" max="17" width="9.25"/>
    <col customWidth="1" min="18" max="18" width="9.38"/>
    <col customWidth="1" min="19" max="19" width="9.5"/>
    <col customWidth="1" min="20" max="20" width="8.38"/>
    <col customWidth="1" min="21" max="21" width="9.38"/>
    <col customWidth="1" min="22" max="22" width="9.88"/>
    <col customWidth="1" min="23" max="27" width="9.25"/>
  </cols>
  <sheetData>
    <row r="1" ht="24.75" customHeight="1">
      <c r="A1" s="90"/>
      <c r="B1" s="91"/>
      <c r="C1" s="91"/>
      <c r="D1" s="91"/>
      <c r="E1" s="91"/>
      <c r="F1" s="91"/>
      <c r="G1" s="92" t="s">
        <v>507</v>
      </c>
      <c r="H1" s="93"/>
      <c r="I1" s="93"/>
      <c r="J1" s="94" t="s">
        <v>35</v>
      </c>
      <c r="K1" s="93"/>
      <c r="L1" s="93"/>
      <c r="M1" s="95" t="s">
        <v>508</v>
      </c>
      <c r="N1" s="96">
        <v>46113.0</v>
      </c>
      <c r="O1" s="93"/>
      <c r="P1" s="95" t="s">
        <v>509</v>
      </c>
      <c r="Q1" s="97">
        <v>46142.0</v>
      </c>
      <c r="R1" s="93"/>
      <c r="S1" s="91"/>
      <c r="T1" s="91"/>
      <c r="U1" s="91"/>
      <c r="V1" s="91"/>
      <c r="W1" s="91"/>
      <c r="X1" s="91"/>
      <c r="Y1" s="91"/>
      <c r="Z1" s="91"/>
      <c r="AA1" s="91"/>
    </row>
    <row r="2" ht="19.5" customHeight="1">
      <c r="A2" s="90"/>
      <c r="B2" s="98"/>
      <c r="C2" s="99"/>
      <c r="D2" s="100"/>
      <c r="E2" s="101"/>
      <c r="F2" s="101"/>
      <c r="G2" s="101"/>
      <c r="H2" s="102"/>
      <c r="I2" s="102"/>
      <c r="J2" s="102"/>
      <c r="K2" s="103" t="str">
        <f>V61&amp;" "&amp;V62</f>
        <v>Tehsil - Talwandi Sabo Contact No: 9814618216</v>
      </c>
      <c r="L2" s="102"/>
      <c r="M2" s="102"/>
      <c r="N2" s="102"/>
      <c r="O2" s="102"/>
      <c r="P2" s="102"/>
      <c r="Q2" s="102"/>
      <c r="R2" s="102"/>
      <c r="S2" s="101"/>
      <c r="T2" s="101"/>
      <c r="U2" s="101"/>
      <c r="V2" s="101"/>
      <c r="W2" s="101"/>
      <c r="X2" s="101"/>
      <c r="Y2" s="101"/>
      <c r="Z2" s="101"/>
      <c r="AA2" s="101"/>
    </row>
    <row r="3" ht="18.75" customHeight="1">
      <c r="A3" s="90"/>
      <c r="B3" s="98" t="s">
        <v>510</v>
      </c>
      <c r="C3" s="99"/>
      <c r="D3" s="100"/>
      <c r="E3" s="101"/>
      <c r="F3" s="101"/>
      <c r="G3" s="101"/>
      <c r="H3" s="102"/>
      <c r="I3" s="102"/>
      <c r="J3" s="102"/>
      <c r="L3" s="102"/>
      <c r="M3" s="102"/>
      <c r="N3" s="102"/>
      <c r="O3" s="102"/>
      <c r="P3" s="102"/>
      <c r="Q3" s="102"/>
      <c r="R3" s="102"/>
      <c r="S3" s="101"/>
      <c r="T3" s="101"/>
      <c r="U3" s="101"/>
      <c r="V3" s="101"/>
      <c r="W3" s="101"/>
      <c r="X3" s="101"/>
      <c r="Y3" s="101"/>
      <c r="Z3" s="101"/>
      <c r="AA3" s="101"/>
    </row>
    <row r="4" ht="77.25" customHeight="1">
      <c r="A4" s="4"/>
      <c r="B4" s="104" t="str">
        <f>'Form responses'!I1</f>
        <v>New Case Equine</v>
      </c>
      <c r="C4" s="104" t="str">
        <f>'Form responses'!J1</f>
        <v>New Case Bovine</v>
      </c>
      <c r="D4" s="104" t="str">
        <f>'Form responses'!K1</f>
        <v>New Case Other</v>
      </c>
      <c r="E4" s="105" t="s">
        <v>511</v>
      </c>
      <c r="F4" s="106" t="str">
        <f>'Form responses'!L1</f>
        <v>New Case Dogs</v>
      </c>
      <c r="G4" s="104" t="str">
        <f>'Form responses'!M1</f>
        <v>Old Case Equine</v>
      </c>
      <c r="H4" s="104" t="str">
        <f>'Form responses'!N1</f>
        <v>Old Case Bovine</v>
      </c>
      <c r="I4" s="104" t="str">
        <f>'Form responses'!O1</f>
        <v>Old Case Other</v>
      </c>
      <c r="J4" s="104" t="str">
        <f>'Form responses'!P1</f>
        <v>Old Case Dogs</v>
      </c>
      <c r="K4" s="104" t="str">
        <f>'Form responses'!Q1</f>
        <v>No. Of Camp Organised</v>
      </c>
      <c r="L4" s="104" t="str">
        <f>'Form responses'!R1</f>
        <v>Farmers Arrived in Capm</v>
      </c>
      <c r="M4" s="104" t="str">
        <f>'Form responses'!S1</f>
        <v>Case Treated In Camp</v>
      </c>
      <c r="N4" s="104" t="str">
        <f>'Form responses'!T1</f>
        <v>Gaushala Cases</v>
      </c>
      <c r="O4" s="107" t="s">
        <v>512</v>
      </c>
      <c r="P4" s="107" t="s">
        <v>513</v>
      </c>
      <c r="Q4" s="4"/>
      <c r="R4" s="105" t="str">
        <f>'Form responses'!U1</f>
        <v>Bovine Castrations</v>
      </c>
      <c r="S4" s="105" t="str">
        <f>'Form responses'!V1</f>
        <v>Other Castrations</v>
      </c>
      <c r="T4" s="105" t="str">
        <f>'Form responses'!W1</f>
        <v>No. of Pregnancy Diagnosis (Paid)</v>
      </c>
      <c r="U4" s="105" t="str">
        <f>'Form responses'!X1</f>
        <v>A.H. Certificate Small Animals</v>
      </c>
      <c r="V4" s="105" t="str">
        <f>'Form responses'!Y1</f>
        <v>A.H. Certificate Large Animals</v>
      </c>
      <c r="W4" s="105" t="str">
        <f>'Form responses'!Z1</f>
        <v>Post Mortem Small Animals</v>
      </c>
      <c r="X4" s="105" t="str">
        <f>'Form responses'!AA1</f>
        <v>Post Mortem Large Animals</v>
      </c>
      <c r="Y4" s="105" t="str">
        <f>'Form responses'!AB1</f>
        <v>Post Mortem Vetro Legal</v>
      </c>
      <c r="Z4" s="105" t="str">
        <f>'Form responses'!AC1</f>
        <v>PM poultry</v>
      </c>
      <c r="AA4" s="105" t="str">
        <f>'Form responses'!AD1</f>
        <v>PM Dogs Vetro legal</v>
      </c>
    </row>
    <row r="5" ht="24.75" customHeight="1">
      <c r="A5" s="108"/>
      <c r="B5" s="109">
        <f>sumifs('Form responses'!I2:I63,'Form responses'!$C$2:$C63,"&gt;="&amp;$N$1,'Form responses'!$C$2:$C63,"&lt;="&amp;$Q$1,'Form responses'!$D$2:$D63,$J$1)</f>
        <v>0</v>
      </c>
      <c r="C5" s="109">
        <f>sumifs('Form responses'!J2:J63,'Form responses'!$C$2:$C63,"&gt;="&amp;$N$1,'Form responses'!$C$2:$C63,"&lt;="&amp;$Q$1,'Form responses'!$D$2:$D63,$J$1)</f>
        <v>40</v>
      </c>
      <c r="D5" s="110">
        <f>sumifs('Form responses'!K2:K63,'Form responses'!$C$2:$C63,"&gt;="&amp;$N$1,'Form responses'!$C$2:$C63,"&lt;="&amp;$Q$1,'Form responses'!$D$2:$D63,$J$1)</f>
        <v>0</v>
      </c>
      <c r="E5" s="111">
        <f t="shared" ref="E5:E6" si="1">SUM(B5:D5)</f>
        <v>40</v>
      </c>
      <c r="F5" s="112">
        <f>sumifs('Form responses'!L2:L63,'Form responses'!$C$2:$C63,"&gt;="&amp;$N$1,'Form responses'!$C$2:$C63,"&lt;="&amp;$Q$1,'Form responses'!$D$2:$D63,$J$1)</f>
        <v>0</v>
      </c>
      <c r="G5" s="113">
        <f>sumifs('Form responses'!M2:M63,'Form responses'!$C$2:$C63,"&gt;="&amp;$N$1,'Form responses'!$C$2:$C63,"&lt;="&amp;$Q$1,'Form responses'!$D$2:$D63,$J$1)</f>
        <v>0</v>
      </c>
      <c r="H5" s="109">
        <f>sumifs('Form responses'!N2:N63,'Form responses'!$C$2:$C63,"&gt;="&amp;$N$1,'Form responses'!$C$2:$C63,"&lt;="&amp;$Q$1,'Form responses'!$D$2:$D63,$J$1)</f>
        <v>40</v>
      </c>
      <c r="I5" s="109">
        <f>sumifs('Form responses'!O2:O63,'Form responses'!$C$2:$C63,"&gt;="&amp;$N$1,'Form responses'!$C$2:$C63,"&lt;="&amp;$Q$1,'Form responses'!$D$2:$D63,$J$1)</f>
        <v>0</v>
      </c>
      <c r="J5" s="109">
        <f>sumifs('Form responses'!P2:P63,'Form responses'!$C$2:$C63,"&gt;="&amp;$N$1,'Form responses'!$C$2:$C63,"&lt;="&amp;$Q$1,'Form responses'!$D$2:$D63,$J$1)</f>
        <v>0</v>
      </c>
      <c r="K5" s="109">
        <f>sumifs('Form responses'!Q2:Q63,'Form responses'!$C$2:$C63,"&gt;="&amp;$N$1,'Form responses'!$C$2:$C63,"&lt;="&amp;$Q$1,'Form responses'!$D$2:$D63,$J$1)</f>
        <v>0</v>
      </c>
      <c r="L5" s="109">
        <f>sumifs('Form responses'!R2:R63,'Form responses'!$C$2:$C63,"&gt;="&amp;$N$1,'Form responses'!$C$2:$C63,"&lt;="&amp;$Q$1,'Form responses'!$D$2:$D63,$J$1)</f>
        <v>0</v>
      </c>
      <c r="M5" s="109">
        <f>sumifs('Form responses'!S2:S63,'Form responses'!$C$2:$C63,"&gt;="&amp;$N$1,'Form responses'!$C$2:$C63,"&lt;="&amp;$Q$1,'Form responses'!$D$2:$D63,$J$1)</f>
        <v>0</v>
      </c>
      <c r="N5" s="109">
        <f>sumifs('Form responses'!T2:T63,'Form responses'!$C$2:$C63,"&gt;="&amp;$N$1,'Form responses'!$C$2:$C63,"&lt;="&amp;$Q$1,'Form responses'!$D$2:$D63,$J$1)</f>
        <v>0</v>
      </c>
      <c r="O5" s="109">
        <f t="shared" ref="O5:O6" si="2">E5+F5+M5+N5</f>
        <v>40</v>
      </c>
      <c r="P5" s="109">
        <f t="shared" ref="P5:P6" si="3">G5+H5+I5+J5</f>
        <v>40</v>
      </c>
      <c r="Q5" s="108"/>
      <c r="R5" s="114">
        <f>sumifs('Form responses'!U$2:U63,'Form responses'!$C$2:$C63,"&gt;="&amp;$N$1,'Form responses'!$C$2:$C63,"&lt;="&amp;$Q$1,'Form responses'!$D$2:$D63,$J$1)</f>
        <v>0</v>
      </c>
      <c r="S5" s="114">
        <f>sumifs('Form responses'!V$2:V63,'Form responses'!$C$2:$C63,"&gt;="&amp;$N$1,'Form responses'!$C$2:$C63,"&lt;="&amp;$Q$1,'Form responses'!$D$2:$D63,$J$1)</f>
        <v>0</v>
      </c>
      <c r="T5" s="114">
        <f>sumifs('Form responses'!W$2:W63,'Form responses'!$C$2:$C63,"&gt;="&amp;$N$1,'Form responses'!$C$2:$C63,"&lt;="&amp;$Q$1,'Form responses'!$D$2:$D63,$J$1)</f>
        <v>0</v>
      </c>
      <c r="U5" s="114">
        <f>sumifs('Form responses'!X$2:X63,'Form responses'!$C$2:$C63,"&gt;="&amp;$N$1,'Form responses'!$C$2:$C63,"&lt;="&amp;$Q$1,'Form responses'!$D$2:$D63,$J$1)</f>
        <v>0</v>
      </c>
      <c r="V5" s="114">
        <f>sumifs('Form responses'!Y$2:Y63,'Form responses'!$C$2:$C63,"&gt;="&amp;$N$1,'Form responses'!$C$2:$C63,"&lt;="&amp;$Q$1,'Form responses'!$D$2:$D63,$J$1)</f>
        <v>0</v>
      </c>
      <c r="W5" s="114">
        <f>sumifs('Form responses'!Z$2:Z63,'Form responses'!$C$2:$C63,"&gt;="&amp;$N$1,'Form responses'!$C$2:$C63,"&lt;="&amp;$Q$1,'Form responses'!$D$2:$D63,$J$1)</f>
        <v>0</v>
      </c>
      <c r="X5" s="114">
        <f>sumifs('Form responses'!AA$2:AA63,'Form responses'!$C$2:$C63,"&gt;="&amp;$N$1,'Form responses'!$C$2:$C63,"&lt;="&amp;$Q$1,'Form responses'!$D$2:$D63,$J$1)</f>
        <v>0</v>
      </c>
      <c r="Y5" s="114">
        <f>sumifs('Form responses'!AB$2:AB63,'Form responses'!$C$2:$C63,"&gt;="&amp;$N$1,'Form responses'!$C$2:$C63,"&lt;="&amp;$Q$1,'Form responses'!$D$2:$D63,$J$1)</f>
        <v>0</v>
      </c>
      <c r="Z5" s="114">
        <f>sumifs('Form responses'!AC$2:AC63,'Form responses'!$C$2:$C63,"&gt;="&amp;$N$1,'Form responses'!$C$2:$C63,"&lt;="&amp;$Q$1,'Form responses'!$D$2:$D63,$J$1)</f>
        <v>0</v>
      </c>
      <c r="AA5" s="114">
        <f>sumifs('Form responses'!AD$2:AD63,'Form responses'!$C$2:$C63,"&gt;="&amp;$N$1,'Form responses'!$C$2:$C63,"&lt;="&amp;$Q$1,'Form responses'!$D$2:$D63,$J$1)</f>
        <v>0</v>
      </c>
    </row>
    <row r="6" ht="24.75" customHeight="1">
      <c r="A6" s="108"/>
      <c r="B6" s="109">
        <f>sumifs('Form responses'!I2:I63,'Form responses'!$C$2:$C63,"&lt;="&amp;$Q$1,'Form responses'!$C$2:$C63,"&gt;="&amp;Date(YEAR(DATE(YEAR($N$1),MONTH($N$1)+(-3),1)),4,1),'Form responses'!$D$2:$D63,$J$1)</f>
        <v>0</v>
      </c>
      <c r="C6" s="109">
        <f>sumifs('Form responses'!J2:J63,'Form responses'!$C$2:$C63,"&lt;="&amp;$Q$1,'Form responses'!$C$2:$C63,"&gt;="&amp;Date(YEAR(DATE(YEAR($N$1),MONTH($N$1)+(-3),1)),4,1),'Form responses'!$D$2:$D63,$J$1)</f>
        <v>40</v>
      </c>
      <c r="D6" s="110">
        <f>sumifs('Form responses'!K2:K63,'Form responses'!$C$2:$C63,"&lt;="&amp;$Q$1,'Form responses'!$C$2:$C63,"&gt;="&amp;Date(YEAR(DATE(YEAR($N$1),MONTH($N$1)+(-3),1)),4,1),'Form responses'!$D$2:$D63,$J$1)</f>
        <v>0</v>
      </c>
      <c r="E6" s="115">
        <f t="shared" si="1"/>
        <v>40</v>
      </c>
      <c r="F6" s="116">
        <f>sumifs('Form responses'!L2:L63,'Form responses'!$C$2:$C63,"&lt;="&amp;$Q$1,'Form responses'!$C$2:$C63,"&gt;="&amp;Date(YEAR(DATE(YEAR($N$1),MONTH($N$1)+(-3),1)),4,1),'Form responses'!$D$2:$D63,$J$1)</f>
        <v>0</v>
      </c>
      <c r="G6" s="113">
        <f>sumifs('Form responses'!M2:M63,'Form responses'!$C$2:$C63,"&lt;="&amp;$Q$1,'Form responses'!$C$2:$C63,"&gt;="&amp;Date(YEAR(DATE(YEAR($N$1),MONTH($N$1)+(-3),1)),4,1),'Form responses'!$D$2:$D63,$J$1)</f>
        <v>0</v>
      </c>
      <c r="H6" s="109">
        <f>sumifs('Form responses'!N2:N63,'Form responses'!$C$2:$C63,"&lt;="&amp;$Q$1,'Form responses'!$C$2:$C63,"&gt;="&amp;Date(YEAR(DATE(YEAR($N$1),MONTH($N$1)+(-3),1)),4,1),'Form responses'!$D$2:$D63,$J$1)</f>
        <v>40</v>
      </c>
      <c r="I6" s="109">
        <f>sumifs('Form responses'!O2:O63,'Form responses'!$C$2:$C63,"&lt;="&amp;$Q$1,'Form responses'!$C$2:$C63,"&gt;="&amp;Date(YEAR(DATE(YEAR($N$1),MONTH($N$1)+(-3),1)),4,1),'Form responses'!$D$2:$D63,$J$1)</f>
        <v>0</v>
      </c>
      <c r="J6" s="109">
        <f>sumifs('Form responses'!P2:P63,'Form responses'!$C$2:$C63,"&lt;="&amp;$Q$1,'Form responses'!$C$2:$C63,"&gt;="&amp;Date(YEAR(DATE(YEAR($N$1),MONTH($N$1)+(-3),1)),4,1),'Form responses'!$D$2:$D63,$J$1)</f>
        <v>0</v>
      </c>
      <c r="K6" s="109">
        <f>sumifs('Form responses'!Q2:Q63,'Form responses'!$C$2:$C63,"&lt;="&amp;$Q$1,'Form responses'!$C$2:$C63,"&gt;="&amp;Date(YEAR(DATE(YEAR($N$1),MONTH($N$1)+(-3),1)),4,1),'Form responses'!$D$2:$D63,$J$1)</f>
        <v>0</v>
      </c>
      <c r="L6" s="109">
        <f>sumifs('Form responses'!R2:R63,'Form responses'!$C$2:$C63,"&lt;="&amp;$Q$1,'Form responses'!$C$2:$C63,"&gt;="&amp;Date(YEAR(DATE(YEAR($N$1),MONTH($N$1)+(-3),1)),4,1),'Form responses'!$D$2:$D63,$J$1)</f>
        <v>0</v>
      </c>
      <c r="M6" s="109">
        <f>sumifs('Form responses'!S2:S63,'Form responses'!$C$2:$C63,"&lt;="&amp;$Q$1,'Form responses'!$C$2:$C63,"&gt;="&amp;Date(YEAR(DATE(YEAR($N$1),MONTH($N$1)+(-3),1)),4,1),'Form responses'!$D$2:$D63,$J$1)</f>
        <v>0</v>
      </c>
      <c r="N6" s="109">
        <f>sumifs('Form responses'!T2:T63,'Form responses'!$C$2:$C63,"&lt;="&amp;$Q$1,'Form responses'!$C$2:$C63,"&gt;="&amp;Date(YEAR(DATE(YEAR($N$1),MONTH($N$1)+(-3),1)),4,1),'Form responses'!$D$2:$D63,$J$1)</f>
        <v>0</v>
      </c>
      <c r="O6" s="109">
        <f t="shared" si="2"/>
        <v>40</v>
      </c>
      <c r="P6" s="109">
        <f t="shared" si="3"/>
        <v>40</v>
      </c>
      <c r="Q6" s="108"/>
      <c r="R6" s="114">
        <f>sumifs('Form responses'!U$2:U63,'Form responses'!$C$2:$C63,"&gt;="&amp;Date(YEAR(DATE(YEAR($Q$1),MONTH($Q$1)+(-3),1)),4,1),'Form responses'!$C$2:$C63,"&lt;="&amp;$Q$1,'Form responses'!$D$2:$D63,$J$1)</f>
        <v>0</v>
      </c>
      <c r="S6" s="114">
        <f>sumifs('Form responses'!V$2:V63,'Form responses'!$C$2:$C63,"&gt;="&amp;Date(YEAR(DATE(YEAR($Q$1),MONTH($Q$1)+(-3),1)),4,1),'Form responses'!$C$2:$C63,"&lt;="&amp;$Q$1,'Form responses'!$D$2:$D63,$J$1)</f>
        <v>0</v>
      </c>
      <c r="T6" s="114">
        <f>sumifs('Form responses'!W$2:W63,'Form responses'!$C$2:$C63,"&gt;="&amp;Date(YEAR(DATE(YEAR($Q$1),MONTH($Q$1)+(-3),1)),4,1),'Form responses'!$C$2:$C63,"&lt;="&amp;$Q$1,'Form responses'!$D$2:$D63,$J$1)</f>
        <v>0</v>
      </c>
      <c r="U6" s="114">
        <f>sumifs('Form responses'!X$2:X63,'Form responses'!$C$2:$C63,"&gt;="&amp;Date(YEAR(DATE(YEAR($Q$1),MONTH($Q$1)+(-3),1)),4,1),'Form responses'!$C$2:$C63,"&lt;="&amp;$Q$1,'Form responses'!$D$2:$D63,$J$1)</f>
        <v>0</v>
      </c>
      <c r="V6" s="114">
        <f>sumifs('Form responses'!Y$2:Y63,'Form responses'!$C$2:$C63,"&gt;="&amp;Date(YEAR(DATE(YEAR($Q$1),MONTH($Q$1)+(-3),1)),4,1),'Form responses'!$C$2:$C63,"&lt;="&amp;$Q$1,'Form responses'!$D$2:$D63,$J$1)</f>
        <v>0</v>
      </c>
      <c r="W6" s="114">
        <f>sumifs('Form responses'!Z$2:Z63,'Form responses'!$C$2:$C63,"&gt;="&amp;Date(YEAR(DATE(YEAR($Q$1),MONTH($Q$1)+(-3),1)),4,1),'Form responses'!$C$2:$C63,"&lt;="&amp;$Q$1,'Form responses'!$D$2:$D63,$J$1)</f>
        <v>0</v>
      </c>
      <c r="X6" s="114">
        <f>sumifs('Form responses'!AA$2:AA63,'Form responses'!$C$2:$C63,"&gt;="&amp;Date(YEAR(DATE(YEAR($Q$1),MONTH($Q$1)+(-3),1)),4,1),'Form responses'!$C$2:$C63,"&lt;="&amp;$Q$1,'Form responses'!$D$2:$D63,$J$1)</f>
        <v>0</v>
      </c>
      <c r="Y6" s="114">
        <f>sumifs('Form responses'!AB$2:AB63,'Form responses'!$C$2:$C63,"&gt;="&amp;Date(YEAR(DATE(YEAR($Q$1),MONTH($Q$1)+(-3),1)),4,1),'Form responses'!$C$2:$C63,"&lt;="&amp;$Q$1,'Form responses'!$D$2:$D63,$J$1)</f>
        <v>0</v>
      </c>
      <c r="Z6" s="114">
        <f>sumifs('Form responses'!AC$2:AC63,'Form responses'!$C$2:$C63,"&gt;="&amp;Date(YEAR(DATE(YEAR($Q$1),MONTH($Q$1)+(-3),1)),4,1),'Form responses'!$C$2:$C63,"&lt;="&amp;$Q$1,'Form responses'!$D$2:$D63,$J$1)</f>
        <v>0</v>
      </c>
      <c r="AA6" s="114">
        <f>sumifs('Form responses'!AD$2:AD63,'Form responses'!$C$2:$C63,"&gt;="&amp;Date(YEAR(DATE(YEAR($Q$1),MONTH($Q$1)+(-3),1)),4,1),'Form responses'!$C$2:$C63,"&lt;="&amp;$Q$1,'Form responses'!$D$2:$D63,$J$1)</f>
        <v>0</v>
      </c>
    </row>
    <row r="7" ht="21.0" customHeight="1">
      <c r="A7" s="117"/>
      <c r="B7" s="118" t="s">
        <v>514</v>
      </c>
      <c r="C7" s="118"/>
      <c r="D7" s="118"/>
      <c r="E7" s="118"/>
      <c r="F7" s="118"/>
      <c r="G7" s="119"/>
      <c r="H7" s="102"/>
      <c r="I7" s="102"/>
      <c r="J7" s="102"/>
      <c r="K7" s="102"/>
      <c r="L7" s="102"/>
      <c r="M7" s="102"/>
      <c r="N7" s="102"/>
      <c r="O7" s="102"/>
      <c r="P7" s="102"/>
      <c r="Q7" s="102"/>
      <c r="R7" s="102"/>
      <c r="S7" s="102"/>
      <c r="T7" s="102"/>
      <c r="U7" s="102"/>
      <c r="V7" s="119"/>
      <c r="W7" s="119"/>
      <c r="X7" s="119"/>
      <c r="Y7" s="119"/>
      <c r="Z7" s="119"/>
      <c r="AA7" s="119"/>
    </row>
    <row r="8" ht="51.75" customHeight="1">
      <c r="A8" s="120"/>
      <c r="B8" s="104" t="str">
        <f>'Form responses'!AE1</f>
        <v>H.S. Vaccine Doses Received </v>
      </c>
      <c r="C8" s="104" t="str">
        <f>'Form responses'!AF1</f>
        <v>H.S. Vaccine Doses Used</v>
      </c>
      <c r="D8" s="104" t="str">
        <f>'Form responses'!AG1</f>
        <v>H.S. Vaccine Animal Vaccinated </v>
      </c>
      <c r="E8" s="104" t="str">
        <f>'Form responses'!AH1</f>
        <v>FMD. Vaccine Doses Received </v>
      </c>
      <c r="F8" s="104" t="str">
        <f>'Form responses'!AI1</f>
        <v>FMD. Vaccine Doses Used</v>
      </c>
      <c r="G8" s="104" t="str">
        <f>'Form responses'!AJ1</f>
        <v>FMD. Vaccine Animal Vaccinated </v>
      </c>
      <c r="H8" s="104" t="str">
        <f>'Form responses'!AK1</f>
        <v>Black Quarter Doses Received </v>
      </c>
      <c r="I8" s="104" t="str">
        <f>'Form responses'!AL1</f>
        <v>Black Quarter Doses Used</v>
      </c>
      <c r="J8" s="104" t="str">
        <f>'Form responses'!AM1</f>
        <v>Black Quarter Animal Vaccinated </v>
      </c>
      <c r="K8" s="104" t="str">
        <f>'Form responses'!AN1</f>
        <v>Brucellosis Vaccine Doses Received </v>
      </c>
      <c r="L8" s="104" t="str">
        <f>'Form responses'!AO1</f>
        <v>Brucellosis Vaccine Doses Used</v>
      </c>
      <c r="M8" s="104" t="str">
        <f>'Form responses'!AP1</f>
        <v>Brucellosis Vaccine Animal Vaccinated </v>
      </c>
      <c r="N8" s="104" t="str">
        <f>'Form responses'!AQ1</f>
        <v>Entero Toximia Vaccine Doses Received </v>
      </c>
      <c r="O8" s="104" t="str">
        <f>'Form responses'!AR1</f>
        <v>Entero Toximia Vaccine Doses Used</v>
      </c>
      <c r="P8" s="104" t="str">
        <f>'Form responses'!AS1</f>
        <v>Entero Toximia Vaccine Animals Vaccinated</v>
      </c>
      <c r="Q8" s="106" t="str">
        <f>'Form responses'!AT1</f>
        <v>Swine Fever Vaccine Doses Received </v>
      </c>
      <c r="R8" s="104" t="str">
        <f>'Form responses'!AU1</f>
        <v>Swine Fever Vaccine Doses Used</v>
      </c>
      <c r="S8" s="104" t="str">
        <f>'Form responses'!AV1</f>
        <v>Swine Fever Vaccine Animal Vaccinated</v>
      </c>
      <c r="T8" s="104" t="str">
        <f>'Form responses'!AW1</f>
        <v>Goat Pox Vaccine Doses Received </v>
      </c>
      <c r="U8" s="104" t="str">
        <f>'Form responses'!AX1</f>
        <v>Goat Pox Vaccine Doses Used</v>
      </c>
      <c r="V8" s="104" t="str">
        <f>'Form responses'!AY1</f>
        <v>Goat Pox Vaccine Animal Vaccinated </v>
      </c>
      <c r="W8" s="104" t="str">
        <f>'Form responses'!AZ1</f>
        <v>PPR Doses Received</v>
      </c>
      <c r="X8" s="104" t="str">
        <f>'Form responses'!BA1</f>
        <v>PPR Doses Used</v>
      </c>
      <c r="Y8" s="104" t="str">
        <f>'Form responses'!BB1</f>
        <v>PPR Animal Cover</v>
      </c>
      <c r="Z8" s="104" t="str">
        <f>'Form responses'!BC1</f>
        <v>Rabies Doses Received</v>
      </c>
      <c r="AA8" s="104" t="str">
        <f>'Form responses'!BD1</f>
        <v>Rabies Doses Used</v>
      </c>
    </row>
    <row r="9" ht="24.75" customHeight="1">
      <c r="A9" s="121"/>
      <c r="B9" s="109">
        <f>sumifs('Form responses'!AE$2:AE63,'Form responses'!$C$2:$C63,"&gt;="&amp;$N$1,'Form responses'!$C$2:$C63,"&lt;="&amp;$Q$1,'Form responses'!$D$2:$D63,$J$1)</f>
        <v>0</v>
      </c>
      <c r="C9" s="109">
        <f>sumifs('Form responses'!AF$2:AF63,'Form responses'!$C$2:$C63,"&gt;="&amp;$N$1,'Form responses'!$C$2:$C63,"&lt;="&amp;$Q$1,'Form responses'!$D$2:$D63,$J$1)</f>
        <v>0</v>
      </c>
      <c r="D9" s="109">
        <f>sumifs('Form responses'!AG$2:AG63,'Form responses'!$C$2:$C63,"&gt;="&amp;$N$1,'Form responses'!$C$2:$C63,"&lt;="&amp;$Q$1,'Form responses'!$D$2:$D63,$J$1)</f>
        <v>0</v>
      </c>
      <c r="E9" s="109">
        <f>sumifs('Form responses'!AH$2:AH63,'Form responses'!$C$2:$C63,"&gt;="&amp;$N$1,'Form responses'!$C$2:$C63,"&lt;="&amp;$Q$1,'Form responses'!$D$2:$D63,$J$1)</f>
        <v>0</v>
      </c>
      <c r="F9" s="109">
        <f>sumifs('Form responses'!AI$2:AI63,'Form responses'!$C$2:$C63,"&gt;="&amp;$N$1,'Form responses'!$C$2:$C63,"&lt;="&amp;$Q$1,'Form responses'!$D$2:$D63,$J$1)</f>
        <v>1300</v>
      </c>
      <c r="G9" s="109">
        <f>sumifs('Form responses'!AJ$2:AJ63,'Form responses'!$C$2:$C63,"&gt;="&amp;$N$1,'Form responses'!$C$2:$C63,"&lt;="&amp;$Q$1,'Form responses'!$D$2:$D63,$J$1)</f>
        <v>1300</v>
      </c>
      <c r="H9" s="109">
        <f>sumifs('Form responses'!AK$2:AK63,'Form responses'!$C$2:$C63,"&gt;="&amp;$N$1,'Form responses'!$C$2:$C63,"&lt;="&amp;$Q$1,'Form responses'!$D$2:$D63,$J$1)</f>
        <v>50</v>
      </c>
      <c r="I9" s="109">
        <f>sumifs('Form responses'!AL$2:AL63,'Form responses'!$C$2:$C63,"&gt;="&amp;$N$1,'Form responses'!$C$2:$C63,"&lt;="&amp;$Q$1,'Form responses'!$D$2:$D63,$J$1)</f>
        <v>50</v>
      </c>
      <c r="J9" s="109">
        <f>sumifs('Form responses'!AM$2:AM63,'Form responses'!$C$2:$C63,"&gt;="&amp;$N$1,'Form responses'!$C$2:$C63,"&lt;="&amp;$Q$1,'Form responses'!$D$2:$D63,$J$1)</f>
        <v>50</v>
      </c>
      <c r="K9" s="109">
        <f>sumifs('Form responses'!AN$2:AN63,'Form responses'!$C$2:$C63,"&gt;="&amp;$N$1,'Form responses'!$C$2:$C63,"&lt;="&amp;$Q$1,'Form responses'!$D$2:$D63,$J$1)</f>
        <v>0</v>
      </c>
      <c r="L9" s="109">
        <f>sumifs('Form responses'!AO$2:AO63,'Form responses'!$C$2:$C63,"&gt;="&amp;$N$1,'Form responses'!$C$2:$C63,"&lt;="&amp;$Q$1,'Form responses'!$D$2:$D63,$J$1)</f>
        <v>0</v>
      </c>
      <c r="M9" s="109">
        <f>sumifs('Form responses'!AP$2:AP63,'Form responses'!$C$2:$C63,"&gt;="&amp;$N$1,'Form responses'!$C$2:$C63,"&lt;="&amp;$Q$1,'Form responses'!$D$2:$D63,$J$1)</f>
        <v>0</v>
      </c>
      <c r="N9" s="109">
        <f>sumifs('Form responses'!AQ$2:AQ63,'Form responses'!$C$2:$C63,"&gt;="&amp;$N$1,'Form responses'!$C$2:$C63,"&lt;="&amp;$Q$1,'Form responses'!$D$2:$D63,$J$1)</f>
        <v>400</v>
      </c>
      <c r="O9" s="109">
        <f>sumifs('Form responses'!AR$2:AR63,'Form responses'!$C$2:$C63,"&gt;="&amp;$N$1,'Form responses'!$C$2:$C63,"&lt;="&amp;$Q$1,'Form responses'!$D$2:$D63,$J$1)</f>
        <v>400</v>
      </c>
      <c r="P9" s="110">
        <f>sumifs('Form responses'!AS$2:AS63,'Form responses'!$C$2:$C63,"&gt;="&amp;$N$1,'Form responses'!$C$2:$C63,"&lt;="&amp;$Q$1,'Form responses'!$D$2:$D63,$J$1)</f>
        <v>400</v>
      </c>
      <c r="Q9" s="122">
        <f>sumifs('Form responses'!AT$2:AT63,'Form responses'!$C$2:$C63,"&gt;="&amp;$N$1,'Form responses'!$C$2:$C63,"&lt;="&amp;$Q$1,'Form responses'!$D$2:$D63,$J$1)</f>
        <v>0</v>
      </c>
      <c r="R9" s="113">
        <f>sumifs('Form responses'!AU$2:AU63,'Form responses'!$C$2:$C63,"&gt;="&amp;$N$1,'Form responses'!$C$2:$C63,"&lt;="&amp;$Q$1,'Form responses'!$D$2:$D63,$J$1)</f>
        <v>0</v>
      </c>
      <c r="S9" s="109">
        <f>sumifs('Form responses'!AV$2:AV63,'Form responses'!$C$2:$C63,"&gt;="&amp;$N$1,'Form responses'!$C$2:$C63,"&lt;="&amp;$Q$1,'Form responses'!$D$2:$D63,$J$1)</f>
        <v>0</v>
      </c>
      <c r="T9" s="109">
        <f>sumifs('Form responses'!AW$2:AW63,'Form responses'!$C$2:$C63,"&gt;="&amp;$N$1,'Form responses'!$C$2:$C63,"&lt;="&amp;$Q$1,'Form responses'!$D$2:$D63,$J$1)</f>
        <v>0</v>
      </c>
      <c r="U9" s="109">
        <f>sumifs('Form responses'!AX$2:AX63,'Form responses'!$C$2:$C63,"&gt;="&amp;$N$1,'Form responses'!$C$2:$C63,"&lt;="&amp;$Q$1,'Form responses'!$D$2:$D63,$J$1)</f>
        <v>0</v>
      </c>
      <c r="V9" s="109">
        <f>sumifs('Form responses'!AY$2:AY63,'Form responses'!$C$2:$C63,"&gt;="&amp;$N$1,'Form responses'!$C$2:$C63,"&lt;="&amp;$Q$1,'Form responses'!$D$2:$D63,$J$1)</f>
        <v>0</v>
      </c>
      <c r="W9" s="109">
        <f>sumifs('Form responses'!AZ$2:AZ63,'Form responses'!$C$2:$C63,"&gt;="&amp;$N$1,'Form responses'!$C$2:$C63,"&lt;="&amp;$Q$1,'Form responses'!$D$2:$D63,$J$1)</f>
        <v>0</v>
      </c>
      <c r="X9" s="109">
        <f>sumifs('Form responses'!BA$2:BA63,'Form responses'!$C$2:$C63,"&gt;="&amp;$N$1,'Form responses'!$C$2:$C63,"&lt;="&amp;$Q$1,'Form responses'!$D$2:$D63,$J$1)</f>
        <v>0</v>
      </c>
      <c r="Y9" s="109">
        <f>sumifs('Form responses'!BB$2:BB63,'Form responses'!$C$2:$C63,"&gt;="&amp;$N$1,'Form responses'!$C$2:$C63,"&lt;="&amp;$Q$1,'Form responses'!$D$2:$D63,$J$1)</f>
        <v>0</v>
      </c>
      <c r="Z9" s="109">
        <f>sumifs('Form responses'!BC$2:BC63,'Form responses'!$C$2:$C63,"&gt;="&amp;$N$1,'Form responses'!$C$2:$C63,"&lt;="&amp;$Q$1,'Form responses'!$D$2:$D63,$J$1)</f>
        <v>0</v>
      </c>
      <c r="AA9" s="109">
        <f>sumifs('Form responses'!BD$2:BD63,'Form responses'!$C$2:$C63,"&gt;="&amp;$N$1,'Form responses'!$C$2:$C63,"&lt;="&amp;$Q$1,'Form responses'!$D$2:$D63,$J$1)</f>
        <v>0</v>
      </c>
    </row>
    <row r="10" ht="24.75" customHeight="1">
      <c r="A10" s="121"/>
      <c r="B10" s="109">
        <f>sumifs('Form responses'!AE$2:AE63,'Form responses'!$C$2:$C63,"&gt;="&amp;Date(YEAR(DATE(YEAR($Q$1),MONTH($Q$1)+(-3),1)),4,1),'Form responses'!$C$2:$C63,"&lt;="&amp;$Q$1,'Form responses'!$D$2:$D63,$J$1)</f>
        <v>0</v>
      </c>
      <c r="C10" s="109">
        <f>sumifs('Form responses'!AF$2:AF63,'Form responses'!$C$2:$C63,"&gt;="&amp;Date(YEAR(DATE(YEAR($Q$1),MONTH($Q$1)+(-3),1)),4,1),'Form responses'!$C$2:$C63,"&lt;="&amp;$Q$1,'Form responses'!$D$2:$D63,$J$1)</f>
        <v>0</v>
      </c>
      <c r="D10" s="109">
        <f>sumifs('Form responses'!AG$2:AG63,'Form responses'!$C$2:$C63,"&gt;="&amp;Date(YEAR(DATE(YEAR($Q$1),MONTH($Q$1)+(-3),1)),4,1),'Form responses'!$C$2:$C63,"&lt;="&amp;$Q$1,'Form responses'!$D$2:$D63,$J$1)</f>
        <v>0</v>
      </c>
      <c r="E10" s="109">
        <f>sumifs('Form responses'!AH$2:AH63,'Form responses'!$C$2:$C63,"&gt;="&amp;Date(YEAR(DATE(YEAR($Q$1),MONTH($Q$1)+(-3),1)),4,1),'Form responses'!$C$2:$C63,"&lt;="&amp;$Q$1,'Form responses'!$D$2:$D63,$J$1)</f>
        <v>0</v>
      </c>
      <c r="F10" s="109">
        <f>sumifs('Form responses'!AI$2:AI63,'Form responses'!$C$2:$C63,"&gt;="&amp;Date(YEAR(DATE(YEAR($Q$1),MONTH($Q$1)+(-3),1)),4,1),'Form responses'!$C$2:$C63,"&lt;="&amp;$Q$1,'Form responses'!$D$2:$D63,$J$1)</f>
        <v>1300</v>
      </c>
      <c r="G10" s="109">
        <f>sumifs('Form responses'!AJ$2:AJ63,'Form responses'!$C$2:$C63,"&gt;="&amp;Date(YEAR(DATE(YEAR($Q$1),MONTH($Q$1)+(-3),1)),4,1),'Form responses'!$C$2:$C63,"&lt;="&amp;$Q$1,'Form responses'!$D$2:$D63,$J$1)</f>
        <v>1300</v>
      </c>
      <c r="H10" s="109">
        <f>sumifs('Form responses'!AK$2:AK63,'Form responses'!$C$2:$C63,"&gt;="&amp;Date(YEAR(DATE(YEAR($Q$1),MONTH($Q$1)+(-3),1)),4,1),'Form responses'!$C$2:$C63,"&lt;="&amp;$Q$1,'Form responses'!$D$2:$D63,$J$1)</f>
        <v>50</v>
      </c>
      <c r="I10" s="109">
        <f>sumifs('Form responses'!AL$2:AL63,'Form responses'!$C$2:$C63,"&gt;="&amp;Date(YEAR(DATE(YEAR($Q$1),MONTH($Q$1)+(-3),1)),4,1),'Form responses'!$C$2:$C63,"&lt;="&amp;$Q$1,'Form responses'!$D$2:$D63,$J$1)</f>
        <v>50</v>
      </c>
      <c r="J10" s="109">
        <f>sumifs('Form responses'!AM$2:AM63,'Form responses'!$C$2:$C63,"&gt;="&amp;Date(YEAR(DATE(YEAR($Q$1),MONTH($Q$1)+(-3),1)),4,1),'Form responses'!$C$2:$C63,"&lt;="&amp;$Q$1,'Form responses'!$D$2:$D63,$J$1)</f>
        <v>50</v>
      </c>
      <c r="K10" s="109">
        <f>sumifs('Form responses'!AN$2:AN63,'Form responses'!$C$2:$C63,"&gt;="&amp;Date(YEAR(DATE(YEAR($Q$1),MONTH($Q$1)+(-3),1)),4,1),'Form responses'!$C$2:$C63,"&lt;="&amp;$Q$1,'Form responses'!$D$2:$D63,$J$1)</f>
        <v>0</v>
      </c>
      <c r="L10" s="109">
        <f>sumifs('Form responses'!AO$2:AO63,'Form responses'!$C$2:$C63,"&gt;="&amp;Date(YEAR(DATE(YEAR($Q$1),MONTH($Q$1)+(-3),1)),4,1),'Form responses'!$C$2:$C63,"&lt;="&amp;$Q$1,'Form responses'!$D$2:$D63,$J$1)</f>
        <v>0</v>
      </c>
      <c r="M10" s="109">
        <f>sumifs('Form responses'!AP$2:AP63,'Form responses'!$C$2:$C63,"&gt;="&amp;Date(YEAR(DATE(YEAR($Q$1),MONTH($Q$1)+(-3),1)),4,1),'Form responses'!$C$2:$C63,"&lt;="&amp;$Q$1,'Form responses'!$D$2:$D63,$J$1)</f>
        <v>0</v>
      </c>
      <c r="N10" s="109">
        <f>sumifs('Form responses'!AQ$2:AQ63,'Form responses'!$C$2:$C63,"&gt;="&amp;Date(YEAR(DATE(YEAR($Q$1),MONTH($Q$1)+(-3),1)),4,1),'Form responses'!$C$2:$C63,"&lt;="&amp;$Q$1,'Form responses'!$D$2:$D63,$J$1)</f>
        <v>400</v>
      </c>
      <c r="O10" s="109">
        <f>sumifs('Form responses'!AR$2:AR63,'Form responses'!$C$2:$C63,"&gt;="&amp;Date(YEAR(DATE(YEAR($Q$1),MONTH($Q$1)+(-3),1)),4,1),'Form responses'!$C$2:$C63,"&lt;="&amp;$Q$1,'Form responses'!$D$2:$D63,$J$1)</f>
        <v>400</v>
      </c>
      <c r="P10" s="109">
        <f>sumifs('Form responses'!AS$2:AS63,'Form responses'!$C$2:$C63,"&gt;="&amp;Date(YEAR(DATE(YEAR($Q$1),MONTH($Q$1)+(-3),1)),4,1),'Form responses'!$C$2:$C63,"&lt;="&amp;$Q$1,'Form responses'!$D$2:$D63,$J$1)</f>
        <v>400</v>
      </c>
      <c r="Q10" s="123">
        <f>sumifs('Form responses'!AT$2:AT63,'Form responses'!$C$2:$C63,"&gt;="&amp;Date(YEAR(DATE(YEAR($Q$1),MONTH($Q$1)+(-3),1)),4,1),'Form responses'!$C$2:$C63,"&lt;="&amp;$Q$1,'Form responses'!$D$2:$D63,$J$1)</f>
        <v>0</v>
      </c>
      <c r="R10" s="109">
        <f>sumifs('Form responses'!AU$2:AU63,'Form responses'!$C$2:$C63,"&gt;="&amp;Date(YEAR(DATE(YEAR($Q$1),MONTH($Q$1)+(-3),1)),4,1),'Form responses'!$C$2:$C63,"&lt;="&amp;$Q$1,'Form responses'!$D$2:$D63,$J$1)</f>
        <v>0</v>
      </c>
      <c r="S10" s="109">
        <f>sumifs('Form responses'!AV$2:AV63,'Form responses'!$C$2:$C63,"&gt;="&amp;Date(YEAR(DATE(YEAR($Q$1),MONTH($Q$1)+(-3),1)),4,1),'Form responses'!$C$2:$C63,"&lt;="&amp;$Q$1,'Form responses'!$D$2:$D63,$J$1)</f>
        <v>0</v>
      </c>
      <c r="T10" s="109">
        <f>sumifs('Form responses'!AW$2:AW63,'Form responses'!$C$2:$C63,"&gt;="&amp;Date(YEAR(DATE(YEAR($Q$1),MONTH($Q$1)+(-3),1)),4,1),'Form responses'!$C$2:$C63,"&lt;="&amp;$Q$1,'Form responses'!$D$2:$D63,$J$1)</f>
        <v>0</v>
      </c>
      <c r="U10" s="109">
        <f>sumifs('Form responses'!AX$2:AX63,'Form responses'!$C$2:$C63,"&gt;="&amp;Date(YEAR(DATE(YEAR($Q$1),MONTH($Q$1)+(-3),1)),4,1),'Form responses'!$C$2:$C63,"&lt;="&amp;$Q$1,'Form responses'!$D$2:$D63,$J$1)</f>
        <v>0</v>
      </c>
      <c r="V10" s="109">
        <f>sumifs('Form responses'!AY$2:AY63,'Form responses'!$C$2:$C63,"&gt;="&amp;Date(YEAR(DATE(YEAR($Q$1),MONTH($Q$1)+(-3),1)),4,1),'Form responses'!$C$2:$C63,"&lt;="&amp;$Q$1,'Form responses'!$D$2:$D63,$J$1)</f>
        <v>0</v>
      </c>
      <c r="W10" s="109">
        <f>sumifs('Form responses'!AZ$2:AZ63,'Form responses'!$C$2:$C63,"&gt;="&amp;Date(YEAR(DATE(YEAR($Q$1),MONTH($Q$1)+(-3),1)),4,1),'Form responses'!$C$2:$C63,"&lt;="&amp;$Q$1,'Form responses'!$D$2:$D63,$J$1)</f>
        <v>0</v>
      </c>
      <c r="X10" s="109">
        <f>sumifs('Form responses'!BA$2:BA63,'Form responses'!$C$2:$C63,"&gt;="&amp;Date(YEAR(DATE(YEAR($Q$1),MONTH($Q$1)+(-3),1)),4,1),'Form responses'!$C$2:$C63,"&lt;="&amp;$Q$1,'Form responses'!$D$2:$D63,$J$1)</f>
        <v>0</v>
      </c>
      <c r="Y10" s="109">
        <f>sumifs('Form responses'!BB$2:BB63,'Form responses'!$C$2:$C63,"&gt;="&amp;Date(YEAR(DATE(YEAR($Q$1),MONTH($Q$1)+(-3),1)),4,1),'Form responses'!$C$2:$C63,"&lt;="&amp;$Q$1,'Form responses'!$D$2:$D63,$J$1)</f>
        <v>0</v>
      </c>
      <c r="Z10" s="109">
        <f>sumifs('Form responses'!BC$2:BC63,'Form responses'!$C$2:$C63,"&gt;="&amp;Date(YEAR(DATE(YEAR($Q$1),MONTH($Q$1)+(-3),1)),4,1),'Form responses'!$C$2:$C63,"&lt;="&amp;$Q$1,'Form responses'!$D$2:$D63,$J$1)</f>
        <v>0</v>
      </c>
      <c r="AA10" s="109">
        <f>sumifs('Form responses'!BD$2:BD63,'Form responses'!$C$2:$C63,"&gt;="&amp;Date(YEAR(DATE(YEAR($Q$1),MONTH($Q$1)+(-3),1)),4,1),'Form responses'!$C$2:$C63,"&lt;="&amp;$Q$1,'Form responses'!$D$2:$D63,$J$1)</f>
        <v>0</v>
      </c>
    </row>
    <row r="11" ht="23.25" customHeight="1">
      <c r="B11" s="124">
        <f>sumifs('Form responses'!AE2:AE63,
'Form responses'!$C$2:$C63,
"&lt;="&amp;$Q$1,
'Form responses'!$D$2:$D63,$J$1)-(sumifs('Form responses'!AF2:AF63,
'Form responses'!$C$2:$C63,
"&lt;="&amp;$Q$1,
'Form responses'!$D$2:$D63,$J$1))</f>
        <v>0</v>
      </c>
      <c r="C11" s="125"/>
      <c r="D11" s="126"/>
      <c r="E11" s="124">
        <f>sumifs('Form responses'!AH2:AH63,
'Form responses'!$C$2:$C63,
"&lt;="&amp;$Q$1,
'Form responses'!$D$2:$D63,$J$1)-(sumifs('Form responses'!AI2:AI63,
'Form responses'!$C$2:$C63,
"&lt;="&amp;$Q$1,
'Form responses'!$D$2:$D63,$J$1))</f>
        <v>3750</v>
      </c>
      <c r="F11" s="125"/>
      <c r="G11" s="126"/>
      <c r="H11" s="124">
        <f>sumifs('Form responses'!AK2:AK63,
'Form responses'!$C$2:$C63,
"&lt;="&amp;$Q$1,
'Form responses'!$D$2:$D63,$J$1)-(sumifs('Form responses'!AL2:AL63,
'Form responses'!$C$2:$C63,
"&lt;="&amp;$Q$1,
'Form responses'!$D$2:$D63,$J$1))</f>
        <v>0</v>
      </c>
      <c r="I11" s="125"/>
      <c r="J11" s="126"/>
      <c r="K11" s="124">
        <f>sumifs('Form responses'!AN2:AN63,
'Form responses'!$C$2:$C63,
"&lt;="&amp;$Q$1,
'Form responses'!$D$2:$D63,$J$1)-(sumifs('Form responses'!AO2:AO63,
'Form responses'!$C$2:$C63,
"&lt;="&amp;$Q$1,
'Form responses'!$D$2:$D63,$J$1))</f>
        <v>500</v>
      </c>
      <c r="L11" s="125"/>
      <c r="M11" s="126"/>
      <c r="N11" s="124">
        <f>sumifs('Form responses'!AQ2:AQ63,
'Form responses'!$C$2:$C63,
"&lt;="&amp;$Q$1,
'Form responses'!$D$2:$D63,$J$1)-(sumifs('Form responses'!AR2:AR63,
'Form responses'!$C$2:$C63,
"&lt;="&amp;$Q$1,
'Form responses'!$D$2:$D63,$J$1))</f>
        <v>0</v>
      </c>
      <c r="O11" s="125"/>
      <c r="P11" s="126"/>
      <c r="Q11" s="124">
        <f>sumifs('Form responses'!AT2:AT63,
'Form responses'!$C$2:$C63,
"&lt;="&amp;$Q$1,
'Form responses'!$D$2:$D63,$J$1)-(sumifs('Form responses'!AU2:AU63,
'Form responses'!$C$2:$C63,
"&lt;="&amp;$Q$1,
'Form responses'!$D$2:$D63,$J$1))</f>
        <v>0</v>
      </c>
      <c r="R11" s="125"/>
      <c r="S11" s="126"/>
      <c r="T11" s="124">
        <f>sumifs('Form responses'!AW2:AW63,
'Form responses'!$C$2:$C63,
"&lt;="&amp;$Q$1,
'Form responses'!$D$2:$D63,$J$1)-(sumifs('Form responses'!AX2:AX63,
'Form responses'!$C$2:$C63,
"&lt;="&amp;$Q$1,
'Form responses'!$D$2:$D63,$J$1))</f>
        <v>0</v>
      </c>
      <c r="U11" s="125"/>
      <c r="V11" s="126"/>
      <c r="W11" s="124">
        <f>sumifs('Form responses'!AZ2:AZ63,
'Form responses'!$C$2:$C63,
"&lt;="&amp;$Q$1,
'Form responses'!$D$2:$D63,$J$1)-(sumifs('Form responses'!BA2:BA63,
'Form responses'!$C$2:$C63,
"&lt;="&amp;$Q$1,
'Form responses'!$D$2:$D63,$J$1))</f>
        <v>0</v>
      </c>
      <c r="X11" s="125"/>
      <c r="Y11" s="126"/>
      <c r="Z11" s="124">
        <f>sumifs('Form responses'!BC2:BC63,
'Form responses'!$C$2:$C63,
"&lt;="&amp;$Q$1,
'Form responses'!$D$2:$D63,$J$1)-(sumifs('Form responses'!BD2:BD63,
'Form responses'!$C$2:$C63,
"&lt;="&amp;$Q$1,
'Form responses'!$D$2:$D63,$J$1))</f>
        <v>10</v>
      </c>
      <c r="AA11" s="126"/>
    </row>
    <row r="12" ht="25.5" customHeight="1">
      <c r="A12" s="117"/>
      <c r="B12" s="118" t="s">
        <v>515</v>
      </c>
      <c r="C12" s="127"/>
      <c r="D12" s="127"/>
      <c r="E12" s="127"/>
      <c r="F12" s="127"/>
      <c r="G12" s="127"/>
      <c r="H12" s="127"/>
      <c r="I12" s="128"/>
      <c r="J12" s="128"/>
      <c r="K12" s="128"/>
      <c r="L12" s="128"/>
      <c r="M12" s="128"/>
      <c r="N12" s="128"/>
      <c r="O12" s="128"/>
      <c r="P12" s="128"/>
      <c r="Q12" s="128"/>
      <c r="R12" s="128"/>
      <c r="T12" s="128"/>
      <c r="U12" s="129"/>
      <c r="V12" s="130"/>
      <c r="W12" s="131"/>
      <c r="X12" s="131"/>
      <c r="Y12" s="131"/>
      <c r="Z12" s="131"/>
      <c r="AA12" s="131"/>
    </row>
    <row r="13" ht="62.25" customHeight="1">
      <c r="A13" s="132"/>
      <c r="B13" s="104" t="str">
        <f>'Form responses'!BF1</f>
        <v>AI HF Straws</v>
      </c>
      <c r="C13" s="104" t="str">
        <f>'Form responses'!BG1</f>
        <v>Cover HF Straws</v>
      </c>
      <c r="D13" s="104" t="str">
        <f>'Form responses'!BH1</f>
        <v>AI Jersey Straws</v>
      </c>
      <c r="E13" s="104" t="str">
        <f>'Form responses'!BI1</f>
        <v>Cover Jersey Straws</v>
      </c>
      <c r="F13" s="104" t="str">
        <f>'Form responses'!BJ1</f>
        <v>AI Cross Breed Straws</v>
      </c>
      <c r="G13" s="104" t="str">
        <f>'Form responses'!BK1</f>
        <v>Cover Cross Breed Straws</v>
      </c>
      <c r="H13" s="104" t="str">
        <f>'Form responses'!BL1</f>
        <v>AI Sahiwal Straws</v>
      </c>
      <c r="I13" s="104" t="str">
        <f>'Form responses'!BM1</f>
        <v>Cover Sahiwal Straws</v>
      </c>
      <c r="J13" s="133" t="s">
        <v>516</v>
      </c>
      <c r="L13" s="104" t="str">
        <f>'Form responses'!BN1</f>
        <v>AI HF ETT Straws</v>
      </c>
      <c r="M13" s="104" t="str">
        <f>'Form responses'!BO1</f>
        <v>Cover HF ETT Straws</v>
      </c>
      <c r="N13" s="104" t="str">
        <f>'Form responses'!BP1</f>
        <v>AI Jersey ETT Straws</v>
      </c>
      <c r="O13" s="104" t="str">
        <f>'Form responses'!BQ1</f>
        <v>Cover Jersey ETT Straws</v>
      </c>
      <c r="P13" s="134" t="s">
        <v>517</v>
      </c>
      <c r="R13" s="104" t="str">
        <f>'Form responses'!BR1</f>
        <v>AI Sexed HF Straws</v>
      </c>
      <c r="S13" s="104" t="str">
        <f>'Form responses'!BS1</f>
        <v>Cover Sexed HF Straws</v>
      </c>
      <c r="T13" s="104" t="str">
        <f>'Form responses'!BT1</f>
        <v>AI Jersey Sexed Straws</v>
      </c>
      <c r="U13" s="104" t="str">
        <f>'Form responses'!BU1</f>
        <v>Cow Cover Jersey Sexed</v>
      </c>
      <c r="V13" s="104" t="str">
        <f>'Form responses'!BV1</f>
        <v>AI Cross Breed Sexed Straws</v>
      </c>
      <c r="W13" s="104" t="str">
        <f>'Form responses'!BW1</f>
        <v>Cover Cross Breed Sexed</v>
      </c>
      <c r="X13" s="104" t="str">
        <f>'Form responses'!BX1</f>
        <v>AI Sahiwal Sexed Straws</v>
      </c>
      <c r="Y13" s="104" t="str">
        <f>'Form responses'!BY1</f>
        <v>Cow Cover Sahiwal Sexed</v>
      </c>
      <c r="Z13" s="134" t="s">
        <v>518</v>
      </c>
    </row>
    <row r="14" ht="24.75" customHeight="1">
      <c r="A14" s="135"/>
      <c r="B14" s="109">
        <f>sumifs('Form responses'!BF$2:BF63,'Form responses'!$C$2:$C63,"&gt;="&amp;$N$1,'Form responses'!$C$2:$C63,"&lt;="&amp;$Q$1,'Form responses'!$D$2:$D63,$J$1)</f>
        <v>0</v>
      </c>
      <c r="C14" s="109">
        <f>sumifs('Form responses'!BG$2:BG63,'Form responses'!$C$2:$C63,"&gt;="&amp;$N$1,'Form responses'!$C$2:$C63,"&lt;="&amp;$Q$1,'Form responses'!$D$2:$D63,$J$1)</f>
        <v>0</v>
      </c>
      <c r="D14" s="109">
        <f>sumifs('Form responses'!BH$2:BH63,'Form responses'!$C$2:$C63,"&gt;="&amp;$N$1,'Form responses'!$C$2:$C63,"&lt;="&amp;$Q$1,'Form responses'!$D$2:$D63,$J$1)</f>
        <v>0</v>
      </c>
      <c r="E14" s="109">
        <f>sumifs('Form responses'!BI$2:BI63,'Form responses'!$C$2:$C63,"&gt;="&amp;$N$1,'Form responses'!$C$2:$C63,"&lt;="&amp;$Q$1,'Form responses'!$D$2:$D63,$J$1)</f>
        <v>0</v>
      </c>
      <c r="F14" s="109">
        <f>sumifs('Form responses'!BJ$2:BJ63,'Form responses'!$C$2:$C63,"&gt;="&amp;$N$1,'Form responses'!$C$2:$C63,"&lt;="&amp;$Q$1,'Form responses'!$D$2:$D63,$J$1)</f>
        <v>0</v>
      </c>
      <c r="G14" s="109">
        <f>sumifs('Form responses'!BK$2:BK63,'Form responses'!$C$2:$C63,"&gt;="&amp;$N$1,'Form responses'!$C$2:$C63,"&lt;="&amp;$Q$1,'Form responses'!$D$2:$D63,$J$1)</f>
        <v>0</v>
      </c>
      <c r="H14" s="109">
        <f>sumifs('Form responses'!BL$2:BL63,'Form responses'!$C$2:$C63,"&gt;="&amp;$N$1,'Form responses'!$C$2:$C63,"&lt;="&amp;$Q$1,'Form responses'!$D$2:$D63,$J$1)</f>
        <v>0</v>
      </c>
      <c r="I14" s="110">
        <f>sumifs('Form responses'!BM$2:BM63,'Form responses'!$C$2:$C63,"&gt;="&amp;$N$1,'Form responses'!$C$2:$C63,"&lt;="&amp;$Q$1,'Form responses'!$D$2:$D63,$J$1)</f>
        <v>0</v>
      </c>
      <c r="J14" s="136">
        <f t="shared" ref="J14:J15" si="4">B14+D14+F14+H14</f>
        <v>0</v>
      </c>
      <c r="K14" s="121"/>
      <c r="L14" s="109">
        <f>sumifs('Form responses'!BN$2:BN63,'Form responses'!$C$2:$C63,"&gt;="&amp;$N$1,'Form responses'!$C$2:$C63,"&lt;="&amp;$Q$1,'Form responses'!$D$2:$D63,$J$1)</f>
        <v>0</v>
      </c>
      <c r="M14" s="109">
        <f>sumifs('Form responses'!BO$2:BO63,'Form responses'!$C$2:$C63,"&gt;="&amp;$N$1,'Form responses'!$C$2:$C63,"&lt;="&amp;$Q$1,'Form responses'!$D$2:$D63,$J$1)</f>
        <v>0</v>
      </c>
      <c r="N14" s="109">
        <f>sumifs('Form responses'!BP$2:BP63,'Form responses'!$C$2:$C63,"&gt;="&amp;$N$1,'Form responses'!$C$2:$C63,"&lt;="&amp;$Q$1,'Form responses'!$D$2:$D63,$J$1)</f>
        <v>0</v>
      </c>
      <c r="O14" s="110">
        <f>sumifs('Form responses'!BQ$2:BQ63,'Form responses'!$C$2:$C63,"&gt;="&amp;$N$1,'Form responses'!$C$2:$C63,"&lt;="&amp;$Q$1,'Form responses'!$D$2:$D63,$J$1)</f>
        <v>0</v>
      </c>
      <c r="P14" s="136">
        <f t="shared" ref="P14:P15" si="5">L14+N14</f>
        <v>0</v>
      </c>
      <c r="Q14" s="121"/>
      <c r="R14" s="109">
        <f>sumifs('Form responses'!BR$2:BR63,'Form responses'!$C$2:$C63,"&gt;="&amp;$N$1,'Form responses'!$C$2:$C63,"&lt;="&amp;$Q$1,'Form responses'!$D$2:$D63,$J$1)</f>
        <v>0</v>
      </c>
      <c r="S14" s="109">
        <f>sumifs('Form responses'!BS$2:BS63,'Form responses'!$C$2:$C63,"&gt;="&amp;$N$1,'Form responses'!$C$2:$C63,"&lt;="&amp;$Q$1,'Form responses'!$D$2:$D63,$J$1)</f>
        <v>0</v>
      </c>
      <c r="T14" s="109">
        <f>sumifs('Form responses'!BT$2:BT63,'Form responses'!$C$2:$C63,"&gt;="&amp;$N$1,'Form responses'!$C$2:$C63,"&lt;="&amp;$Q$1,'Form responses'!$D$2:$D63,$J$1)</f>
        <v>0</v>
      </c>
      <c r="U14" s="109">
        <f>sumifs('Form responses'!BU$2:BU63,'Form responses'!$C$2:$C63,"&gt;="&amp;$N$1,'Form responses'!$C$2:$C63,"&lt;="&amp;$Q$1,'Form responses'!$D$2:$D63,$J$1)</f>
        <v>0</v>
      </c>
      <c r="V14" s="109">
        <f>sumifs('Form responses'!BV$2:BV63,'Form responses'!$C$2:$C63,"&gt;="&amp;$N$1,'Form responses'!$C$2:$C63,"&lt;="&amp;$Q$1,'Form responses'!$D$2:$D63,$J$1)</f>
        <v>0</v>
      </c>
      <c r="W14" s="109">
        <f>sumifs('Form responses'!BW$2:BW63,'Form responses'!$C$2:$C63,"&gt;="&amp;$N$1,'Form responses'!$C$2:$C63,"&lt;="&amp;$Q$1,'Form responses'!$D$2:$D63,$J$1)</f>
        <v>0</v>
      </c>
      <c r="X14" s="109">
        <f>sumifs('Form responses'!BX$2:BX63,'Form responses'!$C$2:$C63,"&gt;="&amp;$N$1,'Form responses'!$C$2:$C63,"&lt;="&amp;$Q$1,'Form responses'!$D$2:$D63,$J$1)</f>
        <v>0</v>
      </c>
      <c r="Y14" s="110">
        <f>sumifs('Form responses'!BY$2:BY63,'Form responses'!$C$2:$C63,"&gt;="&amp;$N$1,'Form responses'!$C$2:$C63,"&lt;="&amp;$Q$1,'Form responses'!$D$2:$D63,$J$1)</f>
        <v>0</v>
      </c>
      <c r="Z14" s="136">
        <f t="shared" ref="Z14:Z15" si="6">R14+T14+V14+X14</f>
        <v>0</v>
      </c>
      <c r="AA14" s="137"/>
    </row>
    <row r="15" ht="24.75" customHeight="1">
      <c r="A15" s="138"/>
      <c r="B15" s="109">
        <f>sumifs('Form responses'!BF$2:BF63,'Form responses'!$C$2:$C63,"&gt;="&amp;Date(YEAR(DATE(YEAR($Q$1),MONTH($Q$1)+(-3),1)),4,1),'Form responses'!$C$2:$C63,"&lt;="&amp;$Q$1,'Form responses'!$D$2:$D63,$J$1)</f>
        <v>0</v>
      </c>
      <c r="C15" s="109">
        <f>sumifs('Form responses'!BG$2:BG63,'Form responses'!$C$2:$C63,"&gt;="&amp;Date(YEAR(DATE(YEAR($Q$1),MONTH($Q$1)+(-3),1)),4,1),'Form responses'!$C$2:$C63,"&lt;="&amp;$Q$1,'Form responses'!$D$2:$D63,$J$1)</f>
        <v>0</v>
      </c>
      <c r="D15" s="109">
        <f>sumifs('Form responses'!BH$2:BH63,'Form responses'!$C$2:$C63,"&gt;="&amp;Date(YEAR(DATE(YEAR($Q$1),MONTH($Q$1)+(-3),1)),4,1),'Form responses'!$C$2:$C63,"&lt;="&amp;$Q$1,'Form responses'!$D$2:$D63,$J$1)</f>
        <v>0</v>
      </c>
      <c r="E15" s="109">
        <f>sumifs('Form responses'!BI$2:BI63,'Form responses'!$C$2:$C63,"&gt;="&amp;Date(YEAR(DATE(YEAR($Q$1),MONTH($Q$1)+(-3),1)),4,1),'Form responses'!$C$2:$C63,"&lt;="&amp;$Q$1,'Form responses'!$D$2:$D63,$J$1)</f>
        <v>0</v>
      </c>
      <c r="F15" s="109">
        <f>sumifs('Form responses'!BJ$2:BJ63,'Form responses'!$C$2:$C63,"&gt;="&amp;Date(YEAR(DATE(YEAR($Q$1),MONTH($Q$1)+(-3),1)),4,1),'Form responses'!$C$2:$C63,"&lt;="&amp;$Q$1,'Form responses'!$D$2:$D63,$J$1)</f>
        <v>0</v>
      </c>
      <c r="G15" s="109">
        <f>sumifs('Form responses'!BK$2:BK63,'Form responses'!$C$2:$C63,"&gt;="&amp;Date(YEAR(DATE(YEAR($Q$1),MONTH($Q$1)+(-3),1)),4,1),'Form responses'!$C$2:$C63,"&lt;="&amp;$Q$1,'Form responses'!$D$2:$D63,$J$1)</f>
        <v>0</v>
      </c>
      <c r="H15" s="109">
        <f>sumifs('Form responses'!BL$2:BL63,'Form responses'!$C$2:$C63,"&gt;="&amp;Date(YEAR(DATE(YEAR($Q$1),MONTH($Q$1)+(-3),1)),4,1),'Form responses'!$C$2:$C63,"&lt;="&amp;$Q$1,'Form responses'!$D$2:$D63,$J$1)</f>
        <v>0</v>
      </c>
      <c r="I15" s="110">
        <f>sumifs('Form responses'!BM$2:BM63,'Form responses'!$C$2:$C63,"&gt;="&amp;Date(YEAR(DATE(YEAR($Q$1),MONTH($Q$1)+(-3),1)),4,1),'Form responses'!$C$2:$C63,"&lt;="&amp;$Q$1,'Form responses'!$D$2:$D63,$J$1)</f>
        <v>0</v>
      </c>
      <c r="J15" s="139">
        <f t="shared" si="4"/>
        <v>0</v>
      </c>
      <c r="K15" s="121"/>
      <c r="L15" s="109">
        <f>sumifs('Form responses'!BN$2:BN63,'Form responses'!$C$2:$C63,"&gt;="&amp;Date(YEAR(DATE(YEAR($Q$1),MONTH($Q$1)+(-3),1)),4,1),'Form responses'!$C$2:$C63,"&lt;="&amp;$Q$1,'Form responses'!$D$2:$D63,$J$1)</f>
        <v>0</v>
      </c>
      <c r="M15" s="109">
        <f>sumifs('Form responses'!BO$2:BO63,'Form responses'!$C$2:$C63,"&gt;="&amp;Date(YEAR(DATE(YEAR($Q$1),MONTH($Q$1)+(-3),1)),4,1),'Form responses'!$C$2:$C63,"&lt;="&amp;$Q$1,'Form responses'!$D$2:$D63,$J$1)</f>
        <v>0</v>
      </c>
      <c r="N15" s="109">
        <f>sumifs('Form responses'!BP$2:BP63,'Form responses'!$C$2:$C63,"&gt;="&amp;Date(YEAR(DATE(YEAR($Q$1),MONTH($Q$1)+(-3),1)),4,1),'Form responses'!$C$2:$C63,"&lt;="&amp;$Q$1,'Form responses'!$D$2:$D63,$J$1)</f>
        <v>0</v>
      </c>
      <c r="O15" s="110">
        <f>sumifs('Form responses'!BQ$2:BQ63,'Form responses'!$C$2:$C63,"&gt;="&amp;Date(YEAR(DATE(YEAR($Q$1),MONTH($Q$1)+(-3),1)),4,1),'Form responses'!$C$2:$C63,"&lt;="&amp;$Q$1,'Form responses'!$D$2:$D63,$J$1)</f>
        <v>0</v>
      </c>
      <c r="P15" s="139">
        <f t="shared" si="5"/>
        <v>0</v>
      </c>
      <c r="Q15" s="121"/>
      <c r="R15" s="109">
        <f>sumifs('Form responses'!BR$2:BR63,'Form responses'!$C$2:$C63,"&gt;="&amp;Date(YEAR(DATE(YEAR($Q$1),MONTH($Q$1)+(-3),1)),4,1),'Form responses'!$C$2:$C63,"&lt;="&amp;$Q$1,'Form responses'!$D$2:$D63,$J$1)</f>
        <v>0</v>
      </c>
      <c r="S15" s="109">
        <f>sumifs('Form responses'!BS$2:BS63,'Form responses'!$C$2:$C63,"&gt;="&amp;Date(YEAR(DATE(YEAR($Q$1),MONTH($Q$1)+(-3),1)),4,1),'Form responses'!$C$2:$C63,"&lt;="&amp;$Q$1,'Form responses'!$D$2:$D63,$J$1)</f>
        <v>0</v>
      </c>
      <c r="T15" s="109">
        <f>sumifs('Form responses'!BT$2:BT63,'Form responses'!$C$2:$C63,"&gt;="&amp;Date(YEAR(DATE(YEAR($Q$1),MONTH($Q$1)+(-3),1)),4,1),'Form responses'!$C$2:$C63,"&lt;="&amp;$Q$1,'Form responses'!$D$2:$D63,$J$1)</f>
        <v>0</v>
      </c>
      <c r="U15" s="109">
        <f>sumifs('Form responses'!BU$2:BU63,'Form responses'!$C$2:$C63,"&gt;="&amp;Date(YEAR(DATE(YEAR($Q$1),MONTH($Q$1)+(-3),1)),4,1),'Form responses'!$C$2:$C63,"&lt;="&amp;$Q$1,'Form responses'!$D$2:$D63,$J$1)</f>
        <v>0</v>
      </c>
      <c r="V15" s="109">
        <f>sumifs('Form responses'!BV$2:BV63,'Form responses'!$C$2:$C63,"&gt;="&amp;Date(YEAR(DATE(YEAR($Q$1),MONTH($Q$1)+(-3),1)),4,1),'Form responses'!$C$2:$C63,"&lt;="&amp;$Q$1,'Form responses'!$D$2:$D63,$J$1)</f>
        <v>0</v>
      </c>
      <c r="W15" s="109">
        <f>sumifs('Form responses'!BW$2:BW63,'Form responses'!$C$2:$C63,"&gt;="&amp;Date(YEAR(DATE(YEAR($Q$1),MONTH($Q$1)+(-3),1)),4,1),'Form responses'!$C$2:$C63,"&lt;="&amp;$Q$1,'Form responses'!$D$2:$D63,$J$1)</f>
        <v>0</v>
      </c>
      <c r="X15" s="109">
        <f>sumifs('Form responses'!BX$2:BX63,'Form responses'!$C$2:$C63,"&gt;="&amp;Date(YEAR(DATE(YEAR($Q$1),MONTH($Q$1)+(-3),1)),4,1),'Form responses'!$C$2:$C63,"&lt;="&amp;$Q$1,'Form responses'!$D$2:$D63,$J$1)</f>
        <v>0</v>
      </c>
      <c r="Y15" s="140">
        <f>sumifs('Form responses'!BY$2:BY63,'Form responses'!$C$2:$C63,"&gt;="&amp;Date(YEAR(DATE(YEAR($Q$1),MONTH($Q$1)+(-3),1)),4,1),'Form responses'!$C$2:$C63,"&lt;="&amp;$Q$1,'Form responses'!$D$2:$D63,$J$1)</f>
        <v>0</v>
      </c>
      <c r="Z15" s="139">
        <f t="shared" si="6"/>
        <v>0</v>
      </c>
      <c r="AA15" s="137"/>
    </row>
    <row r="16" ht="19.5" customHeight="1">
      <c r="A16" s="117"/>
      <c r="B16" s="118" t="s">
        <v>519</v>
      </c>
      <c r="C16" s="127"/>
      <c r="D16" s="127"/>
      <c r="E16" s="127"/>
      <c r="F16" s="127"/>
      <c r="G16" s="127"/>
      <c r="H16" s="128"/>
      <c r="I16" s="128"/>
      <c r="J16" s="128"/>
      <c r="K16" s="128"/>
      <c r="L16" s="128"/>
      <c r="M16" s="128"/>
      <c r="N16" s="119"/>
      <c r="O16" s="119"/>
      <c r="P16" s="119"/>
      <c r="Q16" s="119"/>
      <c r="R16" s="119"/>
      <c r="S16" s="119"/>
      <c r="T16" s="119"/>
      <c r="U16" s="141"/>
      <c r="W16" s="131"/>
      <c r="X16" s="131"/>
      <c r="Y16" s="131"/>
      <c r="Z16" s="131"/>
      <c r="AA16" s="131"/>
    </row>
    <row r="17" ht="54.0" customHeight="1">
      <c r="A17" s="142"/>
      <c r="B17" s="143" t="str">
        <f>'Form responses'!CH1</f>
        <v>HF Tested</v>
      </c>
      <c r="C17" s="104" t="str">
        <f>'Form responses'!CI1</f>
        <v>HF Found Postive</v>
      </c>
      <c r="D17" s="104" t="str">
        <f>'Form responses'!CJ1</f>
        <v>Jersey Tested</v>
      </c>
      <c r="E17" s="104" t="str">
        <f>'Form responses'!CK1</f>
        <v>Jersey Found Postive</v>
      </c>
      <c r="F17" s="104" t="str">
        <f>'Form responses'!CL1</f>
        <v>Cross Breed Tested</v>
      </c>
      <c r="G17" s="104" t="str">
        <f>'Form responses'!CM1</f>
        <v>Cross Breed Found Postive</v>
      </c>
      <c r="H17" s="104" t="str">
        <f>'Form responses'!CN1</f>
        <v>Sahiwal Cow Tested</v>
      </c>
      <c r="I17" s="104" t="str">
        <f>'Form responses'!CO1</f>
        <v>Sahiwal Found Postive</v>
      </c>
      <c r="K17" s="104" t="str">
        <f>'Form responses'!CP1</f>
        <v>HF ETT Tested</v>
      </c>
      <c r="L17" s="104" t="str">
        <f>'Form responses'!CQ1</f>
        <v>HF ETT Found Postive</v>
      </c>
      <c r="M17" s="104" t="str">
        <f>'Form responses'!CR1</f>
        <v>Jessey ETT Tested</v>
      </c>
      <c r="N17" s="104" t="str">
        <f>'Form responses'!CS1</f>
        <v>Jessey ETT Found Postive</v>
      </c>
      <c r="P17" s="104" t="str">
        <f>'Form responses'!CT1</f>
        <v>Sexed HF Tested</v>
      </c>
      <c r="Q17" s="104" t="str">
        <f>'Form responses'!CU1</f>
        <v>Sexed HF Found Postive</v>
      </c>
      <c r="R17" s="104" t="str">
        <f>'Form responses'!CV1</f>
        <v>Jersey Sexed Tested</v>
      </c>
      <c r="S17" s="104" t="str">
        <f>'Form responses'!CW1</f>
        <v>Jersey Sexed Found Positive</v>
      </c>
      <c r="T17" s="104" t="str">
        <f>'Form responses'!CX1</f>
        <v>CB Sexed Tested</v>
      </c>
      <c r="U17" s="104" t="str">
        <f>'Form responses'!CY1</f>
        <v>CB Sexed Found Positive</v>
      </c>
      <c r="V17" s="104" t="str">
        <f>'Form responses'!CZ1</f>
        <v>sahiwal Sexed Tested</v>
      </c>
      <c r="W17" s="104" t="str">
        <f>'Form responses'!DA1</f>
        <v>sahiwal Sexed found positive</v>
      </c>
      <c r="X17" s="142"/>
      <c r="Y17" s="142"/>
      <c r="Z17" s="142"/>
      <c r="AA17" s="142"/>
    </row>
    <row r="18" ht="24.75" customHeight="1">
      <c r="A18" s="144"/>
      <c r="B18" s="145">
        <f>sumifs('Form responses'!CH$2:CH63,'Form responses'!$C$2:$C63,"&gt;="&amp;$N$1,'Form responses'!$C$2:$C63,"&lt;="&amp;$Q$1,'Form responses'!$D$2:$D63,$J$1)</f>
        <v>0</v>
      </c>
      <c r="C18" s="145">
        <f>sumifs('Form responses'!CI$2:CI63,'Form responses'!$C$2:$C63,"&gt;="&amp;$N$1,'Form responses'!$C$2:$C63,"&lt;="&amp;$Q$1,'Form responses'!$D$2:$D63,$J$1)</f>
        <v>0</v>
      </c>
      <c r="D18" s="145">
        <f>sumifs('Form responses'!CJ$2:CJ63,'Form responses'!$C$2:$C63,"&gt;="&amp;$N$1,'Form responses'!$C$2:$C63,"&lt;="&amp;$Q$1,'Form responses'!$D$2:$D63,$J$1)</f>
        <v>0</v>
      </c>
      <c r="E18" s="145">
        <f>sumifs('Form responses'!CK$2:CK63,'Form responses'!$C$2:$C63,"&gt;="&amp;$N$1,'Form responses'!$C$2:$C63,"&lt;="&amp;$Q$1,'Form responses'!$D$2:$D63,$J$1)</f>
        <v>0</v>
      </c>
      <c r="F18" s="145">
        <f>sumifs('Form responses'!CL$2:CL63,'Form responses'!$C$2:$C63,"&gt;="&amp;$N$1,'Form responses'!$C$2:$C63,"&lt;="&amp;$Q$1,'Form responses'!$D$2:$D63,$J$1)</f>
        <v>0</v>
      </c>
      <c r="G18" s="145">
        <f>sumifs('Form responses'!CM$2:CM63,'Form responses'!$C$2:$C63,"&gt;="&amp;$N$1,'Form responses'!$C$2:$C63,"&lt;="&amp;$Q$1,'Form responses'!$D$2:$D63,$J$1)</f>
        <v>0</v>
      </c>
      <c r="H18" s="145">
        <f>sumifs('Form responses'!CN$2:CN63,'Form responses'!$C$2:$C63,"&gt;="&amp;$N$1,'Form responses'!$C$2:$C63,"&lt;="&amp;$Q$1,'Form responses'!$D$2:$D63,$J$1)</f>
        <v>0</v>
      </c>
      <c r="I18" s="145">
        <f>sumifs('Form responses'!CO$2:CO63,'Form responses'!$C$2:$C63,"&gt;="&amp;$N$1,'Form responses'!$C$2:$C63,"&lt;="&amp;$Q$1,'Form responses'!$D$2:$D63,$J$1)</f>
        <v>0</v>
      </c>
      <c r="K18" s="109">
        <f>sumifs('Form responses'!CP$2:CP63,'Form responses'!$C$2:$C63,"&gt;="&amp;$N$1,'Form responses'!$C$2:$C63,"&lt;="&amp;$Q$1,'Form responses'!$D$2:$D63,$J$1)</f>
        <v>0</v>
      </c>
      <c r="L18" s="109">
        <f>sumifs('Form responses'!CQ$2:CQ63,'Form responses'!$C$2:$C63,"&gt;="&amp;$N$1,'Form responses'!$C$2:$C63,"&lt;="&amp;$Q$1,'Form responses'!$D$2:$D63,$J$1)</f>
        <v>0</v>
      </c>
      <c r="M18" s="109">
        <f>sumifs('Form responses'!CR$2:CR63,'Form responses'!$C$2:$C63,"&gt;="&amp;$N$1,'Form responses'!$C$2:$C63,"&lt;="&amp;$Q$1,'Form responses'!$D$2:$D63,$J$1)</f>
        <v>0</v>
      </c>
      <c r="N18" s="109">
        <f>sumifs('Form responses'!CS$2:CS63,'Form responses'!$C$2:$C63,"&gt;="&amp;$N$1,'Form responses'!$C$2:$C63,"&lt;="&amp;$Q$1,'Form responses'!$D$2:$D63,$J$1)</f>
        <v>0</v>
      </c>
      <c r="P18" s="109">
        <f>sumifs('Form responses'!CT$2:CT63,'Form responses'!$C$2:$C63,"&gt;="&amp;$N$1,'Form responses'!$C$2:$C63,"&lt;="&amp;$Q$1,'Form responses'!$D$2:$D63,$J$1)</f>
        <v>0</v>
      </c>
      <c r="Q18" s="109">
        <f>sumifs('Form responses'!CU$2:CU63,'Form responses'!$C$2:$C63,"&gt;="&amp;$N$1,'Form responses'!$C$2:$C63,"&lt;="&amp;$Q$1,'Form responses'!$D$2:$D63,$J$1)</f>
        <v>0</v>
      </c>
      <c r="R18" s="109">
        <f>sumifs('Form responses'!CV$2:CV63,'Form responses'!$C$2:$C63,"&gt;="&amp;$N$1,'Form responses'!$C$2:$C63,"&lt;="&amp;$Q$1,'Form responses'!$D$2:$D63,$J$1)</f>
        <v>0</v>
      </c>
      <c r="S18" s="109">
        <f>sumifs('Form responses'!CW$2:CW63,'Form responses'!$C$2:$C63,"&gt;="&amp;$N$1,'Form responses'!$C$2:$C63,"&lt;="&amp;$Q$1,'Form responses'!$D$2:$D63,$J$1)</f>
        <v>0</v>
      </c>
      <c r="T18" s="109">
        <f>sumifs('Form responses'!CX$2:CX63,'Form responses'!$C$2:$C63,"&gt;="&amp;$N$1,'Form responses'!$C$2:$C63,"&lt;="&amp;$Q$1,'Form responses'!$D$2:$D63,$J$1)</f>
        <v>0</v>
      </c>
      <c r="U18" s="109">
        <f>sumifs('Form responses'!CY$2:CY63,'Form responses'!$C$2:$C63,"&gt;="&amp;$N$1,'Form responses'!$C$2:$C63,"&lt;="&amp;$Q$1,'Form responses'!$D$2:$D63,$J$1)</f>
        <v>0</v>
      </c>
      <c r="V18" s="109">
        <f>sumifs('Form responses'!CZ$2:CZ63,'Form responses'!$C$2:$C63,"&gt;="&amp;$N$1,'Form responses'!$C$2:$C63,"&lt;="&amp;$Q$1,'Form responses'!$D$2:$D63,$J$1)</f>
        <v>0</v>
      </c>
      <c r="W18" s="109">
        <f>sumifs('Form responses'!DA$2:DA63,'Form responses'!$C$2:$C63,"&gt;="&amp;$N$1,'Form responses'!$C$2:$C63,"&lt;="&amp;$Q$1,'Form responses'!$D$2:$D63,$J$1)</f>
        <v>0</v>
      </c>
      <c r="X18" s="146"/>
      <c r="Y18" s="146"/>
      <c r="Z18" s="146"/>
      <c r="AA18" s="146"/>
    </row>
    <row r="19" ht="24.75" customHeight="1">
      <c r="A19" s="147"/>
      <c r="B19" s="148">
        <f>sumifs('Form responses'!CH$2:CH63,'Form responses'!$C$2:$C63,"&gt;="&amp;Date(YEAR(DATE(YEAR($Q$1),MONTH($Q$1)+(-3),1)),4,1),'Form responses'!$C$2:$C63,"&lt;="&amp;$Q$1,'Form responses'!$D$2:$D63,$J$1)</f>
        <v>0</v>
      </c>
      <c r="C19" s="109">
        <f>sumifs('Form responses'!CI$2:CI63,'Form responses'!$C$2:$C63,"&gt;="&amp;Date(YEAR(DATE(YEAR($Q$1),MONTH($Q$1)+(-3),1)),4,1),'Form responses'!$C$2:$C63,"&lt;="&amp;$Q$1,'Form responses'!$D$2:$D63,$J$1)</f>
        <v>0</v>
      </c>
      <c r="D19" s="109">
        <f>sumifs('Form responses'!CJ$2:CJ63,'Form responses'!$C$2:$C63,"&gt;="&amp;Date(YEAR(DATE(YEAR($Q$1),MONTH($Q$1)+(-3),1)),4,1),'Form responses'!$C$2:$C63,"&lt;="&amp;$Q$1,'Form responses'!$D$2:$D63,$J$1)</f>
        <v>0</v>
      </c>
      <c r="E19" s="109">
        <f>sumifs('Form responses'!CK$2:CK63,'Form responses'!$C$2:$C63,"&gt;="&amp;Date(YEAR(DATE(YEAR($Q$1),MONTH($Q$1)+(-3),1)),4,1),'Form responses'!$C$2:$C63,"&lt;="&amp;$Q$1,'Form responses'!$D$2:$D63,$J$1)</f>
        <v>0</v>
      </c>
      <c r="F19" s="109">
        <f>sumifs('Form responses'!CL$2:CL63,'Form responses'!$C$2:$C63,"&gt;="&amp;Date(YEAR(DATE(YEAR($Q$1),MONTH($Q$1)+(-3),1)),4,1),'Form responses'!$C$2:$C63,"&lt;="&amp;$Q$1,'Form responses'!$D$2:$D63,$J$1)</f>
        <v>0</v>
      </c>
      <c r="G19" s="109">
        <f>sumifs('Form responses'!CM$2:CM63,'Form responses'!$C$2:$C63,"&gt;="&amp;Date(YEAR(DATE(YEAR($Q$1),MONTH($Q$1)+(-3),1)),4,1),'Form responses'!$C$2:$C63,"&lt;="&amp;$Q$1,'Form responses'!$D$2:$D63,$J$1)</f>
        <v>0</v>
      </c>
      <c r="H19" s="109">
        <f>sumifs('Form responses'!CN$2:CN63,'Form responses'!$C$2:$C63,"&gt;="&amp;Date(YEAR(DATE(YEAR($Q$1),MONTH($Q$1)+(-3),1)),4,1),'Form responses'!$C$2:$C63,"&lt;="&amp;$Q$1,'Form responses'!$D$2:$D63,$J$1)</f>
        <v>0</v>
      </c>
      <c r="I19" s="109">
        <f>sumifs('Form responses'!CO$2:CO63,'Form responses'!$C$2:$C63,"&gt;="&amp;Date(YEAR(DATE(YEAR($Q$1),MONTH($Q$1)+(-3),1)),4,1),'Form responses'!$C$2:$C63,"&lt;="&amp;$Q$1,'Form responses'!$D$2:$D63,$J$1)</f>
        <v>0</v>
      </c>
      <c r="K19" s="109">
        <f>sumifs('Form responses'!CP$2:CP63,'Form responses'!$C$2:$C63,"&gt;="&amp;Date(YEAR(DATE(YEAR($Q$1),MONTH($Q$1)+(-3),1)),4,1),'Form responses'!$C$2:$C63,"&lt;="&amp;$Q$1,'Form responses'!$D$2:$D63,$J$1)</f>
        <v>0</v>
      </c>
      <c r="L19" s="109">
        <f>sumifs('Form responses'!CQ$2:CQ63,'Form responses'!$C$2:$C63,"&gt;="&amp;Date(YEAR(DATE(YEAR($Q$1),MONTH($Q$1)+(-3),1)),4,1),'Form responses'!$C$2:$C63,"&lt;="&amp;$Q$1,'Form responses'!$D$2:$D63,$J$1)</f>
        <v>0</v>
      </c>
      <c r="M19" s="109">
        <f>sumifs('Form responses'!CR$2:CR63,'Form responses'!$C$2:$C63,"&gt;="&amp;Date(YEAR(DATE(YEAR($Q$1),MONTH($Q$1)+(-3),1)),4,1),'Form responses'!$C$2:$C63,"&lt;="&amp;$Q$1,'Form responses'!$D$2:$D63,$J$1)</f>
        <v>0</v>
      </c>
      <c r="N19" s="109">
        <f>sumifs('Form responses'!CS$2:CS63,'Form responses'!$C$2:$C63,"&gt;="&amp;Date(YEAR(DATE(YEAR($Q$1),MONTH($Q$1)+(-3),1)),4,1),'Form responses'!$C$2:$C63,"&lt;="&amp;$Q$1,'Form responses'!$D$2:$D63,$J$1)</f>
        <v>0</v>
      </c>
      <c r="P19" s="109">
        <f>sumifs('Form responses'!CT$2:CT63,'Form responses'!$C$2:$C63,"&gt;="&amp;Date(YEAR(DATE(YEAR($Q$1),MONTH($Q$1)+(-3),1)),4,1),'Form responses'!$C$2:$C63,"&lt;="&amp;$Q$1,'Form responses'!$D$2:$D63,$J$1)</f>
        <v>0</v>
      </c>
      <c r="Q19" s="109">
        <f>sumifs('Form responses'!CU$2:CU63,'Form responses'!$C$2:$C63,"&gt;="&amp;Date(YEAR(DATE(YEAR($Q$1),MONTH($Q$1)+(-3),1)),4,1),'Form responses'!$C$2:$C63,"&lt;="&amp;$Q$1,'Form responses'!$D$2:$D63,$J$1)</f>
        <v>0</v>
      </c>
      <c r="R19" s="109">
        <f>sumifs('Form responses'!CV$2:CV63,'Form responses'!$C$2:$C63,"&gt;="&amp;Date(YEAR(DATE(YEAR($Q$1),MONTH($Q$1)+(-3),1)),4,1),'Form responses'!$C$2:$C63,"&lt;="&amp;$Q$1,'Form responses'!$D$2:$D63,$J$1)</f>
        <v>0</v>
      </c>
      <c r="S19" s="109">
        <f>sumifs('Form responses'!CW$2:CW63,'Form responses'!$C$2:$C63,"&gt;="&amp;Date(YEAR(DATE(YEAR($Q$1),MONTH($Q$1)+(-3),1)),4,1),'Form responses'!$C$2:$C63,"&lt;="&amp;$Q$1,'Form responses'!$D$2:$D63,$J$1)</f>
        <v>0</v>
      </c>
      <c r="T19" s="109">
        <f>sumifs('Form responses'!CX$2:CX63,'Form responses'!$C$2:$C63,"&gt;="&amp;Date(YEAR(DATE(YEAR($Q$1),MONTH($Q$1)+(-3),1)),4,1),'Form responses'!$C$2:$C63,"&lt;="&amp;$Q$1,'Form responses'!$D$2:$D63,$J$1)</f>
        <v>0</v>
      </c>
      <c r="U19" s="109">
        <f>sumifs('Form responses'!CY$2:CY63,'Form responses'!$C$2:$C63,"&gt;="&amp;Date(YEAR(DATE(YEAR($Q$1),MONTH($Q$1)+(-3),1)),4,1),'Form responses'!$C$2:$C63,"&lt;="&amp;$Q$1,'Form responses'!$D$2:$D63,$J$1)</f>
        <v>0</v>
      </c>
      <c r="V19" s="109">
        <f>sumifs('Form responses'!CZ$2:CZ63,'Form responses'!$C$2:$C63,"&gt;="&amp;Date(YEAR(DATE(YEAR($Q$1),MONTH($Q$1)+(-3),1)),4,1),'Form responses'!$C$2:$C63,"&lt;="&amp;$Q$1,'Form responses'!$D$2:$D63,$J$1)</f>
        <v>0</v>
      </c>
      <c r="W19" s="109">
        <f>sumifs('Form responses'!DA$2:DA63,'Form responses'!$C$2:$C63,"&gt;="&amp;Date(YEAR(DATE(YEAR($Q$1),MONTH($Q$1)+(-3),1)),4,1),'Form responses'!$C$2:$C63,"&lt;="&amp;$Q$1,'Form responses'!$D$2:$D63,$J$1)</f>
        <v>0</v>
      </c>
      <c r="X19" s="146"/>
      <c r="Y19" s="146"/>
      <c r="Z19" s="146"/>
      <c r="AA19" s="146"/>
    </row>
    <row r="20" ht="21.0" customHeight="1">
      <c r="A20" s="117"/>
      <c r="B20" s="118" t="s">
        <v>520</v>
      </c>
      <c r="C20" s="149"/>
      <c r="D20" s="149"/>
      <c r="E20" s="149"/>
      <c r="F20" s="149"/>
      <c r="G20" s="149"/>
      <c r="H20" s="149"/>
      <c r="I20" s="149"/>
      <c r="J20" s="128"/>
      <c r="K20" s="128"/>
      <c r="L20" s="128"/>
      <c r="M20" s="119"/>
      <c r="N20" s="119"/>
      <c r="O20" s="119"/>
      <c r="P20" s="119"/>
      <c r="Q20" s="119"/>
      <c r="R20" s="119"/>
      <c r="S20" s="119"/>
      <c r="T20" s="119"/>
      <c r="U20" s="141"/>
      <c r="V20" s="141"/>
      <c r="W20" s="131"/>
      <c r="X20" s="131"/>
      <c r="Y20" s="131"/>
      <c r="Z20" s="131"/>
      <c r="AA20" s="131"/>
    </row>
    <row r="21" ht="53.25" customHeight="1">
      <c r="A21" s="150"/>
      <c r="B21" s="151" t="str">
        <f>'Form responses'!DL1</f>
        <v>HF Male Calves</v>
      </c>
      <c r="C21" s="104" t="str">
        <f>'Form responses'!DM1</f>
        <v>HF female Calves</v>
      </c>
      <c r="D21" s="104" t="str">
        <f>'Form responses'!DN1</f>
        <v>Jersey Male Calves</v>
      </c>
      <c r="E21" s="104" t="str">
        <f>'Form responses'!DO1</f>
        <v>Jersey female Calves</v>
      </c>
      <c r="F21" s="104" t="str">
        <f>'Form responses'!DP1</f>
        <v>Cross Breed Male Calves</v>
      </c>
      <c r="G21" s="104" t="str">
        <f>'Form responses'!DQ1</f>
        <v>Cross Breed female Calves</v>
      </c>
      <c r="H21" s="104" t="str">
        <f>'Form responses'!DR1</f>
        <v>Sahiwal Male Calves</v>
      </c>
      <c r="I21" s="104" t="str">
        <f>'Form responses'!DS1</f>
        <v>Sahiwal female Calves</v>
      </c>
      <c r="K21" s="104" t="str">
        <f>'Form responses'!DT1</f>
        <v>HF ETT Male Calves</v>
      </c>
      <c r="L21" s="104" t="str">
        <f>'Form responses'!DU1</f>
        <v>HF ETT female Calves</v>
      </c>
      <c r="M21" s="104" t="str">
        <f>'Form responses'!DV1</f>
        <v>Jersey ETT Male Calves</v>
      </c>
      <c r="N21" s="104" t="str">
        <f>'Form responses'!DW1</f>
        <v>Jersey ETT female Calves</v>
      </c>
      <c r="P21" s="104" t="str">
        <f>'Form responses'!DX1</f>
        <v>Sexed HF Male Calves</v>
      </c>
      <c r="Q21" s="104" t="str">
        <f>'Form responses'!DY1</f>
        <v>Sexed HF female Calves</v>
      </c>
      <c r="R21" s="104" t="str">
        <f>'Form responses'!DZ1</f>
        <v>Jersey Sexed Male Calves</v>
      </c>
      <c r="S21" s="104" t="str">
        <f>'Form responses'!EA1</f>
        <v>Jersey Sexed female Calves</v>
      </c>
      <c r="T21" s="104" t="str">
        <f>'Form responses'!EB1</f>
        <v>CB Sexed Male Calves</v>
      </c>
      <c r="U21" s="104" t="str">
        <f>'Form responses'!EC1</f>
        <v>CB Sexed female Calves</v>
      </c>
      <c r="V21" s="104" t="str">
        <f>'Form responses'!ED1</f>
        <v>Sahiwal Sexed Male Calves</v>
      </c>
      <c r="W21" s="104" t="str">
        <f>'Form responses'!EE1</f>
        <v>Sahiwal Sexed female Calves</v>
      </c>
      <c r="X21" s="142"/>
      <c r="Y21" s="142"/>
      <c r="Z21" s="142"/>
      <c r="AA21" s="142"/>
    </row>
    <row r="22" ht="24.75" customHeight="1">
      <c r="A22" s="144"/>
      <c r="B22" s="109">
        <f>sumifs('Form responses'!DL$2:DL63,'Form responses'!$C$2:$C63,"&gt;="&amp;$N$1,'Form responses'!$C$2:$C63,"&lt;="&amp;$Q$1,'Form responses'!$D$2:$D63,$J$1)</f>
        <v>0</v>
      </c>
      <c r="C22" s="109">
        <f>sumifs('Form responses'!DM$2:DM63,'Form responses'!$C$2:$C63,"&gt;="&amp;$N$1,'Form responses'!$C$2:$C63,"&lt;="&amp;$Q$1,'Form responses'!$D$2:$D63,$J$1)</f>
        <v>0</v>
      </c>
      <c r="D22" s="109">
        <f>sumifs('Form responses'!DN$2:DN63,'Form responses'!$C$2:$C63,"&gt;="&amp;$N$1,'Form responses'!$C$2:$C63,"&lt;="&amp;$Q$1,'Form responses'!$D$2:$D63,$J$1)</f>
        <v>0</v>
      </c>
      <c r="E22" s="109">
        <f>sumifs('Form responses'!DO$2:DO63,'Form responses'!$C$2:$C63,"&gt;="&amp;$N$1,'Form responses'!$C$2:$C63,"&lt;="&amp;$Q$1,'Form responses'!$D$2:$D63,$J$1)</f>
        <v>0</v>
      </c>
      <c r="F22" s="109">
        <f>sumifs('Form responses'!DP$2:DP63,'Form responses'!$C$2:$C63,"&gt;="&amp;$N$1,'Form responses'!$C$2:$C63,"&lt;="&amp;$Q$1,'Form responses'!$D$2:$D63,$J$1)</f>
        <v>0</v>
      </c>
      <c r="G22" s="109">
        <f>sumifs('Form responses'!DQ$2:DQ63,'Form responses'!$C$2:$C63,"&gt;="&amp;$N$1,'Form responses'!$C$2:$C63,"&lt;="&amp;$Q$1,'Form responses'!$D$2:$D63,$J$1)</f>
        <v>0</v>
      </c>
      <c r="H22" s="109">
        <f>sumifs('Form responses'!DR$2:DR63,'Form responses'!$C$2:$C63,"&gt;="&amp;$N$1,'Form responses'!$C$2:$C63,"&lt;="&amp;$Q$1,'Form responses'!$D$2:$D63,$J$1)</f>
        <v>0</v>
      </c>
      <c r="I22" s="109">
        <f>sumifs('Form responses'!DS$2:DS63,'Form responses'!$C$2:$C63,"&gt;="&amp;$N$1,'Form responses'!$C$2:$C63,"&lt;="&amp;$Q$1,'Form responses'!$D$2:$D63,$J$1)</f>
        <v>0</v>
      </c>
      <c r="K22" s="109">
        <f>sumifs('Form responses'!DT$2:DT63,'Form responses'!$C$2:$C63,"&gt;="&amp;$N$1,'Form responses'!$C$2:$C63,"&lt;="&amp;$Q$1,'Form responses'!$D$2:$D63,$J$1)</f>
        <v>0</v>
      </c>
      <c r="L22" s="109">
        <f>sumifs('Form responses'!DU$2:DU63,'Form responses'!$C$2:$C63,"&gt;="&amp;$N$1,'Form responses'!$C$2:$C63,"&lt;="&amp;$Q$1,'Form responses'!$D$2:$D63,$J$1)</f>
        <v>0</v>
      </c>
      <c r="M22" s="109">
        <f>sumifs('Form responses'!DV$2:DV63,'Form responses'!$C$2:$C63,"&gt;="&amp;$N$1,'Form responses'!$C$2:$C63,"&lt;="&amp;$Q$1,'Form responses'!$D$2:$D63,$J$1)</f>
        <v>0</v>
      </c>
      <c r="N22" s="109">
        <f>sumifs('Form responses'!DW$2:DW63,'Form responses'!$C$2:$C63,"&gt;="&amp;$N$1,'Form responses'!$C$2:$C63,"&lt;="&amp;$Q$1,'Form responses'!$D$2:$D63,$J$1)</f>
        <v>0</v>
      </c>
      <c r="P22" s="109">
        <f>sumifs('Form responses'!DX$2:DX63,'Form responses'!$C$2:$C63,"&gt;="&amp;$N$1,'Form responses'!$C$2:$C63,"&lt;="&amp;$Q$1,'Form responses'!$D$2:$D63,$J$1)</f>
        <v>0</v>
      </c>
      <c r="Q22" s="109">
        <f>sumifs('Form responses'!DY$2:DY63,'Form responses'!$C$2:$C63,"&gt;="&amp;$N$1,'Form responses'!$C$2:$C63,"&lt;="&amp;$Q$1,'Form responses'!$D$2:$D63,$J$1)</f>
        <v>0</v>
      </c>
      <c r="R22" s="109">
        <f>sumifs('Form responses'!DZ$2:DZ63,'Form responses'!$C$2:$C63,"&gt;="&amp;$N$1,'Form responses'!$C$2:$C63,"&lt;="&amp;$Q$1,'Form responses'!$D$2:$D63,$J$1)</f>
        <v>0</v>
      </c>
      <c r="S22" s="109">
        <f>sumifs('Form responses'!EA$2:EA63,'Form responses'!$C$2:$C63,"&gt;="&amp;$N$1,'Form responses'!$C$2:$C63,"&lt;="&amp;$Q$1,'Form responses'!$D$2:$D63,$J$1)</f>
        <v>0</v>
      </c>
      <c r="T22" s="109">
        <f>sumifs('Form responses'!EB$2:EB63,'Form responses'!$C$2:$C63,"&gt;="&amp;$N$1,'Form responses'!$C$2:$C63,"&lt;="&amp;$Q$1,'Form responses'!$D$2:$D63,$J$1)</f>
        <v>0</v>
      </c>
      <c r="U22" s="109">
        <f>sumifs('Form responses'!EC$2:EC63,'Form responses'!$C$2:$C63,"&gt;="&amp;$N$1,'Form responses'!$C$2:$C63,"&lt;="&amp;$Q$1,'Form responses'!$D$2:$D63,$J$1)</f>
        <v>0</v>
      </c>
      <c r="V22" s="109">
        <f>sumifs('Form responses'!ED$2:ED63,'Form responses'!$C$2:$C63,"&gt;="&amp;$N$1,'Form responses'!$C$2:$C63,"&lt;="&amp;$Q$1,'Form responses'!$D$2:$D63,$J$1)</f>
        <v>0</v>
      </c>
      <c r="W22" s="109">
        <f>sumifs('Form responses'!EE$2:EE63,'Form responses'!$C$2:$C63,"&gt;="&amp;$N$1,'Form responses'!$C$2:$C63,"&lt;="&amp;$Q$1,'Form responses'!$D$2:$D63,$J$1)</f>
        <v>0</v>
      </c>
      <c r="X22" s="146"/>
      <c r="Y22" s="146"/>
      <c r="Z22" s="146"/>
      <c r="AA22" s="146"/>
    </row>
    <row r="23" ht="24.75" customHeight="1">
      <c r="A23" s="147"/>
      <c r="B23" s="109">
        <f>sumifs('Form responses'!DL$2:DL63,'Form responses'!$C$2:$C63,"&gt;="&amp;Date(YEAR(DATE(YEAR($Q$1),MONTH($Q$1)+(-3),1)),4,1),'Form responses'!$C$2:$C63,"&lt;="&amp;$Q$1,'Form responses'!$D$2:$D63,$J$1)</f>
        <v>0</v>
      </c>
      <c r="C23" s="109">
        <f>sumifs('Form responses'!DM$2:DM63,'Form responses'!$C$2:$C63,"&gt;="&amp;Date(YEAR(DATE(YEAR($Q$1),MONTH($Q$1)+(-3),1)),4,1),'Form responses'!$C$2:$C63,"&lt;="&amp;$Q$1,'Form responses'!$D$2:$D63,$J$1)</f>
        <v>0</v>
      </c>
      <c r="D23" s="109">
        <f>sumifs('Form responses'!DN$2:DN63,'Form responses'!$C$2:$C63,"&gt;="&amp;Date(YEAR(DATE(YEAR($Q$1),MONTH($Q$1)+(-3),1)),4,1),'Form responses'!$C$2:$C63,"&lt;="&amp;$Q$1,'Form responses'!$D$2:$D63,$J$1)</f>
        <v>0</v>
      </c>
      <c r="E23" s="109">
        <f>sumifs('Form responses'!DO$2:DO63,'Form responses'!$C$2:$C63,"&gt;="&amp;Date(YEAR(DATE(YEAR($Q$1),MONTH($Q$1)+(-3),1)),4,1),'Form responses'!$C$2:$C63,"&lt;="&amp;$Q$1,'Form responses'!$D$2:$D63,$J$1)</f>
        <v>0</v>
      </c>
      <c r="F23" s="109">
        <f>sumifs('Form responses'!DP$2:DP63,'Form responses'!$C$2:$C63,"&gt;="&amp;Date(YEAR(DATE(YEAR($Q$1),MONTH($Q$1)+(-3),1)),4,1),'Form responses'!$C$2:$C63,"&lt;="&amp;$Q$1,'Form responses'!$D$2:$D63,$J$1)</f>
        <v>0</v>
      </c>
      <c r="G23" s="109">
        <f>sumifs('Form responses'!DQ$2:DQ63,'Form responses'!$C$2:$C63,"&gt;="&amp;Date(YEAR(DATE(YEAR($Q$1),MONTH($Q$1)+(-3),1)),4,1),'Form responses'!$C$2:$C63,"&lt;="&amp;$Q$1,'Form responses'!$D$2:$D63,$J$1)</f>
        <v>0</v>
      </c>
      <c r="H23" s="109">
        <f>sumifs('Form responses'!DR$2:DR63,'Form responses'!$C$2:$C63,"&gt;="&amp;Date(YEAR(DATE(YEAR($Q$1),MONTH($Q$1)+(-3),1)),4,1),'Form responses'!$C$2:$C63,"&lt;="&amp;$Q$1,'Form responses'!$D$2:$D63,$J$1)</f>
        <v>0</v>
      </c>
      <c r="I23" s="109">
        <f>sumifs('Form responses'!DS$2:DS63,'Form responses'!$C$2:$C63,"&gt;="&amp;Date(YEAR(DATE(YEAR($Q$1),MONTH($Q$1)+(-3),1)),4,1),'Form responses'!$C$2:$C63,"&lt;="&amp;$Q$1,'Form responses'!$D$2:$D63,$J$1)</f>
        <v>0</v>
      </c>
      <c r="J23" s="109"/>
      <c r="K23" s="109">
        <f>sumifs('Form responses'!DT$2:DT63,'Form responses'!$C$2:$C63,"&gt;="&amp;Date(YEAR(DATE(YEAR($Q$1),MONTH($Q$1)+(-3),1)),4,1),'Form responses'!$C$2:$C63,"&lt;="&amp;$Q$1,'Form responses'!$D$2:$D63,$J$1)</f>
        <v>0</v>
      </c>
      <c r="L23" s="109">
        <f>sumifs('Form responses'!DU$2:DU63,'Form responses'!$C$2:$C63,"&gt;="&amp;Date(YEAR(DATE(YEAR($Q$1),MONTH($Q$1)+(-3),1)),4,1),'Form responses'!$C$2:$C63,"&lt;="&amp;$Q$1,'Form responses'!$D$2:$D63,$J$1)</f>
        <v>0</v>
      </c>
      <c r="M23" s="109">
        <f>sumifs('Form responses'!DV$2:DV63,'Form responses'!$C$2:$C63,"&gt;="&amp;Date(YEAR(DATE(YEAR($Q$1),MONTH($Q$1)+(-3),1)),4,1),'Form responses'!$C$2:$C63,"&lt;="&amp;$Q$1,'Form responses'!$D$2:$D63,$J$1)</f>
        <v>0</v>
      </c>
      <c r="N23" s="109">
        <f>sumifs('Form responses'!DW$2:DW63,'Form responses'!$C$2:$C63,"&gt;="&amp;Date(YEAR(DATE(YEAR($Q$1),MONTH($Q$1)+(-3),1)),4,1),'Form responses'!$C$2:$C63,"&lt;="&amp;$Q$1,'Form responses'!$D$2:$D63,$J$1)</f>
        <v>0</v>
      </c>
      <c r="P23" s="109">
        <f>sumifs('Form responses'!DX$2:DX63,'Form responses'!$C$2:$C63,"&gt;="&amp;Date(YEAR(DATE(YEAR($Q$1),MONTH($Q$1)+(-3),1)),4,1),'Form responses'!$C$2:$C63,"&lt;="&amp;$Q$1,'Form responses'!$D$2:$D63,$J$1)</f>
        <v>0</v>
      </c>
      <c r="Q23" s="109">
        <f>sumifs('Form responses'!DY$2:DY63,'Form responses'!$C$2:$C63,"&gt;="&amp;Date(YEAR(DATE(YEAR($Q$1),MONTH($Q$1)+(-3),1)),4,1),'Form responses'!$C$2:$C63,"&lt;="&amp;$Q$1,'Form responses'!$D$2:$D63,$J$1)</f>
        <v>0</v>
      </c>
      <c r="R23" s="109">
        <f>sumifs('Form responses'!DZ$2:DZ63,'Form responses'!$C$2:$C63,"&gt;="&amp;Date(YEAR(DATE(YEAR($Q$1),MONTH($Q$1)+(-3),1)),4,1),'Form responses'!$C$2:$C63,"&lt;="&amp;$Q$1,'Form responses'!$D$2:$D63,$J$1)</f>
        <v>0</v>
      </c>
      <c r="S23" s="109">
        <f>sumifs('Form responses'!EA$2:EA63,'Form responses'!$C$2:$C63,"&gt;="&amp;Date(YEAR(DATE(YEAR($Q$1),MONTH($Q$1)+(-3),1)),4,1),'Form responses'!$C$2:$C63,"&lt;="&amp;$Q$1,'Form responses'!$D$2:$D63,$J$1)</f>
        <v>0</v>
      </c>
      <c r="T23" s="109">
        <f>sumifs('Form responses'!EB$2:EB63,'Form responses'!$C$2:$C63,"&gt;="&amp;Date(YEAR(DATE(YEAR($Q$1),MONTH($Q$1)+(-3),1)),4,1),'Form responses'!$C$2:$C63,"&lt;="&amp;$Q$1,'Form responses'!$D$2:$D63,$J$1)</f>
        <v>0</v>
      </c>
      <c r="U23" s="109">
        <f>sumifs('Form responses'!EC$2:EC63,'Form responses'!$C$2:$C63,"&gt;="&amp;Date(YEAR(DATE(YEAR($Q$1),MONTH($Q$1)+(-3),1)),4,1),'Form responses'!$C$2:$C63,"&lt;="&amp;$Q$1,'Form responses'!$D$2:$D63,$J$1)</f>
        <v>0</v>
      </c>
      <c r="V23" s="109">
        <f>sumifs('Form responses'!ED$2:ED63,'Form responses'!$C$2:$C63,"&gt;="&amp;Date(YEAR(DATE(YEAR($Q$1),MONTH($Q$1)+(-3),1)),4,1),'Form responses'!$C$2:$C63,"&lt;="&amp;$Q$1,'Form responses'!$D$2:$D63,$J$1)</f>
        <v>0</v>
      </c>
      <c r="W23" s="109">
        <f>sumifs('Form responses'!EE$2:EE63,'Form responses'!$C$2:$C63,"&gt;="&amp;Date(YEAR(DATE(YEAR($Q$1),MONTH($Q$1)+(-3),1)),4,1),'Form responses'!$C$2:$C63,"&lt;="&amp;$Q$1,'Form responses'!$D$2:$D63,$J$1)</f>
        <v>0</v>
      </c>
      <c r="X23" s="146"/>
      <c r="Y23" s="146"/>
      <c r="Z23" s="146"/>
      <c r="AA23" s="146"/>
    </row>
    <row r="24" ht="20.25" customHeight="1">
      <c r="A24" s="117"/>
      <c r="B24" s="152" t="s">
        <v>521</v>
      </c>
      <c r="C24" s="153"/>
      <c r="D24" s="153"/>
      <c r="E24" s="153"/>
      <c r="F24" s="153"/>
      <c r="G24" s="119"/>
      <c r="H24" s="119"/>
      <c r="I24" s="154"/>
      <c r="J24" s="154"/>
      <c r="K24" s="155" t="s">
        <v>522</v>
      </c>
      <c r="L24" s="156"/>
      <c r="M24" s="156"/>
      <c r="N24" s="156"/>
      <c r="O24" s="156"/>
      <c r="P24" s="154"/>
      <c r="Q24" s="154"/>
      <c r="R24" s="154"/>
      <c r="T24" s="157" t="s">
        <v>523</v>
      </c>
      <c r="U24" s="149"/>
      <c r="V24" s="149"/>
      <c r="W24" s="149"/>
      <c r="X24" s="149"/>
      <c r="Y24" s="154"/>
      <c r="Z24" s="158"/>
      <c r="AA24" s="158"/>
    </row>
    <row r="25" ht="63.75" customHeight="1">
      <c r="A25" s="159"/>
      <c r="B25" s="160" t="str">
        <f>'Form responses'!BZ1</f>
        <v>AI Done With Murrah Straws</v>
      </c>
      <c r="C25" s="161" t="str">
        <f>'Form responses'!CA1</f>
        <v>Cover Murrah Straws</v>
      </c>
      <c r="D25" s="161" t="str">
        <f>'Form responses'!CB1</f>
        <v>AI Nili-Ravi Straws</v>
      </c>
      <c r="E25" s="161" t="str">
        <f>'Form responses'!CC1</f>
        <v>Cover Nili-Ravi Straws</v>
      </c>
      <c r="F25" s="162" t="s">
        <v>524</v>
      </c>
      <c r="G25" s="161" t="str">
        <f>'Form responses'!CD1</f>
        <v>AI Sexed MU Straws</v>
      </c>
      <c r="H25" s="161" t="str">
        <f>'Form responses'!CE1</f>
        <v>Cover Sexed MU Straws</v>
      </c>
      <c r="I25" s="161" t="str">
        <f>'Form responses'!CF1</f>
        <v>AI Nili-Ravi Sexed Straws</v>
      </c>
      <c r="J25" s="163" t="str">
        <f>'Form responses'!CG1</f>
        <v>Buffalo Cover Nili-Ravi Sexed</v>
      </c>
      <c r="K25" s="164" t="s">
        <v>525</v>
      </c>
      <c r="L25" s="165" t="str">
        <f>'Form responses'!DB1</f>
        <v>Murrah Tested</v>
      </c>
      <c r="M25" s="166" t="str">
        <f>'Form responses'!DC1</f>
        <v>Murrah Found Postive</v>
      </c>
      <c r="N25" s="166" t="str">
        <f>'Form responses'!DD1</f>
        <v>Nili Ravi Tested</v>
      </c>
      <c r="O25" s="166" t="str">
        <f>'Form responses'!DE1</f>
        <v>Nili Found Postive</v>
      </c>
      <c r="P25" s="166" t="str">
        <f>'Form responses'!DF1</f>
        <v>Sexed MU Tested</v>
      </c>
      <c r="Q25" s="166" t="str">
        <f>'Form responses'!DG1</f>
        <v>Sexed MU Found Postive</v>
      </c>
      <c r="R25" s="166" t="str">
        <f>'Form responses'!DH1</f>
        <v>Nilli-ravi Sexed  tested</v>
      </c>
      <c r="S25" s="167" t="str">
        <f>'Form responses'!DI1</f>
        <v>Nilli-ravi Sexed  found Positive</v>
      </c>
      <c r="T25" s="165" t="str">
        <f>'Form responses'!EF1</f>
        <v>Murrah Male Calves</v>
      </c>
      <c r="U25" s="166" t="str">
        <f>'Form responses'!EG1</f>
        <v>Murrah Female Calves</v>
      </c>
      <c r="V25" s="166" t="str">
        <f>'Form responses'!EH1</f>
        <v>Nili Ravi Male Calves</v>
      </c>
      <c r="W25" s="166" t="str">
        <f>'Form responses'!EI1</f>
        <v>Nili Ravi Female Calves</v>
      </c>
      <c r="X25" s="166" t="str">
        <f>'Form responses'!EJ1</f>
        <v>Sexed MU Male Calves</v>
      </c>
      <c r="Y25" s="166" t="str">
        <f>'Form responses'!EK1</f>
        <v>Sexed MU female Calves</v>
      </c>
      <c r="Z25" s="166" t="str">
        <f>'Form responses'!EL1</f>
        <v>Nilli-Ravi Sexed Male Calves</v>
      </c>
      <c r="AA25" s="167" t="str">
        <f>'Form responses'!EM1</f>
        <v>Nilli-Ravi Sexed female Calves</v>
      </c>
    </row>
    <row r="26" ht="24.75" customHeight="1">
      <c r="A26" s="168"/>
      <c r="B26" s="145">
        <f>sumifs('Form responses'!BZ$2:BZ63,'Form responses'!$C$2:$C63,"&gt;="&amp;$N$1,'Form responses'!$C$2:$C63,"&lt;="&amp;$Q$1,'Form responses'!$D$2:$D63,$J$1)</f>
        <v>0</v>
      </c>
      <c r="C26" s="145">
        <f>sumifs('Form responses'!CA$2:CA63,'Form responses'!$C$2:$C63,"&gt;="&amp;$N$1,'Form responses'!$C$2:$C63,"&lt;="&amp;$Q$1,'Form responses'!$D$2:$D63,$J$1)</f>
        <v>0</v>
      </c>
      <c r="D26" s="145">
        <f>sumifs('Form responses'!CB$2:CB63,'Form responses'!$C$2:$C63,"&gt;="&amp;$N$1,'Form responses'!$C$2:$C63,"&lt;="&amp;$Q$1,'Form responses'!$D$2:$D63,$J$1)</f>
        <v>0</v>
      </c>
      <c r="E26" s="169">
        <f>sumifs('Form responses'!CC$2:CC63,'Form responses'!$C$2:$C63,"&gt;="&amp;$N$1,'Form responses'!$C$2:$C63,"&lt;="&amp;$Q$1,'Form responses'!$D$2:$D63,$J$1)</f>
        <v>0</v>
      </c>
      <c r="F26" s="136">
        <f t="shared" ref="F26:F27" si="7">B26+D26</f>
        <v>0</v>
      </c>
      <c r="G26" s="113">
        <f>sumifs('Form responses'!CD$2:CD63,'Form responses'!$C$2:$C63,"&gt;="&amp;$N$1,'Form responses'!$C$2:$C63,"&lt;="&amp;$Q$1,'Form responses'!$D$2:$D63,$J$1)</f>
        <v>0</v>
      </c>
      <c r="H26" s="109">
        <f>sumifs('Form responses'!CE$2:CE63,'Form responses'!$C$2:$C63,"&gt;="&amp;$N$1,'Form responses'!$C$2:$C63,"&lt;="&amp;$Q$1,'Form responses'!$D$2:$D63,$J$1)</f>
        <v>0</v>
      </c>
      <c r="I26" s="109">
        <f>sumifs('Form responses'!CF$2:CF63,'Form responses'!$C$2:$C63,"&gt;="&amp;$N$1,'Form responses'!$C$2:$C63,"&lt;="&amp;$Q$1,'Form responses'!$D$2:$D63,$J$1)</f>
        <v>0</v>
      </c>
      <c r="J26" s="170">
        <f>sumifs('Form responses'!CG$2:CG63,'Form responses'!$C$2:$C63,"&gt;="&amp;$N$1,'Form responses'!$C$2:$C63,"&lt;="&amp;$Q$1,'Form responses'!$D$2:$D63,$J$1)</f>
        <v>0</v>
      </c>
      <c r="K26" s="171">
        <f t="shared" ref="K26:K27" si="8">G26+I26</f>
        <v>0</v>
      </c>
      <c r="L26" s="145">
        <f>sumifs('Form responses'!DB$2:DB63,'Form responses'!$C$2:$C63,"&gt;="&amp;$N$1,'Form responses'!$C$2:$C63,"&lt;="&amp;$Q$1,'Form responses'!$D$2:$D63,$J$1)</f>
        <v>0</v>
      </c>
      <c r="M26" s="109">
        <f>sumifs('Form responses'!DC$2:DC63,'Form responses'!$C$2:$C63,"&gt;="&amp;$N$1,'Form responses'!$C$2:$C63,"&lt;="&amp;$Q$1,'Form responses'!$D$2:$D63,$J$1)</f>
        <v>0</v>
      </c>
      <c r="N26" s="109">
        <f>sumifs('Form responses'!DD$2:DD63,'Form responses'!$C$2:$C63,"&gt;="&amp;$N$1,'Form responses'!$C$2:$C63,"&lt;="&amp;$Q$1,'Form responses'!$D$2:$D63,$J$1)</f>
        <v>0</v>
      </c>
      <c r="O26" s="109">
        <f>sumifs('Form responses'!DE$2:DE63,'Form responses'!$C$2:$C63,"&gt;="&amp;$N$1,'Form responses'!$C$2:$C63,"&lt;="&amp;$Q$1,'Form responses'!$D$2:$D63,$J$1)</f>
        <v>0</v>
      </c>
      <c r="P26" s="109">
        <f>sumifs('Form responses'!DF$2:DF63,'Form responses'!$C$2:$C63,"&gt;="&amp;$N$1,'Form responses'!$C$2:$C63,"&lt;="&amp;$Q$1,'Form responses'!$D$2:$D63,$J$1)</f>
        <v>0</v>
      </c>
      <c r="Q26" s="109">
        <f>sumifs('Form responses'!DG$2:DG63,'Form responses'!$C$2:$C63,"&gt;="&amp;$N$1,'Form responses'!$C$2:$C63,"&lt;="&amp;$Q$1,'Form responses'!$D$2:$D63,$J$1)</f>
        <v>0</v>
      </c>
      <c r="R26" s="109">
        <f>sumifs('Form responses'!DH$2:DH63,'Form responses'!$C$2:$C63,"&gt;="&amp;$N$1,'Form responses'!$C$2:$C63,"&lt;="&amp;$Q$1,'Form responses'!$D$2:$D63,$J$1)</f>
        <v>0</v>
      </c>
      <c r="S26" s="170">
        <f>sumifs('Form responses'!DI$2:DI63,'Form responses'!$C$2:$C63,"&gt;="&amp;$N$1,'Form responses'!$C$2:$C63,"&lt;="&amp;$Q$1,'Form responses'!$D$2:$D63,$J$1)</f>
        <v>0</v>
      </c>
      <c r="T26" s="145">
        <f>sumifs('Form responses'!EF$2:EF63,'Form responses'!$C$2:$C63,"&gt;="&amp;$N$1,'Form responses'!$C$2:$C63,"&lt;="&amp;$Q$1,'Form responses'!$D$2:$D63,$J$1)</f>
        <v>0</v>
      </c>
      <c r="U26" s="109">
        <f>sumifs('Form responses'!EG$2:EG63,'Form responses'!$C$2:$C63,"&gt;="&amp;$N$1,'Form responses'!$C$2:$C63,"&lt;="&amp;$Q$1,'Form responses'!$D$2:$D63,$J$1)</f>
        <v>0</v>
      </c>
      <c r="V26" s="109">
        <f>sumifs('Form responses'!EH$2:EH63,'Form responses'!$C$2:$C63,"&gt;="&amp;$N$1,'Form responses'!$C$2:$C63,"&lt;="&amp;$Q$1,'Form responses'!$D$2:$D63,$J$1)</f>
        <v>0</v>
      </c>
      <c r="W26" s="109">
        <f>sumifs('Form responses'!EI$2:EI63,'Form responses'!$C$2:$C63,"&gt;="&amp;$N$1,'Form responses'!$C$2:$C63,"&lt;="&amp;$Q$1,'Form responses'!$D$2:$D63,$J$1)</f>
        <v>0</v>
      </c>
      <c r="X26" s="109">
        <f>sumifs('Form responses'!EJ$2:EJ63,'Form responses'!$C$2:$C63,"&gt;="&amp;$N$1,'Form responses'!$C$2:$C63,"&lt;="&amp;$Q$1,'Form responses'!$D$2:$D63,$J$1)</f>
        <v>0</v>
      </c>
      <c r="Y26" s="109">
        <f>sumifs('Form responses'!EK$2:EK63,'Form responses'!$C$2:$C63,"&gt;="&amp;$N$1,'Form responses'!$C$2:$C63,"&lt;="&amp;$Q$1,'Form responses'!$D$2:$D63,$J$1)</f>
        <v>0</v>
      </c>
      <c r="Z26" s="109">
        <f>sumifs('Form responses'!EL$2:EL63,'Form responses'!$C$2:$C63,"&gt;="&amp;$N$1,'Form responses'!$C$2:$C63,"&lt;="&amp;$Q$1,'Form responses'!$D$2:$D63,$J$1)</f>
        <v>0</v>
      </c>
      <c r="AA26" s="170">
        <f>sumifs('Form responses'!EM$2:EM63,'Form responses'!$C$2:$C63,"&gt;="&amp;$N$1,'Form responses'!$C$2:$C63,"&lt;="&amp;$Q$1,'Form responses'!$D$2:$D63,$J$1)</f>
        <v>0</v>
      </c>
    </row>
    <row r="27" ht="24.75" customHeight="1">
      <c r="A27" s="172"/>
      <c r="B27" s="148">
        <f>sumifs('Form responses'!BZ$2:BZ63,'Form responses'!$C$2:$C63,"&gt;="&amp;Date(YEAR(DATE(YEAR($Q$1),MONTH($Q$1)+(-3),1)),4,1),'Form responses'!$C$2:$C63,"&lt;="&amp;$Q$1,'Form responses'!$D$2:$D63,$J$1)</f>
        <v>0</v>
      </c>
      <c r="C27" s="173">
        <f>sumifs('Form responses'!CA$2:CA63,'Form responses'!$C$2:$C63,"&gt;="&amp;Date(YEAR(DATE(YEAR($Q$1),MONTH($Q$1)+(-3),1)),4,1),'Form responses'!$C$2:$C63,"&lt;="&amp;$Q$1,'Form responses'!$D$2:$D63,$J$1)</f>
        <v>0</v>
      </c>
      <c r="D27" s="173">
        <f>sumifs('Form responses'!CB$2:CB63,'Form responses'!$C$2:$C63,"&gt;="&amp;Date(YEAR(DATE(YEAR($Q$1),MONTH($Q$1)+(-3),1)),4,1),'Form responses'!$C$2:$C63,"&lt;="&amp;$Q$1,'Form responses'!$D$2:$D63,$J$1)</f>
        <v>0</v>
      </c>
      <c r="E27" s="174">
        <f>sumifs('Form responses'!CC$2:CC63,'Form responses'!$C$2:$C63,"&gt;="&amp;Date(YEAR(DATE(YEAR($Q$1),MONTH($Q$1)+(-3),1)),4,1),'Form responses'!$C$2:$C63,"&lt;="&amp;$Q$1,'Form responses'!$D$2:$D63,$J$1)</f>
        <v>0</v>
      </c>
      <c r="F27" s="175">
        <f t="shared" si="7"/>
        <v>0</v>
      </c>
      <c r="G27" s="176">
        <f>sumifs('Form responses'!CD$2:CD63,'Form responses'!$C$2:$C63,"&gt;="&amp;Date(YEAR(DATE(YEAR($Q$1),MONTH($Q$1)+(-3),1)),4,1),'Form responses'!$C$2:$C63,"&lt;="&amp;$Q$1,'Form responses'!$D$2:$D63,$J$1)</f>
        <v>0</v>
      </c>
      <c r="H27" s="173">
        <f>sumifs('Form responses'!CE$2:CE63,'Form responses'!$C$2:$C63,"&gt;="&amp;Date(YEAR(DATE(YEAR($Q$1),MONTH($Q$1)+(-3),1)),4,1),'Form responses'!$C$2:$C63,"&lt;="&amp;$Q$1,'Form responses'!$D$2:$D63,$J$1)</f>
        <v>0</v>
      </c>
      <c r="I27" s="173">
        <f>sumifs('Form responses'!CF$2:CF63,'Form responses'!$C$2:$C63,"&gt;="&amp;Date(YEAR(DATE(YEAR($Q$1),MONTH($Q$1)+(-3),1)),4,1),'Form responses'!$C$2:$C63,"&lt;="&amp;$Q$1,'Form responses'!$D$2:$D63,$J$1)</f>
        <v>0</v>
      </c>
      <c r="J27" s="177">
        <f>sumifs('Form responses'!CG$2:CG63,'Form responses'!$C$2:$C63,"&gt;="&amp;Date(YEAR(DATE(YEAR($Q$1),MONTH($Q$1)+(-3),1)),4,1),'Form responses'!$C$2:$C63,"&lt;="&amp;$Q$1,'Form responses'!$D$2:$D63,$J$1)</f>
        <v>0</v>
      </c>
      <c r="K27" s="178">
        <f t="shared" si="8"/>
        <v>0</v>
      </c>
      <c r="L27" s="148">
        <f>sumifs('Form responses'!DB$2:DB63,'Form responses'!$C$2:$C63,"&gt;="&amp;Date(YEAR(DATE(YEAR($Q$1),MONTH($Q$1)+(-3),1)),4,1),'Form responses'!$C$2:$C63,"&lt;="&amp;$Q$1,'Form responses'!$D$2:$D63,$J$1)</f>
        <v>0</v>
      </c>
      <c r="M27" s="173">
        <f>sumifs('Form responses'!DC$2:DC63,'Form responses'!$C$2:$C63,"&gt;="&amp;Date(YEAR(DATE(YEAR($Q$1),MONTH($Q$1)+(-3),1)),4,1),'Form responses'!$C$2:$C63,"&lt;="&amp;$Q$1,'Form responses'!$D$2:$D63,$J$1)</f>
        <v>0</v>
      </c>
      <c r="N27" s="173">
        <f>sumifs('Form responses'!DD$2:DD63,'Form responses'!$C$2:$C63,"&gt;="&amp;Date(YEAR(DATE(YEAR($Q$1),MONTH($Q$1)+(-3),1)),4,1),'Form responses'!$C$2:$C63,"&lt;="&amp;$Q$1,'Form responses'!$D$2:$D63,$J$1)</f>
        <v>0</v>
      </c>
      <c r="O27" s="173">
        <f>sumifs('Form responses'!DE$2:DE63,'Form responses'!$C$2:$C63,"&gt;="&amp;Date(YEAR(DATE(YEAR($Q$1),MONTH($Q$1)+(-3),1)),4,1),'Form responses'!$C$2:$C63,"&lt;="&amp;$Q$1,'Form responses'!$D$2:$D63,$J$1)</f>
        <v>0</v>
      </c>
      <c r="P27" s="173">
        <f>sumifs('Form responses'!DF$2:DF63,'Form responses'!$C$2:$C63,"&gt;="&amp;Date(YEAR(DATE(YEAR($Q$1),MONTH($Q$1)+(-3),1)),4,1),'Form responses'!$C$2:$C63,"&lt;="&amp;$Q$1,'Form responses'!$D$2:$D63,$J$1)</f>
        <v>0</v>
      </c>
      <c r="Q27" s="173">
        <f>sumifs('Form responses'!DG$2:DG63,'Form responses'!$C$2:$C63,"&gt;="&amp;Date(YEAR(DATE(YEAR($Q$1),MONTH($Q$1)+(-3),1)),4,1),'Form responses'!$C$2:$C63,"&lt;="&amp;$Q$1,'Form responses'!$D$2:$D63,$J$1)</f>
        <v>0</v>
      </c>
      <c r="R27" s="173">
        <f>sumifs('Form responses'!DH$2:DH63,'Form responses'!$C$2:$C63,"&gt;="&amp;Date(YEAR(DATE(YEAR($Q$1),MONTH($Q$1)+(-3),1)),4,1),'Form responses'!$C$2:$C63,"&lt;="&amp;$Q$1,'Form responses'!$D$2:$D63,$J$1)</f>
        <v>0</v>
      </c>
      <c r="S27" s="177">
        <f>sumifs('Form responses'!DI$2:DI63,'Form responses'!$C$2:$C63,"&gt;="&amp;Date(YEAR(DATE(YEAR($Q$1),MONTH($Q$1)+(-3),1)),4,1),'Form responses'!$C$2:$C63,"&lt;="&amp;$Q$1,'Form responses'!$D$2:$D63,$J$1)</f>
        <v>0</v>
      </c>
      <c r="T27" s="148">
        <f>sumifs('Form responses'!EF$2:EF63,'Form responses'!$C$2:$C63,"&gt;="&amp;Date(YEAR(DATE(YEAR($Q$1),MONTH($Q$1)+(-3),1)),4,1),'Form responses'!$C$2:$C63,"&lt;="&amp;$Q$1,'Form responses'!$D$2:$D63,$J$1)</f>
        <v>0</v>
      </c>
      <c r="U27" s="173">
        <f>sumifs('Form responses'!EG$2:EG63,'Form responses'!$C$2:$C63,"&gt;="&amp;Date(YEAR(DATE(YEAR($Q$1),MONTH($Q$1)+(-3),1)),4,1),'Form responses'!$C$2:$C63,"&lt;="&amp;$Q$1,'Form responses'!$D$2:$D63,$J$1)</f>
        <v>0</v>
      </c>
      <c r="V27" s="173">
        <f>sumifs('Form responses'!EH$2:EH63,'Form responses'!$C$2:$C63,"&gt;="&amp;Date(YEAR(DATE(YEAR($Q$1),MONTH($Q$1)+(-3),1)),4,1),'Form responses'!$C$2:$C63,"&lt;="&amp;$Q$1,'Form responses'!$D$2:$D63,$J$1)</f>
        <v>0</v>
      </c>
      <c r="W27" s="173">
        <f>sumifs('Form responses'!EI$2:EI63,'Form responses'!$C$2:$C63,"&gt;="&amp;Date(YEAR(DATE(YEAR($Q$1),MONTH($Q$1)+(-3),1)),4,1),'Form responses'!$C$2:$C63,"&lt;="&amp;$Q$1,'Form responses'!$D$2:$D63,$J$1)</f>
        <v>0</v>
      </c>
      <c r="X27" s="173">
        <f>sumifs('Form responses'!EJ$2:EJ63,'Form responses'!$C$2:$C63,"&gt;="&amp;Date(YEAR(DATE(YEAR($Q$1),MONTH($Q$1)+(-3),1)),4,1),'Form responses'!$C$2:$C63,"&lt;="&amp;$Q$1,'Form responses'!$D$2:$D63,$J$1)</f>
        <v>0</v>
      </c>
      <c r="Y27" s="173">
        <f>sumifs('Form responses'!EK$2:EK63,'Form responses'!$C$2:$C63,"&gt;="&amp;Date(YEAR(DATE(YEAR($Q$1),MONTH($Q$1)+(-3),1)),4,1),'Form responses'!$C$2:$C63,"&lt;="&amp;$Q$1,'Form responses'!$D$2:$D63,$J$1)</f>
        <v>0</v>
      </c>
      <c r="Z27" s="173">
        <f>sumifs('Form responses'!EL$2:EL63,'Form responses'!$C$2:$C63,"&gt;="&amp;Date(YEAR(DATE(YEAR($Q$1),MONTH($Q$1)+(-3),1)),4,1),'Form responses'!$C$2:$C63,"&lt;="&amp;$Q$1,'Form responses'!$D$2:$D63,$J$1)</f>
        <v>0</v>
      </c>
      <c r="AA27" s="177">
        <f>sumifs('Form responses'!EM$2:EM63,'Form responses'!$C$2:$C63,"&gt;="&amp;Date(YEAR(DATE(YEAR($Q$1),MONTH($Q$1)+(-3),1)),4,1),'Form responses'!$C$2:$C63,"&lt;="&amp;$Q$1,'Form responses'!$D$2:$D63,$J$1)</f>
        <v>0</v>
      </c>
    </row>
    <row r="28" ht="21.75" customHeight="1">
      <c r="C28" s="117"/>
      <c r="D28" s="118" t="s">
        <v>526</v>
      </c>
      <c r="E28" s="179"/>
      <c r="F28" s="179"/>
      <c r="G28" s="179"/>
      <c r="H28" s="179"/>
      <c r="I28" s="179"/>
      <c r="J28" s="179"/>
      <c r="K28" s="179"/>
      <c r="L28" s="179"/>
      <c r="M28" s="179"/>
      <c r="N28" s="179"/>
      <c r="O28" s="179"/>
      <c r="P28" s="179"/>
      <c r="Q28" s="179"/>
      <c r="R28" s="179"/>
      <c r="S28" s="179"/>
      <c r="T28" s="179"/>
      <c r="U28" s="179"/>
      <c r="V28" s="179"/>
      <c r="W28" s="179"/>
      <c r="X28" s="131"/>
      <c r="Y28" s="131"/>
      <c r="Z28" s="131"/>
      <c r="AA28" s="131"/>
    </row>
    <row r="29" ht="29.25" customHeight="1">
      <c r="A29" s="180"/>
      <c r="B29" s="180"/>
      <c r="C29" s="181"/>
      <c r="D29" s="107" t="s">
        <v>527</v>
      </c>
      <c r="E29" s="107" t="s">
        <v>528</v>
      </c>
      <c r="F29" s="107" t="s">
        <v>529</v>
      </c>
      <c r="G29" s="107" t="s">
        <v>530</v>
      </c>
      <c r="H29" s="107" t="s">
        <v>531</v>
      </c>
      <c r="I29" s="107" t="s">
        <v>532</v>
      </c>
      <c r="J29" s="107" t="s">
        <v>533</v>
      </c>
      <c r="K29" s="107" t="s">
        <v>534</v>
      </c>
      <c r="L29" s="107" t="s">
        <v>535</v>
      </c>
      <c r="M29" s="107" t="s">
        <v>536</v>
      </c>
      <c r="N29" s="107" t="s">
        <v>15</v>
      </c>
      <c r="O29" s="107" t="s">
        <v>537</v>
      </c>
      <c r="P29" s="107" t="s">
        <v>538</v>
      </c>
      <c r="Q29" s="107" t="s">
        <v>539</v>
      </c>
      <c r="R29" s="107" t="s">
        <v>540</v>
      </c>
      <c r="S29" s="180"/>
      <c r="T29" s="182"/>
      <c r="U29" s="182"/>
      <c r="V29" s="182"/>
      <c r="W29" s="182"/>
      <c r="X29" s="180"/>
      <c r="Y29" s="180"/>
      <c r="Z29" s="180"/>
      <c r="AA29" s="180"/>
    </row>
    <row r="30" ht="19.5" customHeight="1">
      <c r="B30" s="183"/>
      <c r="C30" s="184" t="s">
        <v>541</v>
      </c>
      <c r="D30" s="185">
        <f>sumifs('Form responses'!ER2:ER63,
'Form responses'!$C$2:$C63,
"&lt;="&amp;Date(YEAR(DATE(YEAR($N$1),MONTH($N$1)+(-3),1)),4,1),
'Form responses'!$D$2:$D63,$J$1)
-(
+sumifs('Form responses'!FH2:FH63,
'Form responses'!$C$2:$C63,
"&lt;="&amp;Date(YEAR(DATE(YEAR($N$1),MONTH($N$1)+(-3),1)),4,1),
'Form responses'!$D$2:$D63,$J$1)+sumifs('Form responses'!BF2:BF63, 'Form responses'!$C$2:$C63, "&lt;="&amp;Date(YEAR(DATE(YEAR($N$1),MONTH($N$1)+(-3),1)),4,1), 'Form responses'!$D$2:$D63, $J$1))</f>
        <v>0</v>
      </c>
      <c r="E30" s="185">
        <f>sumifs('Form responses'!ES2:ES63,
'Form responses'!$C$2:$C63,
"&lt;="&amp;Date(YEAR(DATE(YEAR($N$1),MONTH($N$1)+(-3),1)),4,1),
'Form responses'!$D$2:$D63,$J$1)
-(sumifs('Form responses'!FY2:FY63,
'Form responses'!$C$2:$C63,
"&lt;="&amp;Date(YEAR(DATE(YEAR($N$1),MONTH($N$1)+(-3),1)),4,1),
'Form responses'!$D$2:$D63,$J$1)
+sumifs('Form responses'!FI2:FI63,
'Form responses'!$C$2:$C63,
"&lt;="&amp;Date(YEAR(DATE(YEAR($N$1),MONTH($N$1)+(-3),1)),4,1),
'Form responses'!$D$2:$D63,$J$1)+sumifs('Form responses'!BH2:BH63, 'Form responses'!$C$2:$C63, "&lt;="&amp;Date(YEAR(DATE(YEAR($N$1),MONTH($N$1)+(-3),1)),4,1), 'Form responses'!$D$2:$D63, $J$1))</f>
        <v>0</v>
      </c>
      <c r="F30" s="185">
        <f>sumifs('Form responses'!ET2:ET63,
'Form responses'!$C$2:$C63,
"&lt;="&amp;Date(YEAR(DATE(YEAR($N$1),MONTH($N$1)+(-3),1)),4,1),
'Form responses'!$D$2:$D63,$J$1)
-(
+sumifs('Form responses'!FJ2:FJ63,
'Form responses'!$C$2:$C63,
"&lt;="&amp;Date(YEAR(DATE(YEAR($N$1),MONTH($N$1)+(-3),1)),4,1),
'Form responses'!$D$2:$D63,$J$1)+sumifs('Form responses'!BJ2:BJ63, 'Form responses'!$C$2:$C63, "&lt;="&amp;Date(YEAR(DATE(YEAR($N$1),MONTH($N$1)+(-3),1)),4,1), 'Form responses'!$D$2:$D63, $J$1))</f>
        <v>0</v>
      </c>
      <c r="G30" s="185">
        <f>sumifs('Form responses'!EU2:EU63,
'Form responses'!$C$2:$C63,
"&lt;="&amp;Date(YEAR(DATE(YEAR($N$1),MONTH($N$1)+(-3),1)),4,1),
'Form responses'!$D$2:$D63,$J$1)
-(sumifs('Form responses'!GA2:GA63,
'Form responses'!$C$2:$C63,
"&lt;="&amp;Date(YEAR(DATE(YEAR($N$1),MONTH($N$1)+(-3),1)),4,1),
'Form responses'!$D$2:$D63,$J$1)
+sumifs('Form responses'!FK2:FK63,
'Form responses'!$C$2:$C63,
"&lt;="&amp;Date(YEAR(DATE(YEAR($N$1),MONTH($N$1)+(-3),1)),4,1),
'Form responses'!$D$2:$D63,$J$1)+sumifs('Form responses'!BL2:BL63, 'Form responses'!$C$2:$C63, "&lt;="&amp;Date(YEAR(DATE(YEAR($N$1),MONTH($N$1)+(-3),1)),4,1), 'Form responses'!$D$2:$D63, $J$1))</f>
        <v>0</v>
      </c>
      <c r="H30" s="185">
        <f>sumifs('Form responses'!EV2:EV63,
'Form responses'!$C$2:$C63,
"&lt;="&amp;Date(YEAR(DATE(YEAR($N$1),MONTH($N$1)+(-3),1)),4,1),
'Form responses'!$D$2:$D63,$J$1)
-(sumifs('Form responses'!GB2:GB63,
'Form responses'!$C$2:$C63,
"&lt;="&amp;Date(YEAR(DATE(YEAR($N$1),MONTH($N$1)+(-3),1)),4,1),
'Form responses'!$D$2:$D63,$J$1)
+sumifs('Form responses'!FL2:FL63,
'Form responses'!$C$2:$C63,
"&lt;="&amp;Date(YEAR(DATE(YEAR($N$1),MONTH($N$1)+(-3),1)),4,1),
'Form responses'!$D$2:$D63,$J$1)+sumifs('Form responses'!BN2:BN63, 'Form responses'!$C$2:$C63, "&lt;="&amp;Date(YEAR(DATE(YEAR($N$1),MONTH($N$1)+(-3),1)),4,1), 'Form responses'!$D$2:$D63, $J$1))</f>
        <v>0</v>
      </c>
      <c r="I30" s="185">
        <f>sumifs('Form responses'!EW2:EW63,
'Form responses'!$C$2:$C63,
"&lt;="&amp;Date(YEAR(DATE(YEAR($N$1),MONTH($N$1)+(-3),1)),4,1),
'Form responses'!$D$2:$D63,$J$1)
-(sumifs('Form responses'!GC2:GC63,
'Form responses'!$C$2:$C63,
"&lt;="&amp;Date(YEAR(DATE(YEAR($N$1),MONTH($N$1)+(-2),1)),4,1),
'Form responses'!$D$2:$D63,$J$1)
+sumifs('Form responses'!FM2:FM63,
'Form responses'!$C$2:$C63,
"&lt;="&amp;Date(YEAR(DATE(YEAR($N$1),MONTH($N$1)+(-2),1)),4,1),
'Form responses'!$D$2:$D63,$J$1)+sumifs('Form responses'!BP2:BP63, 'Form responses'!$C$2:$C63, "&lt;="&amp;Date(YEAR(DATE(YEAR($N$1),MONTH($N$1)+(-2),1)),4,1), 'Form responses'!$D$2:$D63, $J$1))</f>
        <v>0</v>
      </c>
      <c r="J30" s="185">
        <f>sumifs('Form responses'!EX2:EX63,
'Form responses'!$C$2:$C63,
"&lt;="&amp;Date(YEAR(DATE(YEAR($N$1),MONTH($N$1)+(-3),1)),4,1),
'Form responses'!$D$2:$D63,$J$1)
-(sumifs('Form responses'!GD2:GD63,
'Form responses'!$C$2:$C63,
"&lt;="&amp;Date(YEAR(DATE(YEAR($N$1),MONTH($N$1)+(-3),1)),4,1),
'Form responses'!$D$2:$D63,$J$1)
+sumifs('Form responses'!FN2:FN63,
'Form responses'!$C$2:$C63,
"&lt;="&amp;Date(YEAR(DATE(YEAR($N$1),MONTH($N$1)+(-3),1)),4,1),
'Form responses'!$D$2:$D63,$J$1)+sumifs('Form responses'!BR2:BR63, 'Form responses'!$C$2:$C63, "&lt;="&amp;Date(YEAR(DATE(YEAR($N$1),MONTH($N$1)+(-3),1)),4,1), 'Form responses'!$D$2:$D63, $J$1))</f>
        <v>0</v>
      </c>
      <c r="K30" s="185">
        <f>sumifs('Form responses'!EY2:EY63,
'Form responses'!$C$2:$C63,
"&lt;="&amp;Date(YEAR(DATE(YEAR($N$1),MONTH($N$1)+(-3),1)),4,1),
'Form responses'!$D$2:$D63,$J$1)
-(sumifs('Form responses'!GL2:GL63,
'Form responses'!$C$2:$C63,
"&lt;="&amp;Date(YEAR(DATE(YEAR($N$1),MONTH($N$1)+(-3),1)),4,1),
'Form responses'!$D$2:$D63,$J$1)
+sumifs('Form responses'!FO2:FO63,
'Form responses'!$C$2:$C63,
"&lt;="&amp;Date(YEAR(DATE(YEAR($N$1),MONTH($N$1)+(-3),1)),4,1),
'Form responses'!$D$2:$D63,$J$1)+sumifs('Form responses'!BT2:BT63, 'Form responses'!$C$2:$C63, "&lt;="&amp;Date(YEAR(DATE(YEAR($N$1),MONTH($N$1)+(-3),1)),4,1), 'Form responses'!$D$2:$D63, $J$1))</f>
        <v>0</v>
      </c>
      <c r="L30" s="185">
        <f>sumifs('Form responses'!EZ2:EZ63,
'Form responses'!$C$2:$C63,
"&lt;="&amp;Date(YEAR(DATE(YEAR($N$1),MONTH($N$1)+(-3),1)),4,1),
'Form responses'!$D$2:$D63,$J$1)
-(sumifs('Form responses'!GE2:GE63,
'Form responses'!$C$2:$C63,
"&lt;="&amp;Date(YEAR(DATE(YEAR($N$1),MONTH($N$1)+(-3),1)),4,1),
'Form responses'!$D$2:$D63,$J$1)
+sumifs('Form responses'!FP2:FP63,
'Form responses'!$C$2:$C63,
"&lt;="&amp;Date(YEAR(DATE(YEAR($N$1),MONTH($N$1)+(-3),1)),4,1),
'Form responses'!$D$2:$D63,$J$1)+sumifs('Form responses'!BV2:BV63, 'Form responses'!$C$2:$C63, "&lt;="&amp;Date(YEAR(DATE(YEAR($N$1),MONTH($N$1)+(-3),1)),4,1), 'Form responses'!$D$2:$D63, $J$1))</f>
        <v>0</v>
      </c>
      <c r="M30" s="185">
        <f>sumifs('Form responses'!FA2:FA63,
'Form responses'!$C$2:$C63,
"&lt;="&amp;Date(YEAR(DATE(YEAR($N$1),MONTH($N$1)+(-3),1)),4,1),
'Form responses'!$D$2:$D63,$J$1)
-(sumifs('Form responses'!GF2:GF63,
'Form responses'!$C$2:$C63,
"&lt;="&amp;Date(YEAR(DATE(YEAR($N$1),MONTH($N$1)+(-3),1)),4,1),
'Form responses'!$D$2:$D63,$J$1)
+sumifs('Form responses'!FQ2:FQ63,
'Form responses'!$C$2:$C63,
"&lt;="&amp;Date(YEAR(DATE(YEAR($N$1),MONTH($N$1)+(-3),1)),4,1),
'Form responses'!$D$2:$D63,$J$1)+sumifs('Form responses'!BX2:BX63, 'Form responses'!$C$2:$C63, "&lt;="&amp;Date(YEAR(DATE(YEAR($N$1),MONTH($N$1)+(-3),1)),4,1), 'Form responses'!$D$2:$D63, $J$1))</f>
        <v>0</v>
      </c>
      <c r="N30" s="185">
        <f>sumifs('Form responses'!FB2:FB63,
'Form responses'!$C$2:$C63,
"&lt;="&amp;Date(YEAR(DATE(YEAR($N$1),MONTH($N$1)+(-3),1)),4,1),
'Form responses'!$D$2:$D63,$J$1)
-(sumifs('Form responses'!GG2:GG63,
'Form responses'!$C$2:$C63,
"&lt;="&amp;Date(YEAR(DATE(YEAR($N$1),MONTH($N$1)+(-3),1)),4,1),
'Form responses'!$D$2:$D63,$J$1)
+sumifs('Form responses'!FR2:FR63,
'Form responses'!$C$2:$C63,
"&lt;="&amp;Date(YEAR(DATE(YEAR($N$1),MONTH($N$1)+(-3),1)),4,1),
'Form responses'!$D$2:$D63,$J$1)+sumifs('Form responses'!BZ2:BZ63, 'Form responses'!$C$2:$C63, "&lt;="&amp;Date(YEAR(DATE(YEAR($N$1),MONTH($N$1)+(-3),1)),4,1), 'Form responses'!$D$2:$D63, $J$1))</f>
        <v>0</v>
      </c>
      <c r="O30" s="185">
        <f>sumifs('Form responses'!FC2:FC63,
'Form responses'!$C$2:$C63,
"&lt;="&amp;Date(YEAR(DATE(YEAR($N$1),MONTH($N$1)+(-3),1)),4,1),
'Form responses'!$D$2:$D63,$J$1)
-(sumifs('Form responses'!GH2:GH63,
'Form responses'!$C$2:$C63,
"&lt;="&amp;Date(YEAR(DATE(YEAR($N$1),MONTH($N$1)+(-3),1)),4,1),
'Form responses'!$D$2:$D63,$J$1)
+sumifs('Form responses'!FS2:FS63,
'Form responses'!$C$2:$C63,
"&lt;="&amp;Date(YEAR(DATE(YEAR($N$1),MONTH($N$1)+(-3),1)),4,1),
'Form responses'!$D$2:$D63,$J$1)+sumifs('Form responses'!CB2:CB63, 'Form responses'!$C$2:$C63, "&lt;="&amp;Date(YEAR(DATE(YEAR($N$1),MONTH($N$1)+(-3),1)),4,1), 'Form responses'!$D$2:$D63, $J$1))</f>
        <v>0</v>
      </c>
      <c r="P30" s="185">
        <f>sumifs('Form responses'!FD2:FD63,
'Form responses'!$C$2:$C63,
"&lt;="&amp;Date(YEAR(DATE(YEAR($N$1),MONTH($N$1)+(-3),1)),4,1),
'Form responses'!$D$2:$D63,$J$1)
-(sumifs('Form responses'!GI2:GI63,
'Form responses'!$C$2:$C63,
"&lt;="&amp;Date(YEAR(DATE(YEAR($N$1),MONTH($N$1)+(-3),1)),4,1),
'Form responses'!$D$2:$D63,$J$1)
+sumifs('Form responses'!FT2:FT63,
'Form responses'!$C$2:$C63,
"&lt;="&amp;Date(YEAR(DATE(YEAR($N$1),MONTH($N$1)+(-3),1)),4,1),
'Form responses'!$D$2:$D63,$J$1)+sumifs('Form responses'!CD2:CD63, 'Form responses'!$C$2:$C63, "&lt;="&amp;Date(YEAR(DATE(YEAR($N$1),MONTH($N$1)+(-3),1)),4,1), 'Form responses'!$D$2:$D63, $J$1))</f>
        <v>0</v>
      </c>
      <c r="Q30" s="185">
        <f>sumifs('Form responses'!FE2:FE63,
'Form responses'!$C$2:$C63,
"&lt;="&amp;Date(YEAR(DATE(YEAR($N$1),MONTH($N$1)+(-3),1)),4,1),
'Form responses'!$D$2:$D63,$J$1)
-(sumifs('Form responses'!GJ2:GJ63,
'Form responses'!$C$2:$C63,
"&lt;="&amp;Date(YEAR(DATE(YEAR($N$1),MONTH($N$1)+(-3),1)),4,1),
'Form responses'!$D$2:$D63,$J$1)
+sumifs('Form responses'!FU2:FU63,
'Form responses'!$C$2:$C63,
"&lt;="&amp;Date(YEAR(DATE(YEAR($N$1),MONTH($N$1)+(-3),1)),4,1),
'Form responses'!$D$2:$D63,$J$1)+sumifs('Form responses'!CF2:CF63, 'Form responses'!$C$2:$C63, "&lt;="&amp;Date(YEAR(DATE(YEAR($N$1),MONTH($N$1)+(-3),1)),4,1), 'Form responses'!$D$2:$D63, $J$1))</f>
        <v>0</v>
      </c>
      <c r="R30" s="185"/>
      <c r="T30" s="154"/>
      <c r="U30" s="154"/>
      <c r="V30" s="154"/>
      <c r="W30" s="154"/>
    </row>
    <row r="31" ht="19.5" customHeight="1">
      <c r="B31" s="186"/>
      <c r="C31" s="184" t="s">
        <v>542</v>
      </c>
      <c r="D31" s="185">
        <f>sumifs('Form responses'!ER2:ER63,'Form responses'!$C$2:$C63,"&lt;="&amp;$N$1,'Form responses'!$D$2:$D63,$J$1)-(+sumifs('Form responses'!FH2:FH63,'Form responses'!$C$2:$C63,"&lt;="&amp;$N$1,'Form responses'!$D$2:$D63,$J$1)+sumifs('Form responses'!BF2:BF63,'Form responses'!$C$2:$C63,"&lt;="&amp;$N$1,'Form responses'!$D$2:$D63,$J$1))</f>
        <v>0</v>
      </c>
      <c r="E31" s="185">
        <f>sumifs('Form responses'!ES2:ES63,'Form responses'!$C$2:$C63,"&lt;="&amp;$N$1,'Form responses'!$D$2:$D63,$J$1)-(sumifs('Form responses'!FY2:FY63,'Form responses'!$C$2:$C63,"&lt;="&amp;$N$1,'Form responses'!$D$2:$D63,$J$1)+sumifs('Form responses'!FI2:FI63,'Form responses'!$C$2:$C63,"&lt;="&amp;$N$1,'Form responses'!$D$2:$D63,$J$1)+sumifs('Form responses'!BH2:BH63,'Form responses'!$C$2:$C63,"&lt;="&amp;$N$1,'Form responses'!$D$2:$D63,$J$1))</f>
        <v>0</v>
      </c>
      <c r="F31" s="185">
        <f>sumifs('Form responses'!ET2:ET63,'Form responses'!$C$2:$C63,"&lt;="&amp;$N$1,'Form responses'!$D$2:$D63,$J$1)-(sumifs('Form responses'!FJ2:FJ63,'Form responses'!$C$2:$C63,"&lt;="&amp;$N$1,'Form responses'!$D$2:$D63,$J$1)+sumifs('Form responses'!BJ2:BJ63,'Form responses'!$C$2:$C63,"&lt;="&amp;$N$1,'Form responses'!$D$2:$D63,$J$1))</f>
        <v>0</v>
      </c>
      <c r="G31" s="185">
        <f>sumifs('Form responses'!EU2:EU63,'Form responses'!$C$2:$C63,"&lt;="&amp;$N$1,'Form responses'!$D$2:$D63,$J$1)-(sumifs('Form responses'!GA2:GA63,'Form responses'!$C$2:$C63,"&lt;="&amp;$N$1,'Form responses'!$D$2:$D63,$J$1)+sumifs('Form responses'!FK2:FK63,'Form responses'!$C$2:$C63,"&lt;="&amp;$N$1,'Form responses'!$D$2:$D63,$J$1)+sumifs('Form responses'!BL2:BL63,'Form responses'!$C$2:$C63,"&lt;="&amp;$N$1,'Form responses'!$D$2:$D63,$J$1))</f>
        <v>0</v>
      </c>
      <c r="H31" s="185">
        <f>sumifs('Form responses'!EV2:EV63,'Form responses'!$C$2:$C63,"&lt;="&amp;$N$1,'Form responses'!$D$2:$D63,$J$1)-(sumifs('Form responses'!GB2:GB63,'Form responses'!$C$2:$C63,"&lt;="&amp;$N$1,'Form responses'!$D$2:$D63,$J$1)+sumifs('Form responses'!FL2:FL63,'Form responses'!$C$2:$C63,"&lt;="&amp;$N$1,'Form responses'!$D$2:$D63,$J$1)+sumifs('Form responses'!BN2:BN63,'Form responses'!$C$2:$C63,"&lt;="&amp;$N$1,'Form responses'!$D$2:$D63,$J$1))</f>
        <v>0</v>
      </c>
      <c r="I31" s="185">
        <f>sumifs('Form responses'!EW2:EW63,'Form responses'!$C$2:$C63,"&lt;="&amp;$N$1,'Form responses'!$D$2:$D63,$J$1)-(sumifs('Form responses'!GC2:GC63,'Form responses'!$C$2:$C63,"&lt;="&amp;$N$1,'Form responses'!$D$2:$D63,$J$1)+sumifs('Form responses'!FM2:FM63,'Form responses'!$C$2:$C63,"&lt;="&amp;$N$1,'Form responses'!$D$2:$D63,$J$1)+sumifs('Form responses'!BP2:BP63,'Form responses'!$C$2:$C63,"&lt;="&amp;$N$1,'Form responses'!$D$2:$D63,$J$1))</f>
        <v>0</v>
      </c>
      <c r="J31" s="185">
        <f>sumifs('Form responses'!EX2:EX63,'Form responses'!$C$2:$C63,"&lt;="&amp;$N$1,'Form responses'!$D$2:$D63,$J$1)-(sumifs('Form responses'!GD2:GD63,'Form responses'!$C$2:$C63,"&lt;="&amp;$N$1,'Form responses'!$D$2:$D63,$J$1)+sumifs('Form responses'!FN2:FN63,'Form responses'!$C$2:$C63,"&lt;="&amp;$N$1,'Form responses'!$D$2:$D63,$J$1)+sumifs('Form responses'!BR2:BR63,'Form responses'!$C$2:$C63,"&lt;="&amp;$N$1,'Form responses'!$D$2:$D63,$J$1))</f>
        <v>0</v>
      </c>
      <c r="K31" s="185">
        <f>sumifs('Form responses'!EY2:EY63,'Form responses'!$C$2:$C63,"&lt;="&amp;$N$1,'Form responses'!$D$2:$D63,$J$1)-(sumifs('Form responses'!GL2:GL63,'Form responses'!$C$2:$C63,"&lt;="&amp;$N$1,'Form responses'!$D$2:$D63,$J$1)+sumifs('Form responses'!FO2:FO63,'Form responses'!$C$2:$C63,"&lt;="&amp;$N$1,'Form responses'!$D$2:$D63,$J$1)+sumifs('Form responses'!BT2:BT63,'Form responses'!$C$2:$C63,"&lt;="&amp;$N$1,'Form responses'!$D$2:$D63,$J$1))</f>
        <v>0</v>
      </c>
      <c r="L31" s="185">
        <f>sumifs('Form responses'!EZ2:EZ63,'Form responses'!$C$2:$C63,"&lt;="&amp;$N$1,'Form responses'!$D$2:$D63,$J$1)-(sumifs('Form responses'!GE2:GE63,'Form responses'!$C$2:$C63,"&lt;="&amp;$N$1,'Form responses'!$D$2:$D63,$J$1)+sumifs('Form responses'!FP2:FP63,'Form responses'!$C$2:$C63,"&lt;="&amp;$N$1,'Form responses'!$D$2:$D63,$J$1)+sumifs('Form responses'!BV2:BV63,'Form responses'!$C$2:$C63,"&lt;="&amp;$N$1,'Form responses'!$D$2:$D63,$J$1))</f>
        <v>0</v>
      </c>
      <c r="M31" s="185">
        <f>sumifs('Form responses'!FA2:FA63,'Form responses'!$C$2:$C63,"&lt;="&amp;$N$1,'Form responses'!$D$2:$D63,$J$1)-(sumifs('Form responses'!GF2:GF63,'Form responses'!$C$2:$C63,"&lt;="&amp;$N$1,'Form responses'!$D$2:$D63,$J$1)+sumifs('Form responses'!FQ2:FQ63,'Form responses'!$C$2:$C63,"&lt;="&amp;$N$1,'Form responses'!$D$2:$D63,$J$1)+sumifs('Form responses'!BX2:BX63,'Form responses'!$C$2:$C63,"&lt;="&amp;$N$1,'Form responses'!$D$2:$D63,$J$1))</f>
        <v>0</v>
      </c>
      <c r="N31" s="185">
        <f>sumifs('Form responses'!FB2:FB63,'Form responses'!$C$2:$C63,"&lt;="&amp;$N$1,'Form responses'!$D$2:$D63,$J$1)-(sumifs('Form responses'!GG2:GG63,'Form responses'!$C$2:$C63,"&lt;="&amp;$N$1,'Form responses'!$D$2:$D63,$J$1)+sumifs('Form responses'!FR2:FR63,'Form responses'!$C$2:$C63,"&lt;="&amp;$N$1,'Form responses'!$D$2:$D63,$J$1)+sumifs('Form responses'!BZ2:BZ63,'Form responses'!$C$2:$C63,"&lt;="&amp;$N$1,'Form responses'!$D$2:$D63,$J$1))</f>
        <v>0</v>
      </c>
      <c r="O31" s="185">
        <f>sumifs('Form responses'!FC2:FC63,'Form responses'!$C$2:$C63,"&lt;="&amp;$N$1,'Form responses'!$D$2:$D63,$J$1)-(sumifs('Form responses'!GH2:GH63,'Form responses'!$C$2:$C63,"&lt;="&amp;$N$1,'Form responses'!$D$2:$D63,$J$1)+sumifs('Form responses'!FS2:FS63,'Form responses'!$C$2:$C63,"&lt;="&amp;$N$1,'Form responses'!$D$2:$D63,$J$1)+sumifs('Form responses'!CB2:CB63,'Form responses'!$C$2:$C63,"&lt;="&amp;$N$1,'Form responses'!$D$2:$D63,$J$1))</f>
        <v>0</v>
      </c>
      <c r="P31" s="185">
        <f>sumifs('Form responses'!FD2:FD63,'Form responses'!$C$2:$C63,"&lt;="&amp;$N$1,'Form responses'!$D$2:$D63,$J$1)-(sumifs('Form responses'!GI2:GI63,'Form responses'!$C$2:$C63,"&lt;="&amp;$N$1,'Form responses'!$D$2:$D63,$J$1)+sumifs('Form responses'!FT2:FT63,'Form responses'!$C$2:$C63,"&lt;="&amp;$N$1,'Form responses'!$D$2:$D63,$J$1)+sumifs('Form responses'!CD2:CD63,'Form responses'!$C$2:$C63,"&lt;="&amp;$N$1,'Form responses'!$D$2:$D63,$J$1))</f>
        <v>0</v>
      </c>
      <c r="Q31" s="185">
        <f>sumifs('Form responses'!FE2:FE63,'Form responses'!$C$2:$C63,"&lt;="&amp;$N$1,'Form responses'!$D$2:$D63,$J$1)-(sumifs('Form responses'!GJ2:GJ63,'Form responses'!$C$2:$C63,"&lt;="&amp;$N$1,'Form responses'!$D$2:$D63,$J$1)+sumifs('Form responses'!FU2:FU63,'Form responses'!$C$2:$C63,"&lt;="&amp;$N$1,'Form responses'!$D$2:$D63,$J$1)+sumifs('Form responses'!CF2:CF63,'Form responses'!$C$2:$C63,"&lt;="&amp;$N$1,'Form responses'!$D$2:$D63,$J$1))</f>
        <v>0</v>
      </c>
      <c r="R31" s="185"/>
      <c r="T31" s="154"/>
      <c r="U31" s="154"/>
      <c r="V31" s="154"/>
      <c r="W31" s="154"/>
    </row>
    <row r="32" ht="19.5" customHeight="1">
      <c r="B32" s="186"/>
      <c r="C32" s="184" t="s">
        <v>543</v>
      </c>
      <c r="D32" s="187">
        <f>sumifs('Form responses'!ER$2:ER63,'Form responses'!$C$2:$C63,"&gt;="&amp;$N$1,'Form responses'!$C$2:$C63,"&lt;="&amp;$Q$1,'Form responses'!$D$2:$D63,$J$1)</f>
        <v>0</v>
      </c>
      <c r="E32" s="187">
        <f>sumifs('Form responses'!ES$2:ES63,'Form responses'!$C$2:$C63,"&gt;="&amp;$N$1,'Form responses'!$C$2:$C63,"&lt;="&amp;$Q$1,'Form responses'!$D$2:$D63,$J$1)</f>
        <v>0</v>
      </c>
      <c r="F32" s="187">
        <f>sumifs('Form responses'!ET$2:ET63,'Form responses'!$C$2:$C63,"&gt;="&amp;$N$1,'Form responses'!$C$2:$C63,"&lt;="&amp;$Q$1,'Form responses'!$D$2:$D63,$J$1)</f>
        <v>0</v>
      </c>
      <c r="G32" s="187">
        <f>sumifs('Form responses'!EU$2:EU63,'Form responses'!$C$2:$C63,"&gt;="&amp;$N$1,'Form responses'!$C$2:$C63,"&lt;="&amp;$Q$1,'Form responses'!$D$2:$D63,$J$1)</f>
        <v>0</v>
      </c>
      <c r="H32" s="187">
        <f>sumifs('Form responses'!EV$2:EV63,'Form responses'!$C$2:$C63,"&gt;="&amp;$N$1,'Form responses'!$C$2:$C63,"&lt;="&amp;$Q$1,'Form responses'!$D$2:$D63,$J$1)</f>
        <v>0</v>
      </c>
      <c r="I32" s="187">
        <f>sumifs('Form responses'!EW$2:EW63,'Form responses'!$C$2:$C63,"&gt;="&amp;$N$1,'Form responses'!$C$2:$C63,"&lt;="&amp;$Q$1,'Form responses'!$D$2:$D63,$J$1)</f>
        <v>0</v>
      </c>
      <c r="J32" s="187">
        <f>sumifs('Form responses'!EX$2:EX63,'Form responses'!$C$2:$C63,"&gt;="&amp;$N$1,'Form responses'!$C$2:$C63,"&lt;="&amp;$Q$1,'Form responses'!$D$2:$D63,$J$1)</f>
        <v>0</v>
      </c>
      <c r="K32" s="187">
        <f>sumifs('Form responses'!EY$2:EY63,'Form responses'!$C$2:$C63,"&gt;="&amp;$N$1,'Form responses'!$C$2:$C63,"&lt;="&amp;$Q$1,'Form responses'!$D$2:$D63,$J$1)</f>
        <v>0</v>
      </c>
      <c r="L32" s="187">
        <f>sumifs('Form responses'!EZ$2:EZ63,'Form responses'!$C$2:$C63,"&gt;="&amp;$N$1,'Form responses'!$C$2:$C63,"&lt;="&amp;$Q$1,'Form responses'!$D$2:$D63,$J$1)</f>
        <v>0</v>
      </c>
      <c r="M32" s="187">
        <f>sumifs('Form responses'!FA$2:FA63,'Form responses'!$C$2:$C63,"&gt;="&amp;$N$1,'Form responses'!$C$2:$C63,"&lt;="&amp;$Q$1,'Form responses'!$D$2:$D63,$J$1)</f>
        <v>0</v>
      </c>
      <c r="N32" s="187">
        <f>sumifs('Form responses'!FB$2:FB63,'Form responses'!$C$2:$C63,"&gt;="&amp;$N$1,'Form responses'!$C$2:$C63,"&lt;="&amp;$Q$1,'Form responses'!$D$2:$D63,$J$1)</f>
        <v>0</v>
      </c>
      <c r="O32" s="187">
        <f>sumifs('Form responses'!FC$2:FC63,'Form responses'!$C$2:$C63,"&gt;="&amp;$N$1,'Form responses'!$C$2:$C63,"&lt;="&amp;$Q$1,'Form responses'!$D$2:$D63,$J$1)</f>
        <v>0</v>
      </c>
      <c r="P32" s="187">
        <f>sumifs('Form responses'!FD$2:FD63,'Form responses'!$C$2:$C63,"&gt;="&amp;$N$1,'Form responses'!$C$2:$C63,"&lt;="&amp;$Q$1,'Form responses'!$D$2:$D63,$J$1)</f>
        <v>0</v>
      </c>
      <c r="Q32" s="187">
        <f>sumifs('Form responses'!FE$2:FE63,'Form responses'!$C$2:$C63,"&gt;="&amp;$N$1,'Form responses'!$C$2:$C63,"&lt;="&amp;$Q$1,'Form responses'!$D$2:$D63,$J$1)</f>
        <v>0</v>
      </c>
      <c r="R32" s="187"/>
      <c r="T32" s="154"/>
      <c r="U32" s="154"/>
      <c r="V32" s="154"/>
      <c r="W32" s="154"/>
    </row>
    <row r="33" ht="19.5" customHeight="1">
      <c r="B33" s="186"/>
      <c r="C33" s="184" t="s">
        <v>544</v>
      </c>
      <c r="D33" s="187">
        <f>sumifs('Form responses'!BF$2:BF63,'Form responses'!$C$2:$C63,"&gt;="&amp;$N$1,'Form responses'!$C$2:$C63,"&lt;="&amp;$Q$1,'Form responses'!$D$2:$D63,$J$1)</f>
        <v>0</v>
      </c>
      <c r="E33" s="187">
        <f>sumifs('Form responses'!BH$2:BH63,'Form responses'!$C$2:$C63,"&gt;="&amp;$N$1,'Form responses'!$C$2:$C63,"&lt;="&amp;$Q$1,'Form responses'!$D$2:$D63,$J$1)</f>
        <v>0</v>
      </c>
      <c r="F33" s="187">
        <f>sumifs('Form responses'!BJ$2:BJ63,'Form responses'!$C$2:$C63,"&gt;="&amp;$N$1,'Form responses'!$C$2:$C63,"&lt;="&amp;$Q$1,'Form responses'!$D$2:$D63,$J$1)</f>
        <v>0</v>
      </c>
      <c r="G33" s="187">
        <f>sumifs('Form responses'!BL$2:BL63,'Form responses'!$C$2:$C63,"&gt;="&amp;$N$1,'Form responses'!$C$2:$C63,"&lt;="&amp;$Q$1,'Form responses'!$D$2:$D63,$J$1)</f>
        <v>0</v>
      </c>
      <c r="H33" s="187">
        <f>sumifs('Form responses'!BN$2:BN63,'Form responses'!$C$2:$C63,"&gt;="&amp;$N$1,'Form responses'!$C$2:$C63,"&lt;="&amp;$Q$1,'Form responses'!$D$2:$D63,$J$1)</f>
        <v>0</v>
      </c>
      <c r="I33" s="187">
        <f>sumifs('Form responses'!BP$2:BP63,'Form responses'!$C$2:$C63,"&gt;="&amp;$N$1,'Form responses'!$C$2:$C63,"&lt;="&amp;$Q$1,'Form responses'!$D$2:$D63,$J$1)</f>
        <v>0</v>
      </c>
      <c r="J33" s="187">
        <f>sumifs('Form responses'!BR$2:BR63,'Form responses'!$C$2:$C63,"&gt;="&amp;$N$1,'Form responses'!$C$2:$C63,"&lt;="&amp;$Q$1,'Form responses'!$D$2:$D63,$J$1)</f>
        <v>0</v>
      </c>
      <c r="K33" s="187">
        <f>sumifs('Form responses'!BT$2:BT63,'Form responses'!$C$2:$C63,"&gt;="&amp;$N$1,'Form responses'!$C$2:$C63,"&lt;="&amp;$Q$1,'Form responses'!$D$2:$D63,$J$1)</f>
        <v>0</v>
      </c>
      <c r="L33" s="187">
        <f>sumifs('Form responses'!BV$2:BV63,'Form responses'!$C$2:$C63,"&gt;="&amp;$N$1,'Form responses'!$C$2:$C63,"&lt;="&amp;$Q$1,'Form responses'!$D$2:$D63,$J$1)</f>
        <v>0</v>
      </c>
      <c r="M33" s="187">
        <f>sumifs('Form responses'!BX$2:BX63,'Form responses'!$C$2:$C63,"&gt;="&amp;$N$1,'Form responses'!$C$2:$C63,"&lt;="&amp;$Q$1,'Form responses'!$D$2:$D63,$J$1)</f>
        <v>0</v>
      </c>
      <c r="N33" s="187">
        <f>sumifs('Form responses'!BZ$2:BZ63,'Form responses'!$C$2:$C63,"&gt;="&amp;$N$1,'Form responses'!$C$2:$C63,"&lt;="&amp;$Q$1,'Form responses'!$D$2:$D63,$J$1)</f>
        <v>0</v>
      </c>
      <c r="O33" s="187">
        <f>sumifs('Form responses'!CB$2:CB63,'Form responses'!$C$2:$C63,"&gt;="&amp;$N$1,'Form responses'!$C$2:$C63,"&lt;="&amp;$Q$1,'Form responses'!$D$2:$D63,$J$1)</f>
        <v>0</v>
      </c>
      <c r="P33" s="187">
        <f>sumifs('Form responses'!CD$2:CD63,'Form responses'!$C$2:$C63,"&gt;="&amp;$N$1,'Form responses'!$C$2:$C63,"&lt;="&amp;$Q$1,'Form responses'!$D$2:$D63,$J$1)</f>
        <v>0</v>
      </c>
      <c r="Q33" s="187">
        <f>sumifs('Form responses'!CF$2:CF63,'Form responses'!$C$2:$C63,"&gt;="&amp;$N$1,'Form responses'!$C$2:$C63,"&lt;="&amp;$Q$1,'Form responses'!$D$2:$D63,$J$1)</f>
        <v>0</v>
      </c>
      <c r="R33" s="187"/>
      <c r="T33" s="154"/>
      <c r="U33" s="154"/>
      <c r="V33" s="154"/>
      <c r="W33" s="154"/>
    </row>
    <row r="34" ht="19.5" customHeight="1">
      <c r="B34" s="186"/>
      <c r="C34" s="184" t="s">
        <v>545</v>
      </c>
      <c r="D34" s="187"/>
      <c r="E34" s="187"/>
      <c r="F34" s="187"/>
      <c r="G34" s="187">
        <f>sumifs('Form responses'!GA$2:GA63,'Form responses'!$C$2:$C63,"&gt;="&amp;$N$1,'Form responses'!$C$2:$C63,"&lt;="&amp;$Q$1,'Form responses'!$D$2:$D63,$J$1)</f>
        <v>0</v>
      </c>
      <c r="H34" s="187">
        <f>sumifs('Form responses'!GB$2:GB63,'Form responses'!$C$2:$C63,"&gt;="&amp;$N$1,'Form responses'!$C$2:$C63,"&lt;="&amp;$Q$1,'Form responses'!$D$2:$D63,$J$1)</f>
        <v>0</v>
      </c>
      <c r="I34" s="187">
        <f>sumifs('Form responses'!GC$2:GC63,'Form responses'!$C$2:$C63,"&gt;="&amp;$N$1,'Form responses'!$C$2:$C63,"&lt;="&amp;$Q$1,'Form responses'!$D$2:$D63,$J$1)</f>
        <v>0</v>
      </c>
      <c r="J34" s="187">
        <f>sumifs('Form responses'!GD$2:GD63,'Form responses'!$C$2:$C63,"&gt;="&amp;$N$1,'Form responses'!$C$2:$C63,"&lt;="&amp;$Q$1,'Form responses'!$D$2:$D63,$J$1)</f>
        <v>0</v>
      </c>
      <c r="K34" s="187">
        <f>sumifs('Form responses'!GL$2:GL63,'Form responses'!$C$2:$C63,"&gt;="&amp;$N$1,'Form responses'!$C$2:$C63,"&lt;="&amp;$Q$1,'Form responses'!$D$2:$D63,$J$1)</f>
        <v>0</v>
      </c>
      <c r="L34" s="187">
        <f>sumifs('Form responses'!GE$2:GE63,'Form responses'!$C$2:$C63,"&gt;="&amp;$N$1,'Form responses'!$C$2:$C63,"&lt;="&amp;$Q$1,'Form responses'!$D$2:$D63,$J$1)</f>
        <v>0</v>
      </c>
      <c r="M34" s="187">
        <f>sumifs('Form responses'!GF$2:GF63,'Form responses'!$C$2:$C63,"&gt;="&amp;$N$1,'Form responses'!$C$2:$C63,"&lt;="&amp;$Q$1,'Form responses'!$D$2:$D63,$J$1)</f>
        <v>0</v>
      </c>
      <c r="N34" s="187">
        <f>sumifs('Form responses'!GG$2:GG63,'Form responses'!$C$2:$C63,"&gt;="&amp;$N$1,'Form responses'!$C$2:$C63,"&lt;="&amp;$Q$1,'Form responses'!$D$2:$D63,$J$1)</f>
        <v>0</v>
      </c>
      <c r="O34" s="187">
        <f>sumifs('Form responses'!GH$2:GH63,'Form responses'!$C$2:$C63,"&gt;="&amp;$N$1,'Form responses'!$C$2:$C63,"&lt;="&amp;$Q$1,'Form responses'!$D$2:$D63,$J$1)</f>
        <v>0</v>
      </c>
      <c r="P34" s="187">
        <f>sumifs('Form responses'!GI$2:GI63,'Form responses'!$C$2:$C63,"&gt;="&amp;$N$1,'Form responses'!$C$2:$C63,"&lt;="&amp;$Q$1,'Form responses'!$D$2:$D63,$J$1)</f>
        <v>0</v>
      </c>
      <c r="Q34" s="187">
        <f>sumifs('Form responses'!GJ$2:GJ63,'Form responses'!$C$2:$C63,"&gt;="&amp;$N$1,'Form responses'!$C$2:$C63,"&lt;="&amp;$Q$1,'Form responses'!$D$2:$D63,$J$1)</f>
        <v>0</v>
      </c>
      <c r="R34" s="187"/>
      <c r="T34" s="154"/>
      <c r="U34" s="154"/>
      <c r="V34" s="154"/>
      <c r="W34" s="154"/>
    </row>
    <row r="35" ht="19.5" customHeight="1">
      <c r="B35" s="186"/>
      <c r="C35" s="184" t="s">
        <v>546</v>
      </c>
      <c r="D35" s="187">
        <f>sumifs('Form responses'!FH$2:FH63,'Form responses'!$C$2:$C63,"&gt;="&amp;$N$1,'Form responses'!$C$2:$C63,"&lt;="&amp;$Q$1,'Form responses'!$D$2:$D63,$J$1)</f>
        <v>0</v>
      </c>
      <c r="E35" s="187">
        <f>sumifs('Form responses'!FI$2:FI63,'Form responses'!$C$2:$C63,"&gt;="&amp;$N$1,'Form responses'!$C$2:$C63,"&lt;="&amp;$Q$1,'Form responses'!$D$2:$D63,$J$1)</f>
        <v>0</v>
      </c>
      <c r="F35" s="187">
        <f>sumifs('Form responses'!FJ$2:FJ63,'Form responses'!$C$2:$C63,"&gt;="&amp;$N$1,'Form responses'!$C$2:$C63,"&lt;="&amp;$Q$1,'Form responses'!$D$2:$D63,$J$1)</f>
        <v>0</v>
      </c>
      <c r="G35" s="187">
        <f>sumifs('Form responses'!FK$2:FK63,'Form responses'!$C$2:$C63,"&gt;="&amp;$N$1,'Form responses'!$C$2:$C63,"&lt;="&amp;$Q$1,'Form responses'!$D$2:$D63,$J$1)</f>
        <v>0</v>
      </c>
      <c r="H35" s="187">
        <f>sumifs('Form responses'!FL$2:FL63,'Form responses'!$C$2:$C63,"&gt;="&amp;$N$1,'Form responses'!$C$2:$C63,"&lt;="&amp;$Q$1,'Form responses'!$D$2:$D63,$J$1)</f>
        <v>0</v>
      </c>
      <c r="I35" s="187">
        <f>sumifs('Form responses'!FM$2:FM63,'Form responses'!$C$2:$C63,"&gt;="&amp;$N$1,'Form responses'!$C$2:$C63,"&lt;="&amp;$Q$1,'Form responses'!$D$2:$D63,$J$1)</f>
        <v>0</v>
      </c>
      <c r="J35" s="187">
        <f>sumifs('Form responses'!FN$2:FN63,'Form responses'!$C$2:$C63,"&gt;="&amp;$N$1,'Form responses'!$C$2:$C63,"&lt;="&amp;$Q$1,'Form responses'!$D$2:$D63,$J$1)</f>
        <v>0</v>
      </c>
      <c r="K35" s="187">
        <f>sumifs('Form responses'!FO$2:FO63,'Form responses'!$C$2:$C63,"&gt;="&amp;$N$1,'Form responses'!$C$2:$C63,"&lt;="&amp;$Q$1,'Form responses'!$D$2:$D63,$J$1)</f>
        <v>0</v>
      </c>
      <c r="L35" s="187">
        <f>sumifs('Form responses'!FP$2:FP63,'Form responses'!$C$2:$C63,"&gt;="&amp;$N$1,'Form responses'!$C$2:$C63,"&lt;="&amp;$Q$1,'Form responses'!$D$2:$D63,$J$1)</f>
        <v>0</v>
      </c>
      <c r="M35" s="187">
        <f>sumifs('Form responses'!FQ$2:FQ63,'Form responses'!$C$2:$C63,"&gt;="&amp;$N$1,'Form responses'!$C$2:$C63,"&lt;="&amp;$Q$1,'Form responses'!$D$2:$D63,$J$1)</f>
        <v>0</v>
      </c>
      <c r="N35" s="187">
        <f>sumifs('Form responses'!FR$2:FR63,'Form responses'!$C$2:$C63,"&gt;="&amp;$N$1,'Form responses'!$C$2:$C63,"&lt;="&amp;$Q$1,'Form responses'!$D$2:$D63,$J$1)</f>
        <v>0</v>
      </c>
      <c r="O35" s="187">
        <f>sumifs('Form responses'!FS$2:FS63,'Form responses'!$C$2:$C63,"&gt;="&amp;$N$1,'Form responses'!$C$2:$C63,"&lt;="&amp;$Q$1,'Form responses'!$D$2:$D63,$J$1)</f>
        <v>0</v>
      </c>
      <c r="P35" s="187">
        <f>sumifs('Form responses'!FT$2:FT63,'Form responses'!$C$2:$C63,"&gt;="&amp;$N$1,'Form responses'!$C$2:$C63,"&lt;="&amp;$Q$1,'Form responses'!$D$2:$D63,$J$1)</f>
        <v>0</v>
      </c>
      <c r="Q35" s="187">
        <f>sumifs('Form responses'!FU$2:FU63,'Form responses'!$C$2:$C63,"&gt;="&amp;$N$1,'Form responses'!$C$2:$C63,"&lt;="&amp;$Q$1,'Form responses'!$D$2:$D63,$J$1)</f>
        <v>0</v>
      </c>
      <c r="R35" s="187"/>
      <c r="T35" s="154"/>
      <c r="U35" s="154"/>
      <c r="V35" s="154"/>
      <c r="W35" s="154"/>
    </row>
    <row r="36" ht="19.5" customHeight="1">
      <c r="B36" s="186"/>
      <c r="C36" s="184" t="s">
        <v>547</v>
      </c>
      <c r="D36" s="187">
        <f>sumifs('Form responses'!ER$2:ER63,'Form responses'!$C$2:$C63,"&gt;="&amp;Date(YEAR(DATE(YEAR($Q$1),MONTH($Q$1)+(-3),1)),4,1),'Form responses'!$C$2:$C63,"&lt;="&amp;$Q$1,'Form responses'!$D$2:$D63,$J$1)</f>
        <v>0</v>
      </c>
      <c r="E36" s="187">
        <f>sumifs('Form responses'!ES$2:ES63,'Form responses'!$C$2:$C63,"&gt;="&amp;Date(YEAR(DATE(YEAR($Q$1),MONTH($Q$1)+(-3),1)),4,1),'Form responses'!$C$2:$C63,"&lt;="&amp;$Q$1,'Form responses'!$D$2:$D63,$J$1)</f>
        <v>0</v>
      </c>
      <c r="F36" s="187">
        <f>sumifs('Form responses'!ET$2:ET63,'Form responses'!$C$2:$C63,"&gt;="&amp;Date(YEAR(DATE(YEAR($Q$1),MONTH($Q$1)+(-3),1)),4,1),'Form responses'!$C$2:$C63,"&lt;="&amp;$Q$1,'Form responses'!$D$2:$D63,$J$1)</f>
        <v>0</v>
      </c>
      <c r="G36" s="187">
        <f>sumifs('Form responses'!EU$2:EU63,'Form responses'!$C$2:$C63,"&gt;="&amp;Date(YEAR(DATE(YEAR($Q$1),MONTH($Q$1)+(-3),1)),4,1),'Form responses'!$C$2:$C63,"&lt;="&amp;$Q$1,'Form responses'!$D$2:$D63,$J$1)</f>
        <v>0</v>
      </c>
      <c r="H36" s="187">
        <f>sumifs('Form responses'!EV$2:EV63,'Form responses'!$C$2:$C63,"&gt;="&amp;Date(YEAR(DATE(YEAR($Q$1),MONTH($Q$1)+(-3),1)),4,1),'Form responses'!$C$2:$C63,"&lt;="&amp;$Q$1,'Form responses'!$D$2:$D63,$J$1)</f>
        <v>0</v>
      </c>
      <c r="I36" s="187">
        <f>sumifs('Form responses'!EW$2:EW63,'Form responses'!$C$2:$C63,"&gt;="&amp;Date(YEAR(DATE(YEAR($Q$1),MONTH($Q$1)+(-3),1)),4,1),'Form responses'!$C$2:$C63,"&lt;="&amp;$Q$1,'Form responses'!$D$2:$D63,$J$1)</f>
        <v>0</v>
      </c>
      <c r="J36" s="187">
        <f>sumifs('Form responses'!EX$2:EX63,'Form responses'!$C$2:$C63,"&gt;="&amp;Date(YEAR(DATE(YEAR($Q$1),MONTH($Q$1)+(-3),1)),4,1),'Form responses'!$C$2:$C63,"&lt;="&amp;$Q$1,'Form responses'!$D$2:$D63,$J$1)</f>
        <v>0</v>
      </c>
      <c r="K36" s="187">
        <f>sumifs('Form responses'!EY$2:EY63,'Form responses'!$C$2:$C63,"&gt;="&amp;Date(YEAR(DATE(YEAR($Q$1),MONTH($Q$1)+(-3),1)),4,1),'Form responses'!$C$2:$C63,"&lt;="&amp;$Q$1,'Form responses'!$D$2:$D63,$J$1)</f>
        <v>0</v>
      </c>
      <c r="L36" s="187">
        <f>sumifs('Form responses'!EZ$2:EZ63,'Form responses'!$C$2:$C63,"&gt;="&amp;Date(YEAR(DATE(YEAR($Q$1),MONTH($Q$1)+(-3),1)),4,1),'Form responses'!$C$2:$C63,"&lt;="&amp;$Q$1,'Form responses'!$D$2:$D63,$J$1)</f>
        <v>0</v>
      </c>
      <c r="M36" s="187">
        <f>sumifs('Form responses'!FA$2:FA63,'Form responses'!$C$2:$C63,"&gt;="&amp;Date(YEAR(DATE(YEAR($Q$1),MONTH($Q$1)+(-3),1)),4,1),'Form responses'!$C$2:$C63,"&lt;="&amp;$Q$1,'Form responses'!$D$2:$D63,$J$1)</f>
        <v>0</v>
      </c>
      <c r="N36" s="187">
        <f>sumifs('Form responses'!FB$2:FB63,'Form responses'!$C$2:$C63,"&gt;="&amp;Date(YEAR(DATE(YEAR($Q$1),MONTH($Q$1)+(-3),1)),4,1),'Form responses'!$C$2:$C63,"&lt;="&amp;$Q$1,'Form responses'!$D$2:$D63,$J$1)</f>
        <v>0</v>
      </c>
      <c r="O36" s="187">
        <f>sumifs('Form responses'!FC$2:FC63,'Form responses'!$C$2:$C63,"&gt;="&amp;Date(YEAR(DATE(YEAR($Q$1),MONTH($Q$1)+(-3),1)),4,1),'Form responses'!$C$2:$C63,"&lt;="&amp;$Q$1,'Form responses'!$D$2:$D63,$J$1)</f>
        <v>0</v>
      </c>
      <c r="P36" s="187">
        <f>sumifs('Form responses'!FD$2:FD63,'Form responses'!$C$2:$C63,"&gt;="&amp;Date(YEAR(DATE(YEAR($Q$1),MONTH($Q$1)+(-3),1)),4,1),'Form responses'!$C$2:$C63,"&lt;="&amp;$Q$1,'Form responses'!$D$2:$D63,$J$1)</f>
        <v>0</v>
      </c>
      <c r="Q36" s="187">
        <f>sumifs('Form responses'!FE$2:FE63,'Form responses'!$C$2:$C63,"&gt;="&amp;Date(YEAR(DATE(YEAR($Q$1),MONTH($Q$1)+(-3),1)),4,1),'Form responses'!$C$2:$C63,"&lt;="&amp;$Q$1,'Form responses'!$D$2:$D63,$J$1)</f>
        <v>0</v>
      </c>
      <c r="R36" s="187"/>
      <c r="T36" s="102"/>
      <c r="U36" s="102"/>
      <c r="V36" s="102"/>
      <c r="W36" s="102"/>
    </row>
    <row r="37" ht="19.5" customHeight="1">
      <c r="B37" s="186"/>
      <c r="C37" s="184" t="s">
        <v>548</v>
      </c>
      <c r="D37" s="187">
        <f>sumifs('Form responses'!BF$2:BF63,'Form responses'!$C$2:$C63,"&gt;="&amp;Date(YEAR(DATE(YEAR($Q$1),MONTH($Q$1)+(-3),1)),4,1),'Form responses'!$C$2:$C63,"&lt;="&amp;$Q$1,'Form responses'!$D$2:$D63,$J$1)</f>
        <v>0</v>
      </c>
      <c r="E37" s="187">
        <f>sumifs('Form responses'!BH$2:BH63,'Form responses'!$C$2:$C63,"&gt;="&amp;Date(YEAR(DATE(YEAR($Q$1),MONTH($Q$1)+(-3),1)),4,1),'Form responses'!$C$2:$C63,"&lt;="&amp;$Q$1,'Form responses'!$D$2:$D63,$J$1)</f>
        <v>0</v>
      </c>
      <c r="F37" s="187">
        <f>sumifs('Form responses'!BJ$2:BJ63,'Form responses'!$C$2:$C63,"&gt;="&amp;Date(YEAR(DATE(YEAR($Q$1),MONTH($Q$1)+(-3),1)),4,1),'Form responses'!$C$2:$C63,"&lt;="&amp;$Q$1,'Form responses'!$D$2:$D63,$J$1)</f>
        <v>0</v>
      </c>
      <c r="G37" s="187">
        <f>sumifs('Form responses'!BL$2:BL63,'Form responses'!$C$2:$C63,"&gt;="&amp;Date(YEAR(DATE(YEAR($Q$1),MONTH($Q$1)+(-3),1)),4,1),'Form responses'!$C$2:$C63,"&lt;="&amp;$Q$1,'Form responses'!$D$2:$D63,$J$1)</f>
        <v>0</v>
      </c>
      <c r="H37" s="187">
        <f>sumifs('Form responses'!BN$2:BN63,'Form responses'!$C$2:$C63,"&gt;="&amp;Date(YEAR(DATE(YEAR($Q$1),MONTH($Q$1)+(-3),1)),4,1),'Form responses'!$C$2:$C63,"&lt;="&amp;$Q$1,'Form responses'!$D$2:$D63,$J$1)</f>
        <v>0</v>
      </c>
      <c r="I37" s="187">
        <f>sumifs('Form responses'!BP$2:BP63,'Form responses'!$C$2:$C63,"&gt;="&amp;Date(YEAR(DATE(YEAR($Q$1),MONTH($Q$1)+(-3),1)),4,1),'Form responses'!$C$2:$C63,"&lt;="&amp;$Q$1,'Form responses'!$D$2:$D63,$J$1)</f>
        <v>0</v>
      </c>
      <c r="J37" s="187">
        <f>sumifs('Form responses'!BR$2:BR63,'Form responses'!$C$2:$C63,"&gt;="&amp;Date(YEAR(DATE(YEAR($Q$1),MONTH($Q$1)+(-3),1)),4,1),'Form responses'!$C$2:$C63,"&lt;="&amp;$Q$1,'Form responses'!$D$2:$D63,$J$1)</f>
        <v>0</v>
      </c>
      <c r="K37" s="187">
        <f>sumifs('Form responses'!BT$2:BT63,'Form responses'!$C$2:$C63,"&gt;="&amp;Date(YEAR(DATE(YEAR($Q$1),MONTH($Q$1)+(-3),1)),4,1),'Form responses'!$C$2:$C63,"&lt;="&amp;$Q$1,'Form responses'!$D$2:$D63,$J$1)</f>
        <v>0</v>
      </c>
      <c r="L37" s="187">
        <f>sumifs('Form responses'!BV$2:BV63,'Form responses'!$C$2:$C63,"&gt;="&amp;Date(YEAR(DATE(YEAR($Q$1),MONTH($Q$1)+(-3),1)),4,1),'Form responses'!$C$2:$C63,"&lt;="&amp;$Q$1,'Form responses'!$D$2:$D63,$J$1)</f>
        <v>0</v>
      </c>
      <c r="M37" s="187">
        <f>sumifs('Form responses'!BX$2:BX63,'Form responses'!$C$2:$C63,"&gt;="&amp;Date(YEAR(DATE(YEAR($Q$1),MONTH($Q$1)+(-3),1)),4,1),'Form responses'!$C$2:$C63,"&lt;="&amp;$Q$1,'Form responses'!$D$2:$D63,$J$1)</f>
        <v>0</v>
      </c>
      <c r="N37" s="187">
        <f>sumifs('Form responses'!BZ$2:BZ63,'Form responses'!$C$2:$C63,"&gt;="&amp;Date(YEAR(DATE(YEAR($Q$1),MONTH($Q$1)+(-3),1)),4,1),'Form responses'!$C$2:$C63,"&lt;="&amp;$Q$1,'Form responses'!$D$2:$D63,$J$1)</f>
        <v>0</v>
      </c>
      <c r="O37" s="187">
        <f>sumifs('Form responses'!CB$2:CB63,'Form responses'!$C$2:$C63,"&gt;="&amp;Date(YEAR(DATE(YEAR($Q$1),MONTH($Q$1)+(-3),1)),4,1),'Form responses'!$C$2:$C63,"&lt;="&amp;$Q$1,'Form responses'!$D$2:$D63,$J$1)</f>
        <v>0</v>
      </c>
      <c r="P37" s="187">
        <f>sumifs('Form responses'!CD$2:CD63,'Form responses'!$C$2:$C63,"&gt;="&amp;Date(YEAR(DATE(YEAR($Q$1),MONTH($Q$1)+(-3),1)),4,1),'Form responses'!$C$2:$C63,"&lt;="&amp;$Q$1,'Form responses'!$D$2:$D63,$J$1)</f>
        <v>0</v>
      </c>
      <c r="Q37" s="187">
        <f>sumifs('Form responses'!CF$2:CF63,'Form responses'!$C$2:$C63,"&gt;="&amp;Date(YEAR(DATE(YEAR($Q$1),MONTH($Q$1)+(-3),1)),4,1),'Form responses'!$C$2:$C63,"&lt;="&amp;$Q$1,'Form responses'!$D$2:$D63,$J$1)</f>
        <v>0</v>
      </c>
      <c r="R37" s="187"/>
      <c r="T37" s="102"/>
      <c r="U37" s="102"/>
      <c r="V37" s="102"/>
      <c r="W37" s="102"/>
    </row>
    <row r="38" ht="19.5" customHeight="1">
      <c r="B38" s="186"/>
      <c r="C38" s="184" t="s">
        <v>549</v>
      </c>
      <c r="D38" s="187"/>
      <c r="E38" s="187"/>
      <c r="F38" s="187"/>
      <c r="G38" s="187"/>
      <c r="H38" s="187">
        <f>sumifs('Form responses'!GB$2:GB63,'Form responses'!$C$2:$C63,"&gt;="&amp;Date(YEAR(DATE(YEAR($Q$1),MONTH($Q$1)+(-3),1)),4,1),'Form responses'!$C$2:$C63,"&lt;="&amp;$Q$1,'Form responses'!$D$2:$D63,$J$1)</f>
        <v>0</v>
      </c>
      <c r="I38" s="187">
        <f>sumifs('Form responses'!GC$2:GC63,'Form responses'!$C$2:$C63,"&gt;="&amp;Date(YEAR(DATE(YEAR($Q$1),MONTH($Q$1)+(-3),1)),4,1),'Form responses'!$C$2:$C63,"&lt;="&amp;$Q$1,'Form responses'!$D$2:$D63,$J$1)</f>
        <v>0</v>
      </c>
      <c r="J38" s="187">
        <f>sumifs('Form responses'!GD$2:GD63,'Form responses'!$C$2:$C63,"&gt;="&amp;Date(YEAR(DATE(YEAR($Q$1),MONTH($Q$1)+(-3),1)),4,1),'Form responses'!$C$2:$C63,"&lt;="&amp;$Q$1,'Form responses'!$D$2:$D63,$J$1)</f>
        <v>0</v>
      </c>
      <c r="K38" s="187">
        <f>sumifs('Form responses'!GL$2:GL63,'Form responses'!$C$2:$C63,"&gt;="&amp;Date(YEAR(DATE(YEAR($Q$1),MONTH($Q$1)+(-3),1)),4,1),'Form responses'!$C$2:$C63,"&lt;="&amp;$Q$1,'Form responses'!$D$2:$D63,$J$1)</f>
        <v>0</v>
      </c>
      <c r="L38" s="187">
        <f>sumifs('Form responses'!GE$2:GE63,'Form responses'!$C$2:$C63,"&gt;="&amp;Date(YEAR(DATE(YEAR($Q$1),MONTH($Q$1)+(-3),1)),4,1),'Form responses'!$C$2:$C63,"&lt;="&amp;$Q$1,'Form responses'!$D$2:$D63,$J$1)</f>
        <v>0</v>
      </c>
      <c r="M38" s="187">
        <f>sumifs('Form responses'!GF$2:GF63,'Form responses'!$C$2:$C63,"&gt;="&amp;Date(YEAR(DATE(YEAR($Q$1),MONTH($Q$1)+(-3),1)),4,1),'Form responses'!$C$2:$C63,"&lt;="&amp;$Q$1,'Form responses'!$D$2:$D63,$J$1)</f>
        <v>0</v>
      </c>
      <c r="N38" s="187">
        <f>sumifs('Form responses'!GG$2:GG63,'Form responses'!$C$2:$C63,"&gt;="&amp;Date(YEAR(DATE(YEAR($Q$1),MONTH($Q$1)+(-3),1)),4,1),'Form responses'!$C$2:$C63,"&lt;="&amp;$Q$1,'Form responses'!$D$2:$D63,$J$1)</f>
        <v>0</v>
      </c>
      <c r="O38" s="187">
        <f>sumifs('Form responses'!GH$2:GH63,'Form responses'!$C$2:$C63,"&gt;="&amp;Date(YEAR(DATE(YEAR($Q$1),MONTH($Q$1)+(-3),1)),4,1),'Form responses'!$C$2:$C63,"&lt;="&amp;$Q$1,'Form responses'!$D$2:$D63,$J$1)</f>
        <v>0</v>
      </c>
      <c r="P38" s="187">
        <f>sumifs('Form responses'!GI$2:GI63,'Form responses'!$C$2:$C63,"&gt;="&amp;Date(YEAR(DATE(YEAR($Q$1),MONTH($Q$1)+(-3),1)),4,1),'Form responses'!$C$2:$C63,"&lt;="&amp;$Q$1,'Form responses'!$D$2:$D63,$J$1)</f>
        <v>0</v>
      </c>
      <c r="Q38" s="187">
        <f>sumifs('Form responses'!GJ$2:GJ63,'Form responses'!$C$2:$C63,"&gt;="&amp;Date(YEAR(DATE(YEAR($Q$1),MONTH($Q$1)+(-3),1)),4,1),'Form responses'!$C$2:$C63,"&lt;="&amp;$Q$1,'Form responses'!$D$2:$D63,$J$1)</f>
        <v>0</v>
      </c>
      <c r="R38" s="187"/>
      <c r="T38" s="102"/>
      <c r="U38" s="129"/>
      <c r="V38" s="129"/>
      <c r="W38" s="129"/>
    </row>
    <row r="39" ht="19.5" customHeight="1">
      <c r="B39" s="186"/>
      <c r="C39" s="184" t="s">
        <v>550</v>
      </c>
      <c r="D39" s="187">
        <f>sumifs('Form responses'!FH$2:FH63,'Form responses'!$C$2:$C63,"&gt;="&amp;Date(YEAR(DATE(YEAR($Q$1),MONTH($Q$1)+(-3),1)),4,1),'Form responses'!$C$2:$C63,"&lt;="&amp;$Q$1,'Form responses'!$D$2:$D63,$J$1)</f>
        <v>0</v>
      </c>
      <c r="E39" s="187">
        <f>sumifs('Form responses'!FI$2:FI63,'Form responses'!$C$2:$C63,"&gt;="&amp;Date(YEAR(DATE(YEAR($Q$1),MONTH($Q$1)+(-3),1)),4,1),'Form responses'!$C$2:$C63,"&lt;="&amp;$Q$1,'Form responses'!$D$2:$D63,$J$1)</f>
        <v>0</v>
      </c>
      <c r="F39" s="187">
        <f>sumifs('Form responses'!FJ$2:FJ63,'Form responses'!$C$2:$C63,"&gt;="&amp;Date(YEAR(DATE(YEAR($Q$1),MONTH($Q$1)+(-3),1)),4,1),'Form responses'!$C$2:$C63,"&lt;="&amp;$Q$1,'Form responses'!$D$2:$D63,$J$1)</f>
        <v>0</v>
      </c>
      <c r="G39" s="187">
        <f>sumifs('Form responses'!FK$2:FK63,'Form responses'!$C$2:$C63,"&gt;="&amp;Date(YEAR(DATE(YEAR($Q$1),MONTH($Q$1)+(-3),1)),4,1),'Form responses'!$C$2:$C63,"&lt;="&amp;$Q$1,'Form responses'!$D$2:$D63,$J$1)</f>
        <v>0</v>
      </c>
      <c r="H39" s="187">
        <f>sumifs('Form responses'!FL$2:FL63,'Form responses'!$C$2:$C63,"&gt;="&amp;Date(YEAR(DATE(YEAR($Q$1),MONTH($Q$1)+(-3),1)),4,1),'Form responses'!$C$2:$C63,"&lt;="&amp;$Q$1,'Form responses'!$D$2:$D63,$J$1)</f>
        <v>0</v>
      </c>
      <c r="I39" s="187">
        <f>sumifs('Form responses'!FM$2:FM63,'Form responses'!$C$2:$C63,"&gt;="&amp;Date(YEAR(DATE(YEAR($Q$1),MONTH($Q$1)+(-3),1)),4,1),'Form responses'!$C$2:$C63,"&lt;="&amp;$Q$1,'Form responses'!$D$2:$D63,$J$1)</f>
        <v>0</v>
      </c>
      <c r="J39" s="187">
        <f>sumifs('Form responses'!FN$2:FN63,'Form responses'!$C$2:$C63,"&gt;="&amp;Date(YEAR(DATE(YEAR($Q$1),MONTH($Q$1)+(-3),1)),4,1),'Form responses'!$C$2:$C63,"&lt;="&amp;$Q$1,'Form responses'!$D$2:$D63,$J$1)</f>
        <v>0</v>
      </c>
      <c r="K39" s="187">
        <f>sumifs('Form responses'!FO$2:FO63,'Form responses'!$C$2:$C63,"&gt;="&amp;Date(YEAR(DATE(YEAR($Q$1),MONTH($Q$1)+(-3),1)),4,1),'Form responses'!$C$2:$C63,"&lt;="&amp;$Q$1,'Form responses'!$D$2:$D63,$J$1)</f>
        <v>0</v>
      </c>
      <c r="L39" s="187">
        <f>sumifs('Form responses'!FP$2:FP63,'Form responses'!$C$2:$C63,"&gt;="&amp;Date(YEAR(DATE(YEAR($Q$1),MONTH($Q$1)+(-3),1)),4,1),'Form responses'!$C$2:$C63,"&lt;="&amp;$Q$1,'Form responses'!$D$2:$D63,$J$1)</f>
        <v>0</v>
      </c>
      <c r="M39" s="187">
        <f>sumifs('Form responses'!FQ$2:FQ63,'Form responses'!$C$2:$C63,"&gt;="&amp;Date(YEAR(DATE(YEAR($Q$1),MONTH($Q$1)+(-3),1)),4,1),'Form responses'!$C$2:$C63,"&lt;="&amp;$Q$1,'Form responses'!$D$2:$D63,$J$1)</f>
        <v>0</v>
      </c>
      <c r="N39" s="187">
        <f>sumifs('Form responses'!FR$2:FR63,'Form responses'!$C$2:$C63,"&gt;="&amp;Date(YEAR(DATE(YEAR($Q$1),MONTH($Q$1)+(-3),1)),4,1),'Form responses'!$C$2:$C63,"&lt;="&amp;$Q$1,'Form responses'!$D$2:$D63,$J$1)</f>
        <v>0</v>
      </c>
      <c r="O39" s="187">
        <f>sumifs('Form responses'!FS$2:FS63,'Form responses'!$C$2:$C63,"&gt;="&amp;Date(YEAR(DATE(YEAR($Q$1),MONTH($Q$1)+(-3),1)),4,1),'Form responses'!$C$2:$C63,"&lt;="&amp;$Q$1,'Form responses'!$D$2:$D63,$J$1)</f>
        <v>0</v>
      </c>
      <c r="P39" s="187">
        <f>sumifs('Form responses'!FT$2:FT63,'Form responses'!$C$2:$C63,"&gt;="&amp;Date(YEAR(DATE(YEAR($Q$1),MONTH($Q$1)+(-3),1)),4,1),'Form responses'!$C$2:$C63,"&lt;="&amp;$Q$1,'Form responses'!$D$2:$D63,$J$1)</f>
        <v>0</v>
      </c>
      <c r="Q39" s="187">
        <f>sumifs('Form responses'!FU$2:FU63,'Form responses'!$C$2:$C63,"&gt;="&amp;Date(YEAR(DATE(YEAR($Q$1),MONTH($Q$1)+(-3),1)),4,1),'Form responses'!$C$2:$C63,"&lt;="&amp;$Q$1,'Form responses'!$D$2:$D63,$J$1)</f>
        <v>0</v>
      </c>
      <c r="R39" s="187"/>
      <c r="T39" s="102"/>
      <c r="U39" s="102"/>
      <c r="V39" s="102"/>
      <c r="W39" s="102"/>
    </row>
    <row r="40" ht="19.5" customHeight="1">
      <c r="B40" s="186"/>
      <c r="C40" s="184" t="s">
        <v>551</v>
      </c>
      <c r="D40" s="187">
        <f t="shared" ref="D40:Q40" si="9">(D30+D36)-(D37+D38+D39)</f>
        <v>0</v>
      </c>
      <c r="E40" s="187">
        <f t="shared" si="9"/>
        <v>0</v>
      </c>
      <c r="F40" s="187">
        <f t="shared" si="9"/>
        <v>0</v>
      </c>
      <c r="G40" s="187">
        <f t="shared" si="9"/>
        <v>0</v>
      </c>
      <c r="H40" s="187">
        <f t="shared" si="9"/>
        <v>0</v>
      </c>
      <c r="I40" s="187">
        <f t="shared" si="9"/>
        <v>0</v>
      </c>
      <c r="J40" s="187">
        <f t="shared" si="9"/>
        <v>0</v>
      </c>
      <c r="K40" s="187">
        <f t="shared" si="9"/>
        <v>0</v>
      </c>
      <c r="L40" s="187">
        <f t="shared" si="9"/>
        <v>0</v>
      </c>
      <c r="M40" s="187">
        <f t="shared" si="9"/>
        <v>0</v>
      </c>
      <c r="N40" s="187">
        <f t="shared" si="9"/>
        <v>0</v>
      </c>
      <c r="O40" s="187">
        <f t="shared" si="9"/>
        <v>0</v>
      </c>
      <c r="P40" s="187">
        <f t="shared" si="9"/>
        <v>0</v>
      </c>
      <c r="Q40" s="187">
        <f t="shared" si="9"/>
        <v>0</v>
      </c>
      <c r="R40" s="187"/>
      <c r="T40" s="102"/>
      <c r="U40" s="102"/>
      <c r="V40" s="102"/>
      <c r="W40" s="102"/>
    </row>
    <row r="41" ht="21.75" customHeight="1">
      <c r="C41" s="188"/>
      <c r="D41" s="118" t="s">
        <v>552</v>
      </c>
      <c r="E41" s="189"/>
      <c r="F41" s="189"/>
      <c r="G41" s="189"/>
      <c r="H41" s="190"/>
      <c r="I41" s="190"/>
      <c r="J41" s="190"/>
      <c r="K41" s="190"/>
      <c r="L41" s="190"/>
      <c r="M41" s="190"/>
      <c r="N41" s="102"/>
      <c r="O41" s="102"/>
      <c r="P41" s="102"/>
      <c r="Q41" s="102"/>
      <c r="R41" s="154"/>
      <c r="S41" s="154"/>
      <c r="T41" s="154"/>
      <c r="U41" s="154"/>
      <c r="V41" s="154"/>
      <c r="W41" s="154"/>
    </row>
    <row r="42" ht="24.75" customHeight="1">
      <c r="C42" s="188"/>
      <c r="D42" s="104" t="s">
        <v>553</v>
      </c>
      <c r="E42" s="104" t="s">
        <v>554</v>
      </c>
      <c r="F42" s="104" t="s">
        <v>502</v>
      </c>
      <c r="G42" s="104" t="s">
        <v>554</v>
      </c>
      <c r="H42" s="104" t="s">
        <v>503</v>
      </c>
      <c r="I42" s="104" t="s">
        <v>554</v>
      </c>
      <c r="J42" s="104" t="s">
        <v>504</v>
      </c>
      <c r="K42" s="104" t="s">
        <v>554</v>
      </c>
      <c r="L42" s="104" t="s">
        <v>555</v>
      </c>
      <c r="M42" s="191"/>
      <c r="N42" s="191"/>
      <c r="O42" s="191"/>
      <c r="P42" s="191"/>
      <c r="Q42" s="102"/>
      <c r="R42" s="154"/>
      <c r="S42" s="154"/>
      <c r="T42" s="154"/>
      <c r="U42" s="154"/>
      <c r="V42" s="154"/>
      <c r="W42" s="154"/>
      <c r="X42" s="154"/>
      <c r="Y42" s="154"/>
      <c r="Z42" s="154"/>
      <c r="AA42" s="154"/>
    </row>
    <row r="43" ht="24.75" customHeight="1">
      <c r="C43" s="192" t="s">
        <v>556</v>
      </c>
      <c r="D43" s="193">
        <f>sumifs('Form responses'!GN$2:GN63,'Form responses'!$C$2:$C63,"&gt;="&amp;$N$1,'Form responses'!$C$2:$C63,"&lt;="&amp;$Q$1,'Form responses'!$D$2:$D63,$J$1)</f>
        <v>0</v>
      </c>
      <c r="E43" s="193">
        <f>Sum!C47</f>
        <v>0</v>
      </c>
      <c r="F43" s="193">
        <f>sumifs('Form responses'!GO$2:GO63,'Form responses'!$C$2:$C63,"&gt;="&amp;$N$1,'Form responses'!$C$2:$C63,"&lt;="&amp;$Q$1,'Form responses'!$D$2:$D63,$J$1)</f>
        <v>0</v>
      </c>
      <c r="G43" s="193">
        <f>Sum!E47</f>
        <v>0</v>
      </c>
      <c r="H43" s="193">
        <f>sumifs('Form responses'!GP$2:GP63,'Form responses'!$C$2:$C63,"&gt;="&amp;$N$1,'Form responses'!$C$2:$C63,"&lt;="&amp;$Q$1,'Form responses'!$D$2:$D63,$J$1)</f>
        <v>0</v>
      </c>
      <c r="I43" s="193">
        <f>Sum!G47</f>
        <v>0</v>
      </c>
      <c r="J43" s="193">
        <f>sumifs('Form responses'!GQ$2:GQ63,'Form responses'!$C$2:$C63,"&gt;="&amp;$N$1,'Form responses'!$C$2:$C63,"&lt;="&amp;$Q$1,'Form responses'!$D$2:$D63,$J$1)</f>
        <v>0</v>
      </c>
      <c r="K43" s="193">
        <f>Sum!I47</f>
        <v>0</v>
      </c>
      <c r="L43" s="193">
        <f t="shared" ref="L43:L44" si="10">E43+G43+I43+K43</f>
        <v>0</v>
      </c>
      <c r="M43" s="194"/>
      <c r="N43" s="194"/>
      <c r="O43" s="194"/>
      <c r="P43" s="194"/>
      <c r="Q43" s="102"/>
      <c r="R43" s="154"/>
      <c r="S43" s="154"/>
      <c r="T43" s="154"/>
      <c r="U43" s="154"/>
      <c r="V43" s="154"/>
      <c r="W43" s="154"/>
      <c r="X43" s="154"/>
      <c r="Y43" s="154"/>
      <c r="Z43" s="154"/>
      <c r="AA43" s="154"/>
    </row>
    <row r="44" ht="24.75" customHeight="1">
      <c r="C44" s="192" t="s">
        <v>557</v>
      </c>
      <c r="D44" s="193">
        <f>sumifs('Form responses'!GN$2:GN63,'Form responses'!$C$2:$C63,"&gt;="&amp;Date(YEAR(DATE(YEAR($Q$1),MONTH($Q$1)+(-3),1)),4,1),'Form responses'!$C$2:$C63,"&lt;="&amp;$Q$1,'Form responses'!$D$2:$D63,$J$1)</f>
        <v>0</v>
      </c>
      <c r="E44" s="193">
        <f>Sum!C48</f>
        <v>0</v>
      </c>
      <c r="F44" s="193">
        <f>sumifs('Form responses'!GO$2:GO63,'Form responses'!$C$2:$C63,"&gt;="&amp;Date(YEAR(DATE(YEAR($Q$1),MONTH($Q$1)+(-3),1)),4,1),'Form responses'!$C$2:$C63,"&lt;="&amp;$Q$1,'Form responses'!$D$2:$D63,$J$1)</f>
        <v>0</v>
      </c>
      <c r="G44" s="193">
        <f>Sum!E48</f>
        <v>0</v>
      </c>
      <c r="H44" s="193">
        <f>sumifs('Form responses'!GP$2:GP63,'Form responses'!$C$2:$C63,"&gt;="&amp;Date(YEAR(DATE(YEAR($Q$1),MONTH($Q$1)+(-3),1)),4,1),'Form responses'!$C$2:$C63,"&lt;="&amp;$Q$1,'Form responses'!$D$2:$D63,$J$1)</f>
        <v>0</v>
      </c>
      <c r="I44" s="193">
        <f>Sum!G48</f>
        <v>0</v>
      </c>
      <c r="J44" s="193">
        <f>sumifs('Form responses'!GQ$2:GQ63,'Form responses'!$C$2:$C63,"&gt;="&amp;Date(YEAR(DATE(YEAR($Q$1),MONTH($Q$1)+(-3),1)),4,1),'Form responses'!$C$2:$C63,"&lt;="&amp;$Q$1,'Form responses'!$D$2:$D63,$J$1)</f>
        <v>0</v>
      </c>
      <c r="K44" s="193">
        <f>Sum!I48</f>
        <v>0</v>
      </c>
      <c r="L44" s="193">
        <f t="shared" si="10"/>
        <v>0</v>
      </c>
      <c r="M44" s="194"/>
      <c r="N44" s="194"/>
      <c r="O44" s="194"/>
      <c r="P44" s="194"/>
      <c r="Q44" s="102"/>
      <c r="R44" s="154"/>
      <c r="S44" s="154"/>
      <c r="T44" s="154"/>
      <c r="U44" s="154"/>
      <c r="V44" s="154"/>
      <c r="W44" s="154"/>
      <c r="X44" s="154"/>
      <c r="Y44" s="154"/>
      <c r="Z44" s="154"/>
      <c r="AA44" s="154"/>
    </row>
    <row r="45" ht="22.5" customHeight="1">
      <c r="C45" s="192"/>
      <c r="D45" s="118" t="s">
        <v>558</v>
      </c>
      <c r="E45" s="149"/>
      <c r="F45" s="149"/>
      <c r="G45" s="194"/>
      <c r="H45" s="194"/>
      <c r="I45" s="194"/>
      <c r="J45" s="194"/>
      <c r="K45" s="195"/>
      <c r="L45" s="194"/>
      <c r="M45" s="194"/>
      <c r="N45" s="190"/>
      <c r="O45" s="190"/>
      <c r="P45" s="190"/>
      <c r="Q45" s="190"/>
      <c r="R45" s="190"/>
      <c r="S45" s="190"/>
      <c r="T45" s="190"/>
      <c r="U45" s="190"/>
      <c r="V45" s="190"/>
      <c r="W45" s="190"/>
      <c r="X45" s="131"/>
      <c r="Y45" s="194"/>
      <c r="Z45" s="194"/>
      <c r="AA45" s="194"/>
    </row>
    <row r="46" ht="24.75" customHeight="1">
      <c r="C46" s="192"/>
      <c r="D46" s="104" t="s">
        <v>559</v>
      </c>
      <c r="E46" s="107" t="s">
        <v>560</v>
      </c>
      <c r="F46" s="104" t="s">
        <v>561</v>
      </c>
      <c r="G46" s="104" t="s">
        <v>562</v>
      </c>
      <c r="H46" s="104" t="s">
        <v>563</v>
      </c>
      <c r="I46" s="104" t="s">
        <v>564</v>
      </c>
      <c r="J46" s="107" t="s">
        <v>565</v>
      </c>
      <c r="K46" s="104" t="s">
        <v>566</v>
      </c>
      <c r="L46" s="196" t="s">
        <v>567</v>
      </c>
      <c r="M46" s="197" t="s">
        <v>568</v>
      </c>
      <c r="N46" s="197" t="s">
        <v>569</v>
      </c>
      <c r="O46" s="197" t="s">
        <v>19</v>
      </c>
      <c r="P46" s="196" t="s">
        <v>566</v>
      </c>
      <c r="Q46" s="196" t="s">
        <v>570</v>
      </c>
      <c r="R46" s="197" t="s">
        <v>571</v>
      </c>
      <c r="S46" s="107" t="s">
        <v>572</v>
      </c>
      <c r="T46" s="104" t="s">
        <v>573</v>
      </c>
      <c r="U46" s="198"/>
      <c r="V46" s="142"/>
      <c r="W46" s="142"/>
      <c r="X46" s="142"/>
      <c r="Y46" s="142"/>
      <c r="Z46" s="142"/>
      <c r="AA46" s="142"/>
    </row>
    <row r="47" ht="24.75" customHeight="1">
      <c r="A47" s="199"/>
      <c r="B47" s="199"/>
      <c r="C47" s="192" t="str">
        <f>J1</f>
        <v>CVH Malkana</v>
      </c>
      <c r="D47" s="200">
        <f>((sumifs('Form responses'!$I$2:$I63,'Form responses'!$C$2:$C63,"&gt;="&amp;$N$1,'Form responses'!$C$2:$C63,"&lt;="&amp;$Q$1,'Form responses'!$D$2:$D63,$C47)
+sumifs('Form responses'!$J$2:$J63,'Form responses'!$C$2:$C63,"&gt;="&amp;$N$1,'Form responses'!$C$2:$C63,"&lt;="&amp;$Q$1,'Form responses'!$D$2:$D63,$C47)
+sumifs('Form responses'!$K$2:$K63,'Form responses'!$C$2:$C63,"&gt;="&amp;$N$1,'Form responses'!$C$2:$C63,"&lt;="&amp;$Q$1,'Form responses'!$D$2:$D63,$C47)
)*Sum!$B$35)</f>
        <v>400</v>
      </c>
      <c r="E47" s="201">
        <f>((sumifs('Form responses'!$L$2:$L63,'Form responses'!$C$2:$C63,"&gt;="&amp;$N$1,'Form responses'!$C$2:$C63,"&lt;="&amp;$Q$1,'Form responses'!$D$2:$D63,$C47))*Sum!$C$35)</f>
        <v>0</v>
      </c>
      <c r="F47" s="200">
        <f>((
sumifs('Form responses'!$U$2:$U63,'Form responses'!$C$2:$C63,"&gt;="&amp;$N$1,'Form responses'!$C$2:$C63,"&lt;="&amp;$Q$1,'Form responses'!$D$2:$D63,$C47)
+
sumifs('Form responses'!$V$2:$V63,'Form responses'!$C$2:$C63,"&gt;="&amp;$N$1,'Form responses'!$C$2:$C63,"&lt;="&amp;$Q$1,'Form responses'!$D$2:$D63,$C47)
)*Sum!$E$35
)</f>
        <v>0</v>
      </c>
      <c r="G47" s="200">
        <f>sumifs('Form responses'!$W$2:$W63,'Form responses'!$C$2:$C63,"&gt;="&amp;$N$1,'Form responses'!$C$2:$C63,"&lt;="&amp;$Q$1,'Form responses'!$D$2:$D63,$C47)
*Sum!$D$35</f>
        <v>0</v>
      </c>
      <c r="H47" s="200">
        <f>L43</f>
        <v>0</v>
      </c>
      <c r="I47" s="200">
        <f>((
sumifs('Form responses'!$X$2:$X63,'Form responses'!$C$2:$C63,"&gt;="&amp;$N$1,'Form responses'!$C$2:$C63,"&lt;="&amp;$Q$1,'Form responses'!$D$2:$D63,$C47)
)*
Sum!$F$35
)+((
sumifs('Form responses'!$Y$2:$Y63,'Form responses'!$C$2:$C63,"&gt;="&amp;$N$1,'Form responses'!$C$2:$C63,"&lt;="&amp;$Q$1,'Form responses'!$D$2:$D63,$C47)
)*
Sum!$G$35
)</f>
        <v>0</v>
      </c>
      <c r="J47" s="200">
        <f>((
sumifs('Form responses'!$Z$2:$Z63,'Form responses'!$C$2:$C63,"&gt;="&amp;$N$1,'Form responses'!$C$2:$C63,"&lt;="&amp;$Q$1,'Form responses'!$D$2:$D63,$C47)
)*Sum!$H$35)+((
sumifs('Form responses'!$AA$2:$AA63,'Form responses'!$C$2:$C63,"&gt;="&amp;$N$1,'Form responses'!$C$2:$C63,"&lt;="&amp;$Q$1,'Form responses'!$D$2:$D63,$C47)
)*Sum!$I$35)+((
sumifs('Form responses'!$AB$2:$AB63,'Form responses'!$C$2:$C63,"&gt;="&amp;$N$1,'Form responses'!$C$2:$C63,"&lt;="&amp;$Q$1,'Form responses'!$D$2:$D63,$C47)
)*Sum!$Z$35)+((
sumifs('Form responses'!$AC$2:$AC63,'Form responses'!$C$2:$C63,"&gt;="&amp;$N$1,'Form responses'!$C$2:$C63,"&lt;="&amp;$Q$1,'Form responses'!$D$2:$D63,$C47)
)*Sum!$AA$35)+((
sumifs('Form responses'!$AD$2:$AD63,'Form responses'!$C$2:$C63,"&gt;="&amp;$N$1,'Form responses'!$C$2:$C63,"&lt;="&amp;$Q$1,'Form responses'!$D$2:$D63,$C47)
)*Sum!$AB$35)</f>
        <v>0</v>
      </c>
      <c r="K47" s="200">
        <f t="shared" ref="K47:K54" si="11">SUM(D47:J47)</f>
        <v>400</v>
      </c>
      <c r="L47" s="200">
        <f>(
sumifs('Form responses'!$BF$2:$BF63,'Form responses'!$C$2:$C63,"&gt;="&amp;$N$1,'Form responses'!$C$2:$C63,"&lt;="&amp;$Q$1,'Form responses'!$D$2:$D63,$C47)
+
sumifs('Form responses'!$BH$2:$BH63,'Form responses'!$C$2:$C63,"&gt;="&amp;$N$1,'Form responses'!$C$2:$C63,"&lt;="&amp;$Q$1,'Form responses'!$D$2:$D63,$C47)
+
sumifs('Form responses'!$BJ$2:$BJ63,'Form responses'!$C$2:$C63,"&gt;="&amp;$N$1,'Form responses'!$C$2:$C63,"&lt;="&amp;$Q$1,'Form responses'!$D$2:$D63,$C47)
+
sumifs('Form responses'!$BL$2:$BL63,'Form responses'!$C$2:$C63,"&gt;="&amp;$N$1,'Form responses'!$C$2:$C63,"&lt;="&amp;$Q$1,'Form responses'!$D$2:$D63,$C47)
)*Sum!$Q$35</f>
        <v>0</v>
      </c>
      <c r="M47" s="200">
        <f>(
sumifs('Form responses'!$BN$2:$BN63,'Form responses'!$C$2:$C63,"&gt;="&amp;N$1,'Form responses'!$C$2:$C63,"&lt;="&amp;$Q$1,'Form responses'!$D$2:$D63,$C47)
+
sumifs('Form responses'!$BP$2:$BP63,'Form responses'!$C$2:$C63,"&gt;="&amp;N$1,'Form responses'!$C$2:$C63,"&lt;="&amp;$Q$1,'Form responses'!$D$2:$D63,$C47)
)*Sum!$R$35</f>
        <v>0</v>
      </c>
      <c r="N47" s="200">
        <f>sumifs('Form responses'!$BR$2:$BR63,'Form responses'!$C$2:$C63,"&gt;="&amp;$N$1,'Form responses'!$C$2:$C63,"&lt;="&amp;$Q$1,'Form responses'!$D$2:$D63,$C47)*Sum!$S$35+sumifs('Form responses'!$BT$2:$BT63,'Form responses'!$C$2:$C63,"&gt;="&amp;$N$1,'Form responses'!$C$2:$C63,"&lt;="&amp;$Q$1,'Form responses'!$D$2:$D63,$C47)*Sum!$S$35+sumifs('Form responses'!$BV$2:$BV63,'Form responses'!$C$2:$C63,"&gt;="&amp;$N$1,'Form responses'!$C$2:$C63,"&lt;="&amp;$Q$1,'Form responses'!$D$2:$D63,$C47)*Sum!$S$35+sumifs('Form responses'!$BX$2:$BX63,'Form responses'!$C$2:$C63,"&gt;="&amp;$N$1,'Form responses'!$C$2:$C63,"&lt;="&amp;$Q$1,'Form responses'!$D$2:$D63,$C47)*Sum!$S$35</f>
        <v>0</v>
      </c>
      <c r="O47" s="200"/>
      <c r="P47" s="200">
        <f t="shared" ref="P47:P54" si="12">SUM(L47:O47)</f>
        <v>0</v>
      </c>
      <c r="Q47" s="200">
        <f>((sumifs('Form responses'!$BZ$2:$BZ63,'Form responses'!$C$2:$C63,"&gt;="&amp;$N$1,'Form responses'!$C$2:$C63,"&lt;="&amp;$Q$1,'Form responses'!$D$2:$D63,$C47)+
sumifs('Form responses'!$CB$2:$CB63,'Form responses'!$C$2:$C63,"&gt;="&amp;$N$1,'Form responses'!$C$2:$C63,"&lt;="&amp;$Q$1,'Form responses'!$D$2:$D63,$C47))*Sum!$U$35)</f>
        <v>0</v>
      </c>
      <c r="R47" s="200">
        <f>sumifs('Form responses'!$CD$2:$CD63,'Form responses'!$C$2:$C63,"&gt;="&amp;$N$1,'Form responses'!$C$2:$C63,"&lt;="&amp;$Q$1,'Form responses'!$D$2:$D63,$C47)*Sum!$S$35+sumifs('Form responses'!$CF$2:$CF63,'Form responses'!$C$2:$C63,"&gt;="&amp;$N$1,'Form responses'!$C$2:$C63,"&lt;="&amp;$Q$1,'Form responses'!$D$2:$D63,$C47)*Sum!$S$35</f>
        <v>0</v>
      </c>
      <c r="S47" s="200">
        <f t="shared" ref="S47:S54" si="13">P47+Q47+R47</f>
        <v>0</v>
      </c>
      <c r="T47" s="200">
        <f t="shared" ref="T47:T54" si="14">K47+S47</f>
        <v>400</v>
      </c>
      <c r="U47" s="199"/>
      <c r="V47" s="202"/>
      <c r="W47" s="202"/>
      <c r="X47" s="202"/>
      <c r="Y47" s="202"/>
      <c r="Z47" s="202"/>
      <c r="AA47" s="202"/>
    </row>
    <row r="48" ht="24.75" customHeight="1">
      <c r="A48" s="199"/>
      <c r="B48" s="199"/>
      <c r="C48" s="192" t="str">
        <f>VLOOKUP($J$1,Credentials!$C$2:$P$85,8,FALSE)</f>
        <v/>
      </c>
      <c r="D48" s="200">
        <f>((sumifs('Form responses'!$I$2:$I63,'Form responses'!$C$2:$C63,"&gt;="&amp;$N$1,'Form responses'!$C$2:$C63,"&lt;="&amp;$Q$1,'Form responses'!$D$2:$D63,$C48)
+sumifs('Form responses'!$J$2:$J63,'Form responses'!$C$2:$C63,"&gt;="&amp;$N$1,'Form responses'!$C$2:$C63,"&lt;="&amp;$Q$1,'Form responses'!$D$2:$D63,$C48)
+sumifs('Form responses'!$K$2:$K63,'Form responses'!$C$2:$C63,"&gt;="&amp;$N$1,'Form responses'!$C$2:$C63,"&lt;="&amp;$Q$1,'Form responses'!$D$2:$D63,$C48)
)*Sum!$B$35)</f>
        <v>0</v>
      </c>
      <c r="E48" s="201">
        <f>((sumifs('Form responses'!$L$2:$L63,'Form responses'!$C$2:$C63,"&gt;="&amp;$N$1,'Form responses'!$C$2:$C63,"&lt;="&amp;$Q$1,'Form responses'!$D$2:$D63,$C48))*Sum!$C$35)</f>
        <v>0</v>
      </c>
      <c r="F48" s="200">
        <f>((
sumifs('Form responses'!$U$2:$U63,'Form responses'!$C$2:$C63,"&gt;="&amp;$N$1,'Form responses'!$C$2:$C63,"&lt;="&amp;$Q$1,'Form responses'!$D$2:$D63,$C48)
+
sumifs('Form responses'!$V$2:$V63,'Form responses'!$C$2:$C63,"&gt;="&amp;$N$1,'Form responses'!$C$2:$C63,"&lt;="&amp;$Q$1,'Form responses'!$D$2:$D63,$C48)
)*Sum!$E$35
)</f>
        <v>0</v>
      </c>
      <c r="G48" s="200">
        <f>sumifs('Form responses'!$W$2:$W63,'Form responses'!$C$2:$C63,"&gt;="&amp;$N$1,'Form responses'!$C$2:$C63,"&lt;="&amp;$Q$1,'Form responses'!$D$2:$D63,$C48)
*Sum!$D$35</f>
        <v>0</v>
      </c>
      <c r="H48" s="203">
        <v>0.0</v>
      </c>
      <c r="I48" s="200">
        <f>((
sumifs('Form responses'!$X$2:$X63,'Form responses'!$C$2:$C63,"&gt;="&amp;$N$1,'Form responses'!$C$2:$C63,"&lt;="&amp;$Q$1,'Form responses'!$D$2:$D63,$C48)
)*
Sum!$F$35
)+((
sumifs('Form responses'!$Y$2:$Y63,'Form responses'!$C$2:$C63,"&gt;="&amp;$N$1,'Form responses'!$C$2:$C63,"&lt;="&amp;$Q$1,'Form responses'!$D$2:$D63,$C48)
)*
Sum!$G$35
)</f>
        <v>0</v>
      </c>
      <c r="J48" s="200">
        <f>((
sumifs('Form responses'!$Z$2:$Z63,'Form responses'!$C$2:$C63,"&gt;="&amp;$N$1,'Form responses'!$C$2:$C63,"&lt;="&amp;$Q$1,'Form responses'!$D$2:$D63,$C48)
)*Sum!$H$35)+((
sumifs('Form responses'!$AA$2:$AA63,'Form responses'!$C$2:$C63,"&gt;="&amp;$N$1,'Form responses'!$C$2:$C63,"&lt;="&amp;$Q$1,'Form responses'!$D$2:$D63,$C48)
)*Sum!$I$35)+((
sumifs('Form responses'!$AB$2:$AB63,'Form responses'!$C$2:$C63,"&gt;="&amp;$N$1,'Form responses'!$C$2:$C63,"&lt;="&amp;$Q$1,'Form responses'!$D$2:$D63,$C48)
)*Sum!$Z$35)+((
sumifs('Form responses'!$AC$2:$AC63,'Form responses'!$C$2:$C63,"&gt;="&amp;$N$1,'Form responses'!$C$2:$C63,"&lt;="&amp;$Q$1,'Form responses'!$D$2:$D63,$C48)
)*Sum!$AA$35)+((
sumifs('Form responses'!$AD$2:$AD63,'Form responses'!$C$2:$C63,"&gt;="&amp;$N$1,'Form responses'!$C$2:$C63,"&lt;="&amp;$Q$1,'Form responses'!$D$2:$D63,$C48)
)*Sum!$AB$35)</f>
        <v>0</v>
      </c>
      <c r="K48" s="200">
        <f t="shared" si="11"/>
        <v>0</v>
      </c>
      <c r="L48" s="200">
        <f>(
sumifs('Form responses'!$BF$2:$BF63,'Form responses'!$C$2:$C63,"&gt;="&amp;$N$1,'Form responses'!$C$2:$C63,"&lt;="&amp;$Q$1,'Form responses'!$D$2:$D63,$C48)
+
sumifs('Form responses'!$BH$2:$BH63,'Form responses'!$C$2:$C63,"&gt;="&amp;$N$1,'Form responses'!$C$2:$C63,"&lt;="&amp;$Q$1,'Form responses'!$D$2:$D63,$C48)
+
sumifs('Form responses'!$BJ$2:$BJ63,'Form responses'!$C$2:$C63,"&gt;="&amp;$N$1,'Form responses'!$C$2:$C63,"&lt;="&amp;$Q$1,'Form responses'!$D$2:$D63,$C48)
+
sumifs('Form responses'!$BL$2:$BL63,'Form responses'!$C$2:$C63,"&gt;="&amp;$N$1,'Form responses'!$C$2:$C63,"&lt;="&amp;$Q$1,'Form responses'!$D$2:$D63,$C48)
)*Sum!$Q$35</f>
        <v>0</v>
      </c>
      <c r="M48" s="200">
        <f>(
sumifs('Form responses'!$BN$2:$BN63,'Form responses'!$C$2:$C63,"&gt;="&amp;N$1,'Form responses'!$C$2:$C63,"&lt;="&amp;$Q$1,'Form responses'!$D$2:$D63,$C48)
+
sumifs('Form responses'!$BP$2:$BP63,'Form responses'!$C$2:$C63,"&gt;="&amp;N$1,'Form responses'!$C$2:$C63,"&lt;="&amp;$Q$1,'Form responses'!$D$2:$D63,$C48)
)*Sum!$R$35</f>
        <v>0</v>
      </c>
      <c r="N48" s="200">
        <f>sumifs('Form responses'!$BR$2:$BR63,'Form responses'!$C$2:$C63,"&gt;="&amp;$N$1,'Form responses'!$C$2:$C63,"&lt;="&amp;$Q$1,'Form responses'!$D$2:$D63,$C48)*Sum!$S$35+sumifs('Form responses'!$BT$2:$BT63,'Form responses'!$C$2:$C63,"&gt;="&amp;$N$1,'Form responses'!$C$2:$C63,"&lt;="&amp;$Q$1,'Form responses'!$D$2:$D63,$C48)*Sum!$S$35+sumifs('Form responses'!$BV$2:$BV63,'Form responses'!$C$2:$C63,"&gt;="&amp;$N$1,'Form responses'!$C$2:$C63,"&lt;="&amp;$Q$1,'Form responses'!$D$2:$D63,$C48)*Sum!$S$35+sumifs('Form responses'!$BX$2:$BX63,'Form responses'!$C$2:$C63,"&gt;="&amp;$N$1,'Form responses'!$C$2:$C63,"&lt;="&amp;$Q$1,'Form responses'!$D$2:$D63,$C48)*Sum!$S$35</f>
        <v>0</v>
      </c>
      <c r="O48" s="200"/>
      <c r="P48" s="200">
        <f t="shared" si="12"/>
        <v>0</v>
      </c>
      <c r="Q48" s="200">
        <f>((sumifs('Form responses'!$BZ$2:$BZ63,'Form responses'!$C$2:$C63,"&gt;="&amp;$N$1,'Form responses'!$C$2:$C63,"&lt;="&amp;$Q$1,'Form responses'!$D$2:$D63,$C48)+
sumifs('Form responses'!$CB$2:$CB63,'Form responses'!$C$2:$C63,"&gt;="&amp;$N$1,'Form responses'!$C$2:$C63,"&lt;="&amp;$Q$1,'Form responses'!$D$2:$D63,$C48))*Sum!$U$35)</f>
        <v>0</v>
      </c>
      <c r="R48" s="200">
        <f>sumifs('Form responses'!$CD$2:$CD63,'Form responses'!$C$2:$C63,"&gt;="&amp;$N$1,'Form responses'!$C$2:$C63,"&lt;="&amp;$Q$1,'Form responses'!$D$2:$D63,$C48)*Sum!$S$35+sumifs('Form responses'!$CF$2:$CF63,'Form responses'!$C$2:$C63,"&gt;="&amp;$N$1,'Form responses'!$C$2:$C63,"&lt;="&amp;$Q$1,'Form responses'!$D$2:$D63,$C48)*Sum!$S$35</f>
        <v>0</v>
      </c>
      <c r="S48" s="200">
        <f t="shared" si="13"/>
        <v>0</v>
      </c>
      <c r="T48" s="200">
        <f t="shared" si="14"/>
        <v>0</v>
      </c>
      <c r="U48" s="199"/>
      <c r="V48" s="202"/>
      <c r="W48" s="202"/>
      <c r="X48" s="202"/>
      <c r="Y48" s="202"/>
      <c r="Z48" s="202"/>
      <c r="AA48" s="202"/>
    </row>
    <row r="49" ht="24.75" customHeight="1">
      <c r="A49" s="199"/>
      <c r="B49" s="199"/>
      <c r="C49" s="192" t="str">
        <f>VLOOKUP($J$1,Credentials!$C$2:$P$85,9,FALSE)</f>
        <v/>
      </c>
      <c r="D49" s="200">
        <f>((sumifs('Form responses'!$I$2:$I63,'Form responses'!$C$2:$C63,"&gt;="&amp;$N$1,'Form responses'!$C$2:$C63,"&lt;="&amp;$Q$1,'Form responses'!$D$2:$D63,$C49)
+sumifs('Form responses'!$J$2:$J63,'Form responses'!$C$2:$C63,"&gt;="&amp;$N$1,'Form responses'!$C$2:$C63,"&lt;="&amp;$Q$1,'Form responses'!$D$2:$D63,$C49)
+sumifs('Form responses'!$K$2:$K63,'Form responses'!$C$2:$C63,"&gt;="&amp;$N$1,'Form responses'!$C$2:$C63,"&lt;="&amp;$Q$1,'Form responses'!$D$2:$D63,$C49)
)*Sum!$B$35)</f>
        <v>0</v>
      </c>
      <c r="E49" s="201">
        <f>((sumifs('Form responses'!$L$2:$L63,'Form responses'!$C$2:$C63,"&gt;="&amp;$N$1,'Form responses'!$C$2:$C63,"&lt;="&amp;$Q$1,'Form responses'!$D$2:$D63,$C49))*Sum!$C$35)</f>
        <v>0</v>
      </c>
      <c r="F49" s="200">
        <f>((
sumifs('Form responses'!$U$2:$U63,'Form responses'!$C$2:$C63,"&gt;="&amp;$N$1,'Form responses'!$C$2:$C63,"&lt;="&amp;$Q$1,'Form responses'!$D$2:$D63,$C49)
+
sumifs('Form responses'!$V$2:$V63,'Form responses'!$C$2:$C63,"&gt;="&amp;$N$1,'Form responses'!$C$2:$C63,"&lt;="&amp;$Q$1,'Form responses'!$D$2:$D63,$C49)
)*Sum!$E$35
)</f>
        <v>0</v>
      </c>
      <c r="G49" s="200">
        <f>sumifs('Form responses'!$W$2:$W63,'Form responses'!$C$2:$C63,"&gt;="&amp;$N$1,'Form responses'!$C$2:$C63,"&lt;="&amp;$Q$1,'Form responses'!$D$2:$D63,$C49)
*Sum!$D$35</f>
        <v>0</v>
      </c>
      <c r="H49" s="203">
        <v>0.0</v>
      </c>
      <c r="I49" s="200">
        <f>((
sumifs('Form responses'!$X$2:$X63,'Form responses'!$C$2:$C63,"&gt;="&amp;$N$1,'Form responses'!$C$2:$C63,"&lt;="&amp;$Q$1,'Form responses'!$D$2:$D63,$C49)
)*
Sum!$F$35
)+((
sumifs('Form responses'!$Y$2:$Y63,'Form responses'!$C$2:$C63,"&gt;="&amp;$N$1,'Form responses'!$C$2:$C63,"&lt;="&amp;$Q$1,'Form responses'!$D$2:$D63,$C49)
)*
Sum!$G$35
)</f>
        <v>0</v>
      </c>
      <c r="J49" s="200">
        <f>((
sumifs('Form responses'!$Z$2:$Z63,'Form responses'!$C$2:$C63,"&gt;="&amp;$N$1,'Form responses'!$C$2:$C63,"&lt;="&amp;$Q$1,'Form responses'!$D$2:$D63,$C49)
)*Sum!$H$35)+((
sumifs('Form responses'!$AA$2:$AA63,'Form responses'!$C$2:$C63,"&gt;="&amp;$N$1,'Form responses'!$C$2:$C63,"&lt;="&amp;$Q$1,'Form responses'!$D$2:$D63,$C49)
)*Sum!$I$35)+((
sumifs('Form responses'!$AB$2:$AB63,'Form responses'!$C$2:$C63,"&gt;="&amp;$N$1,'Form responses'!$C$2:$C63,"&lt;="&amp;$Q$1,'Form responses'!$D$2:$D63,$C49)
)*Sum!$Z$35)+((
sumifs('Form responses'!$AC$2:$AC63,'Form responses'!$C$2:$C63,"&gt;="&amp;$N$1,'Form responses'!$C$2:$C63,"&lt;="&amp;$Q$1,'Form responses'!$D$2:$D63,$C49)
)*Sum!$AA$35)+((
sumifs('Form responses'!$AD$2:$AD63,'Form responses'!$C$2:$C63,"&gt;="&amp;$N$1,'Form responses'!$C$2:$C63,"&lt;="&amp;$Q$1,'Form responses'!$D$2:$D63,$C49)
)*Sum!$AB$35)</f>
        <v>0</v>
      </c>
      <c r="K49" s="200">
        <f t="shared" si="11"/>
        <v>0</v>
      </c>
      <c r="L49" s="200">
        <f>(
sumifs('Form responses'!$BF$2:$BF63,'Form responses'!$C$2:$C63,"&gt;="&amp;$N$1,'Form responses'!$C$2:$C63,"&lt;="&amp;$Q$1,'Form responses'!$D$2:$D63,$C49)
+
sumifs('Form responses'!$BH$2:$BH63,'Form responses'!$C$2:$C63,"&gt;="&amp;$N$1,'Form responses'!$C$2:$C63,"&lt;="&amp;$Q$1,'Form responses'!$D$2:$D63,$C49)
+
sumifs('Form responses'!$BJ$2:$BJ63,'Form responses'!$C$2:$C63,"&gt;="&amp;$N$1,'Form responses'!$C$2:$C63,"&lt;="&amp;$Q$1,'Form responses'!$D$2:$D63,$C49)
+
sumifs('Form responses'!$BL$2:$BL63,'Form responses'!$C$2:$C63,"&gt;="&amp;$N$1,'Form responses'!$C$2:$C63,"&lt;="&amp;$Q$1,'Form responses'!$D$2:$D63,$C49)
)*Sum!$Q$35</f>
        <v>0</v>
      </c>
      <c r="M49" s="200">
        <f>(
sumifs('Form responses'!$BN$2:$BN63,'Form responses'!$C$2:$C63,"&gt;="&amp;N$1,'Form responses'!$C$2:$C63,"&lt;="&amp;$Q$1,'Form responses'!$D$2:$D63,$C49)
+
sumifs('Form responses'!$BP$2:$BP63,'Form responses'!$C$2:$C63,"&gt;="&amp;N$1,'Form responses'!$C$2:$C63,"&lt;="&amp;$Q$1,'Form responses'!$D$2:$D63,$C49)
)*Sum!$R$35</f>
        <v>0</v>
      </c>
      <c r="N49" s="200">
        <f>sumifs('Form responses'!$BR$2:$BR63,'Form responses'!$C$2:$C63,"&gt;="&amp;$N$1,'Form responses'!$C$2:$C63,"&lt;="&amp;$Q$1,'Form responses'!$D$2:$D63,$C49)*Sum!$S$35+sumifs('Form responses'!$BT$2:$BT63,'Form responses'!$C$2:$C63,"&gt;="&amp;$N$1,'Form responses'!$C$2:$C63,"&lt;="&amp;$Q$1,'Form responses'!$D$2:$D63,$C49)*Sum!$S$35+sumifs('Form responses'!$BV$2:$BV63,'Form responses'!$C$2:$C63,"&gt;="&amp;$N$1,'Form responses'!$C$2:$C63,"&lt;="&amp;$Q$1,'Form responses'!$D$2:$D63,$C49)*Sum!$S$35+sumifs('Form responses'!$BX$2:$BX63,'Form responses'!$C$2:$C63,"&gt;="&amp;$N$1,'Form responses'!$C$2:$C63,"&lt;="&amp;$Q$1,'Form responses'!$D$2:$D63,$C49)*Sum!$S$35</f>
        <v>0</v>
      </c>
      <c r="O49" s="200"/>
      <c r="P49" s="200">
        <f t="shared" si="12"/>
        <v>0</v>
      </c>
      <c r="Q49" s="200">
        <f>((sumifs('Form responses'!$BZ$2:$BZ63,'Form responses'!$C$2:$C63,"&gt;="&amp;$N$1,'Form responses'!$C$2:$C63,"&lt;="&amp;$Q$1,'Form responses'!$D$2:$D63,$C49)+
sumifs('Form responses'!$CB$2:$CB63,'Form responses'!$C$2:$C63,"&gt;="&amp;$N$1,'Form responses'!$C$2:$C63,"&lt;="&amp;$Q$1,'Form responses'!$D$2:$D63,$C49))*Sum!$U$35)</f>
        <v>0</v>
      </c>
      <c r="R49" s="200">
        <f>sumifs('Form responses'!$CD$2:$CD63,'Form responses'!$C$2:$C63,"&gt;="&amp;$N$1,'Form responses'!$C$2:$C63,"&lt;="&amp;$Q$1,'Form responses'!$D$2:$D63,$C49)*Sum!$S$35+sumifs('Form responses'!$CF$2:$CF63,'Form responses'!$C$2:$C63,"&gt;="&amp;$N$1,'Form responses'!$C$2:$C63,"&lt;="&amp;$Q$1,'Form responses'!$D$2:$D63,$C49)*Sum!$S$35</f>
        <v>0</v>
      </c>
      <c r="S49" s="200">
        <f t="shared" si="13"/>
        <v>0</v>
      </c>
      <c r="T49" s="200">
        <f t="shared" si="14"/>
        <v>0</v>
      </c>
      <c r="U49" s="199"/>
      <c r="V49" s="202"/>
      <c r="W49" s="202"/>
      <c r="X49" s="202"/>
      <c r="Y49" s="202"/>
      <c r="Z49" s="202"/>
      <c r="AA49" s="202"/>
    </row>
    <row r="50" ht="24.75" customHeight="1">
      <c r="A50" s="199"/>
      <c r="B50" s="199"/>
      <c r="C50" s="192" t="str">
        <f>VLOOKUP($J$1,Credentials!$C$2:$P$85,10,FALSE)</f>
        <v/>
      </c>
      <c r="D50" s="200">
        <f>((sumifs('Form responses'!$I$2:$I63,'Form responses'!$C$2:$C63,"&gt;="&amp;$N$1,'Form responses'!$C$2:$C63,"&lt;="&amp;$Q$1,'Form responses'!$D$2:$D63,$C50)
+sumifs('Form responses'!$J$2:$J63,'Form responses'!$C$2:$C63,"&gt;="&amp;$N$1,'Form responses'!$C$2:$C63,"&lt;="&amp;$Q$1,'Form responses'!$D$2:$D63,$C50)
+sumifs('Form responses'!$K$2:$K63,'Form responses'!$C$2:$C63,"&gt;="&amp;$N$1,'Form responses'!$C$2:$C63,"&lt;="&amp;$Q$1,'Form responses'!$D$2:$D63,$C50)
)*Sum!$B$35)</f>
        <v>0</v>
      </c>
      <c r="E50" s="201">
        <f>((sumifs('Form responses'!$L$2:$L63,'Form responses'!$C$2:$C63,"&gt;="&amp;$N$1,'Form responses'!$C$2:$C63,"&lt;="&amp;$Q$1,'Form responses'!$D$2:$D63,$C50))*Sum!$C$35)</f>
        <v>0</v>
      </c>
      <c r="F50" s="200">
        <f>((
sumifs('Form responses'!$U$2:$U63,'Form responses'!$C$2:$C63,"&gt;="&amp;$N$1,'Form responses'!$C$2:$C63,"&lt;="&amp;$Q$1,'Form responses'!$D$2:$D63,$C50)
+
sumifs('Form responses'!$V$2:$V63,'Form responses'!$C$2:$C63,"&gt;="&amp;$N$1,'Form responses'!$C$2:$C63,"&lt;="&amp;$Q$1,'Form responses'!$D$2:$D63,$C50)
)*Sum!$E$35
)</f>
        <v>0</v>
      </c>
      <c r="G50" s="200">
        <f>sumifs('Form responses'!$W$2:$W63,'Form responses'!$C$2:$C63,"&gt;="&amp;$N$1,'Form responses'!$C$2:$C63,"&lt;="&amp;$Q$1,'Form responses'!$D$2:$D63,$C50)
*Sum!$D$35</f>
        <v>0</v>
      </c>
      <c r="H50" s="203">
        <v>0.0</v>
      </c>
      <c r="I50" s="200">
        <f>((
sumifs('Form responses'!$X$2:$X63,'Form responses'!$C$2:$C63,"&gt;="&amp;$N$1,'Form responses'!$C$2:$C63,"&lt;="&amp;$Q$1,'Form responses'!$D$2:$D63,$C50)
)*
Sum!$F$35
)+((
sumifs('Form responses'!$Y$2:$Y63,'Form responses'!$C$2:$C63,"&gt;="&amp;$N$1,'Form responses'!$C$2:$C63,"&lt;="&amp;$Q$1,'Form responses'!$D$2:$D63,$C50)
)*
Sum!$G$35
)</f>
        <v>0</v>
      </c>
      <c r="J50" s="200">
        <f>((
sumifs('Form responses'!$Z$2:$Z63,'Form responses'!$C$2:$C63,"&gt;="&amp;$N$1,'Form responses'!$C$2:$C63,"&lt;="&amp;$Q$1,'Form responses'!$D$2:$D63,$C50)
)*Sum!$H$35)+((
sumifs('Form responses'!$AA$2:$AA63,'Form responses'!$C$2:$C63,"&gt;="&amp;$N$1,'Form responses'!$C$2:$C63,"&lt;="&amp;$Q$1,'Form responses'!$D$2:$D63,$C50)
)*Sum!$I$35)+((
sumifs('Form responses'!$AB$2:$AB63,'Form responses'!$C$2:$C63,"&gt;="&amp;$N$1,'Form responses'!$C$2:$C63,"&lt;="&amp;$Q$1,'Form responses'!$D$2:$D63,$C50)
)*Sum!$Z$35)+((
sumifs('Form responses'!$AC$2:$AC63,'Form responses'!$C$2:$C63,"&gt;="&amp;$N$1,'Form responses'!$C$2:$C63,"&lt;="&amp;$Q$1,'Form responses'!$D$2:$D63,$C50)
)*Sum!$AA$35)+((
sumifs('Form responses'!$AD$2:$AD63,'Form responses'!$C$2:$C63,"&gt;="&amp;$N$1,'Form responses'!$C$2:$C63,"&lt;="&amp;$Q$1,'Form responses'!$D$2:$D63,$C50)
)*Sum!$AB$35)</f>
        <v>0</v>
      </c>
      <c r="K50" s="200">
        <f t="shared" si="11"/>
        <v>0</v>
      </c>
      <c r="L50" s="200">
        <f>(
sumifs('Form responses'!$BF$2:$BF63,'Form responses'!$C$2:$C63,"&gt;="&amp;$N$1,'Form responses'!$C$2:$C63,"&lt;="&amp;$Q$1,'Form responses'!$D$2:$D63,$C50)
+
sumifs('Form responses'!$BH$2:$BH63,'Form responses'!$C$2:$C63,"&gt;="&amp;$N$1,'Form responses'!$C$2:$C63,"&lt;="&amp;$Q$1,'Form responses'!$D$2:$D63,$C50)
+
sumifs('Form responses'!$BJ$2:$BJ63,'Form responses'!$C$2:$C63,"&gt;="&amp;$N$1,'Form responses'!$C$2:$C63,"&lt;="&amp;$Q$1,'Form responses'!$D$2:$D63,$C50)
+
sumifs('Form responses'!$BL$2:$BL63,'Form responses'!$C$2:$C63,"&gt;="&amp;$N$1,'Form responses'!$C$2:$C63,"&lt;="&amp;$Q$1,'Form responses'!$D$2:$D63,$C50)
)*Sum!$Q$35</f>
        <v>0</v>
      </c>
      <c r="M50" s="200">
        <f>(
sumifs('Form responses'!$BN$2:$BN63,'Form responses'!$C$2:$C63,"&gt;="&amp;N$1,'Form responses'!$C$2:$C63,"&lt;="&amp;$Q$1,'Form responses'!$D$2:$D63,$C50)
+
sumifs('Form responses'!$BP$2:$BP63,'Form responses'!$C$2:$C63,"&gt;="&amp;N$1,'Form responses'!$C$2:$C63,"&lt;="&amp;$Q$1,'Form responses'!$D$2:$D63,$C50)
)*Sum!$R$35</f>
        <v>0</v>
      </c>
      <c r="N50" s="200">
        <f>sumifs('Form responses'!$BR$2:$BR63,'Form responses'!$C$2:$C63,"&gt;="&amp;$N$1,'Form responses'!$C$2:$C63,"&lt;="&amp;$Q$1,'Form responses'!$D$2:$D63,$C50)*Sum!$S$35+sumifs('Form responses'!$BT$2:$BT63,'Form responses'!$C$2:$C63,"&gt;="&amp;$N$1,'Form responses'!$C$2:$C63,"&lt;="&amp;$Q$1,'Form responses'!$D$2:$D63,$C50)*Sum!$S$35+sumifs('Form responses'!$BV$2:$BV63,'Form responses'!$C$2:$C63,"&gt;="&amp;$N$1,'Form responses'!$C$2:$C63,"&lt;="&amp;$Q$1,'Form responses'!$D$2:$D63,$C50)*Sum!$S$35+sumifs('Form responses'!$BX$2:$BX63,'Form responses'!$C$2:$C63,"&gt;="&amp;$N$1,'Form responses'!$C$2:$C63,"&lt;="&amp;$Q$1,'Form responses'!$D$2:$D63,$C50)*Sum!$S$35</f>
        <v>0</v>
      </c>
      <c r="O50" s="200"/>
      <c r="P50" s="200">
        <f t="shared" si="12"/>
        <v>0</v>
      </c>
      <c r="Q50" s="200">
        <f>((sumifs('Form responses'!$BZ$2:$BZ63,'Form responses'!$C$2:$C63,"&gt;="&amp;$N$1,'Form responses'!$C$2:$C63,"&lt;="&amp;$Q$1,'Form responses'!$D$2:$D63,$C50)+
sumifs('Form responses'!$CB$2:$CB63,'Form responses'!$C$2:$C63,"&gt;="&amp;$N$1,'Form responses'!$C$2:$C63,"&lt;="&amp;$Q$1,'Form responses'!$D$2:$D63,$C50))*Sum!$U$35)</f>
        <v>0</v>
      </c>
      <c r="R50" s="200">
        <f>sumifs('Form responses'!$CD$2:$CD63,'Form responses'!$C$2:$C63,"&gt;="&amp;$N$1,'Form responses'!$C$2:$C63,"&lt;="&amp;$Q$1,'Form responses'!$D$2:$D63,$C50)*Sum!$S$35+sumifs('Form responses'!$CF$2:$CF63,'Form responses'!$C$2:$C63,"&gt;="&amp;$N$1,'Form responses'!$C$2:$C63,"&lt;="&amp;$Q$1,'Form responses'!$D$2:$D63,$C50)*Sum!$S$35</f>
        <v>0</v>
      </c>
      <c r="S50" s="200">
        <f t="shared" si="13"/>
        <v>0</v>
      </c>
      <c r="T50" s="200">
        <f t="shared" si="14"/>
        <v>0</v>
      </c>
      <c r="U50" s="199"/>
      <c r="V50" s="202"/>
      <c r="W50" s="202"/>
      <c r="X50" s="202"/>
      <c r="Y50" s="202"/>
      <c r="Z50" s="202"/>
      <c r="AA50" s="202"/>
    </row>
    <row r="51" ht="24.75" customHeight="1">
      <c r="A51" s="199"/>
      <c r="B51" s="199"/>
      <c r="C51" s="192" t="str">
        <f>VLOOKUP($J$1,Credentials!$C$2:$P$85,11,FALSE)</f>
        <v/>
      </c>
      <c r="D51" s="200">
        <f>((sumifs('Form responses'!$I$2:$I63,'Form responses'!$C$2:$C63,"&gt;="&amp;$N$1,'Form responses'!$C$2:$C63,"&lt;="&amp;$Q$1,'Form responses'!$D$2:$D63,$C51)
+sumifs('Form responses'!$J$2:$J63,'Form responses'!$C$2:$C63,"&gt;="&amp;$N$1,'Form responses'!$C$2:$C63,"&lt;="&amp;$Q$1,'Form responses'!$D$2:$D63,$C51)
+sumifs('Form responses'!$K$2:$K63,'Form responses'!$C$2:$C63,"&gt;="&amp;$N$1,'Form responses'!$C$2:$C63,"&lt;="&amp;$Q$1,'Form responses'!$D$2:$D63,$C51)
)*Sum!$B$35)</f>
        <v>0</v>
      </c>
      <c r="E51" s="201">
        <f>((sumifs('Form responses'!$L$2:$L63,'Form responses'!$C$2:$C63,"&gt;="&amp;$N$1,'Form responses'!$C$2:$C63,"&lt;="&amp;$Q$1,'Form responses'!$D$2:$D63,$C51))*Sum!$C$35)</f>
        <v>0</v>
      </c>
      <c r="F51" s="200">
        <f>((
sumifs('Form responses'!$U$2:$U63,'Form responses'!$C$2:$C63,"&gt;="&amp;$N$1,'Form responses'!$C$2:$C63,"&lt;="&amp;$Q$1,'Form responses'!$D$2:$D63,$C51)
+
sumifs('Form responses'!$V$2:$V63,'Form responses'!$C$2:$C63,"&gt;="&amp;$N$1,'Form responses'!$C$2:$C63,"&lt;="&amp;$Q$1,'Form responses'!$D$2:$D63,$C51)
)*Sum!$E$35
)</f>
        <v>0</v>
      </c>
      <c r="G51" s="200">
        <f>sumifs('Form responses'!$W$2:$W63,'Form responses'!$C$2:$C63,"&gt;="&amp;$N$1,'Form responses'!$C$2:$C63,"&lt;="&amp;$Q$1,'Form responses'!$D$2:$D63,$C51)
*Sum!$D$35</f>
        <v>0</v>
      </c>
      <c r="H51" s="203">
        <v>0.0</v>
      </c>
      <c r="I51" s="200">
        <f>((
sumifs('Form responses'!$X$2:$X63,'Form responses'!$C$2:$C63,"&gt;="&amp;$N$1,'Form responses'!$C$2:$C63,"&lt;="&amp;$Q$1,'Form responses'!$D$2:$D63,$C51)
)*
Sum!$F$35
)+((
sumifs('Form responses'!$Y$2:$Y63,'Form responses'!$C$2:$C63,"&gt;="&amp;$N$1,'Form responses'!$C$2:$C63,"&lt;="&amp;$Q$1,'Form responses'!$D$2:$D63,$C51)
)*
Sum!$G$35
)</f>
        <v>0</v>
      </c>
      <c r="J51" s="200">
        <f>((
sumifs('Form responses'!$Z$2:$Z63,'Form responses'!$C$2:$C63,"&gt;="&amp;$N$1,'Form responses'!$C$2:$C63,"&lt;="&amp;$Q$1,'Form responses'!$D$2:$D63,$C51)
)*Sum!$H$35)+((
sumifs('Form responses'!$AA$2:$AA63,'Form responses'!$C$2:$C63,"&gt;="&amp;$N$1,'Form responses'!$C$2:$C63,"&lt;="&amp;$Q$1,'Form responses'!$D$2:$D63,$C51)
)*Sum!$I$35)+((
sumifs('Form responses'!$AB$2:$AB63,'Form responses'!$C$2:$C63,"&gt;="&amp;$N$1,'Form responses'!$C$2:$C63,"&lt;="&amp;$Q$1,'Form responses'!$D$2:$D63,$C51)
)*Sum!$Z$35)+((
sumifs('Form responses'!$AC$2:$AC63,'Form responses'!$C$2:$C63,"&gt;="&amp;$N$1,'Form responses'!$C$2:$C63,"&lt;="&amp;$Q$1,'Form responses'!$D$2:$D63,$C51)
)*Sum!$AA$35)+((
sumifs('Form responses'!$AD$2:$AD63,'Form responses'!$C$2:$C63,"&gt;="&amp;$N$1,'Form responses'!$C$2:$C63,"&lt;="&amp;$Q$1,'Form responses'!$D$2:$D63,$C51)
)*Sum!$AB$35)</f>
        <v>0</v>
      </c>
      <c r="K51" s="200">
        <f t="shared" si="11"/>
        <v>0</v>
      </c>
      <c r="L51" s="200">
        <f>(
sumifs('Form responses'!$BF$2:$BF63,'Form responses'!$C$2:$C63,"&gt;="&amp;$N$1,'Form responses'!$C$2:$C63,"&lt;="&amp;$Q$1,'Form responses'!$D$2:$D63,$C51)
+
sumifs('Form responses'!$BH$2:$BH63,'Form responses'!$C$2:$C63,"&gt;="&amp;$N$1,'Form responses'!$C$2:$C63,"&lt;="&amp;$Q$1,'Form responses'!$D$2:$D63,$C51)
+
sumifs('Form responses'!$BJ$2:$BJ63,'Form responses'!$C$2:$C63,"&gt;="&amp;$N$1,'Form responses'!$C$2:$C63,"&lt;="&amp;$Q$1,'Form responses'!$D$2:$D63,$C51)
+
sumifs('Form responses'!$BL$2:$BL63,'Form responses'!$C$2:$C63,"&gt;="&amp;$N$1,'Form responses'!$C$2:$C63,"&lt;="&amp;$Q$1,'Form responses'!$D$2:$D63,$C51)
)*Sum!$Q$35</f>
        <v>0</v>
      </c>
      <c r="M51" s="200">
        <f>(
sumifs('Form responses'!$BN$2:$BN63,'Form responses'!$C$2:$C63,"&gt;="&amp;N$1,'Form responses'!$C$2:$C63,"&lt;="&amp;$Q$1,'Form responses'!$D$2:$D63,$C51)
+
sumifs('Form responses'!$BP$2:$BP63,'Form responses'!$C$2:$C63,"&gt;="&amp;N$1,'Form responses'!$C$2:$C63,"&lt;="&amp;$Q$1,'Form responses'!$D$2:$D63,$C51)
)*Sum!$R$35</f>
        <v>0</v>
      </c>
      <c r="N51" s="200">
        <f>sumifs('Form responses'!$BR$2:$BR63,'Form responses'!$C$2:$C63,"&gt;="&amp;$N$1,'Form responses'!$C$2:$C63,"&lt;="&amp;$Q$1,'Form responses'!$D$2:$D63,$C51)*Sum!$S$35+sumifs('Form responses'!$BT$2:$BT63,'Form responses'!$C$2:$C63,"&gt;="&amp;$N$1,'Form responses'!$C$2:$C63,"&lt;="&amp;$Q$1,'Form responses'!$D$2:$D63,$C51)*Sum!$S$35+sumifs('Form responses'!$BV$2:$BV63,'Form responses'!$C$2:$C63,"&gt;="&amp;$N$1,'Form responses'!$C$2:$C63,"&lt;="&amp;$Q$1,'Form responses'!$D$2:$D63,$C51)*Sum!$S$35+sumifs('Form responses'!$BX$2:$BX63,'Form responses'!$C$2:$C63,"&gt;="&amp;$N$1,'Form responses'!$C$2:$C63,"&lt;="&amp;$Q$1,'Form responses'!$D$2:$D63,$C51)*Sum!$S$35</f>
        <v>0</v>
      </c>
      <c r="O51" s="200"/>
      <c r="P51" s="200">
        <f t="shared" si="12"/>
        <v>0</v>
      </c>
      <c r="Q51" s="200">
        <f>((sumifs('Form responses'!$BZ$2:$BZ63,'Form responses'!$C$2:$C63,"&gt;="&amp;$N$1,'Form responses'!$C$2:$C63,"&lt;="&amp;$Q$1,'Form responses'!$D$2:$D63,$C51)+
sumifs('Form responses'!$CB$2:$CB63,'Form responses'!$C$2:$C63,"&gt;="&amp;$N$1,'Form responses'!$C$2:$C63,"&lt;="&amp;$Q$1,'Form responses'!$D$2:$D63,$C51))*Sum!$U$35)</f>
        <v>0</v>
      </c>
      <c r="R51" s="200">
        <f>sumifs('Form responses'!$CD$2:$CD63,'Form responses'!$C$2:$C63,"&gt;="&amp;$N$1,'Form responses'!$C$2:$C63,"&lt;="&amp;$Q$1,'Form responses'!$D$2:$D63,$C51)*Sum!$S$35+sumifs('Form responses'!$CF$2:$CF63,'Form responses'!$C$2:$C63,"&gt;="&amp;$N$1,'Form responses'!$C$2:$C63,"&lt;="&amp;$Q$1,'Form responses'!$D$2:$D63,$C51)*Sum!$S$35</f>
        <v>0</v>
      </c>
      <c r="S51" s="200">
        <f t="shared" si="13"/>
        <v>0</v>
      </c>
      <c r="T51" s="200">
        <f t="shared" si="14"/>
        <v>0</v>
      </c>
      <c r="U51" s="199"/>
      <c r="V51" s="202"/>
      <c r="W51" s="202"/>
      <c r="X51" s="202"/>
      <c r="Y51" s="202"/>
      <c r="Z51" s="202"/>
      <c r="AA51" s="202"/>
    </row>
    <row r="52" ht="24.75" customHeight="1">
      <c r="A52" s="199"/>
      <c r="B52" s="199"/>
      <c r="C52" s="192" t="str">
        <f>VLOOKUP($J$1,Credentials!$C$2:$P$85,12,FALSE)</f>
        <v/>
      </c>
      <c r="D52" s="200">
        <f>((sumifs('Form responses'!$I$2:$I63,'Form responses'!$C$2:$C63,"&gt;="&amp;$N$1,'Form responses'!$C$2:$C63,"&lt;="&amp;$Q$1,'Form responses'!$D$2:$D63,$C52)
+sumifs('Form responses'!$J$2:$J63,'Form responses'!$C$2:$C63,"&gt;="&amp;$N$1,'Form responses'!$C$2:$C63,"&lt;="&amp;$Q$1,'Form responses'!$D$2:$D63,$C52)
+sumifs('Form responses'!$K$2:$K63,'Form responses'!$C$2:$C63,"&gt;="&amp;$N$1,'Form responses'!$C$2:$C63,"&lt;="&amp;$Q$1,'Form responses'!$D$2:$D63,$C52)
)*Sum!$B$35)</f>
        <v>0</v>
      </c>
      <c r="E52" s="201">
        <f>((sumifs('Form responses'!$L$2:$L63,'Form responses'!$C$2:$C63,"&gt;="&amp;$N$1,'Form responses'!$C$2:$C63,"&lt;="&amp;$Q$1,'Form responses'!$D$2:$D63,$C52))*Sum!$C$35)</f>
        <v>0</v>
      </c>
      <c r="F52" s="200">
        <f>((
sumifs('Form responses'!$U$2:$U63,'Form responses'!$C$2:$C63,"&gt;="&amp;$N$1,'Form responses'!$C$2:$C63,"&lt;="&amp;$Q$1,'Form responses'!$D$2:$D63,$C52)
+
sumifs('Form responses'!$V$2:$V63,'Form responses'!$C$2:$C63,"&gt;="&amp;$N$1,'Form responses'!$C$2:$C63,"&lt;="&amp;$Q$1,'Form responses'!$D$2:$D63,$C52)
)*Sum!$E$35
)</f>
        <v>0</v>
      </c>
      <c r="G52" s="200">
        <f>sumifs('Form responses'!$W$2:$W63,'Form responses'!$C$2:$C63,"&gt;="&amp;$N$1,'Form responses'!$C$2:$C63,"&lt;="&amp;$Q$1,'Form responses'!$D$2:$D63,$C52)
*Sum!$D$35</f>
        <v>0</v>
      </c>
      <c r="H52" s="203">
        <v>0.0</v>
      </c>
      <c r="I52" s="200">
        <f>((
sumifs('Form responses'!$X$2:$X63,'Form responses'!$C$2:$C63,"&gt;="&amp;$N$1,'Form responses'!$C$2:$C63,"&lt;="&amp;$Q$1,'Form responses'!$D$2:$D63,$C52)
)*
Sum!$F$35
)+((
sumifs('Form responses'!$Y$2:$Y63,'Form responses'!$C$2:$C63,"&gt;="&amp;$N$1,'Form responses'!$C$2:$C63,"&lt;="&amp;$Q$1,'Form responses'!$D$2:$D63,$C52)
)*
Sum!$G$35
)</f>
        <v>0</v>
      </c>
      <c r="J52" s="200">
        <f>((
sumifs('Form responses'!$Z$2:$Z63,'Form responses'!$C$2:$C63,"&gt;="&amp;$N$1,'Form responses'!$C$2:$C63,"&lt;="&amp;$Q$1,'Form responses'!$D$2:$D63,$C52)
)*Sum!$H$35)+((
sumifs('Form responses'!$AA$2:$AA63,'Form responses'!$C$2:$C63,"&gt;="&amp;$N$1,'Form responses'!$C$2:$C63,"&lt;="&amp;$Q$1,'Form responses'!$D$2:$D63,$C52)
)*Sum!$I$35)+((
sumifs('Form responses'!$AB$2:$AB63,'Form responses'!$C$2:$C63,"&gt;="&amp;$N$1,'Form responses'!$C$2:$C63,"&lt;="&amp;$Q$1,'Form responses'!$D$2:$D63,$C52)
)*Sum!$Z$35)+((
sumifs('Form responses'!$AC$2:$AC63,'Form responses'!$C$2:$C63,"&gt;="&amp;$N$1,'Form responses'!$C$2:$C63,"&lt;="&amp;$Q$1,'Form responses'!$D$2:$D63,$C52)
)*Sum!$AA$35)+((
sumifs('Form responses'!$AD$2:$AD63,'Form responses'!$C$2:$C63,"&gt;="&amp;$N$1,'Form responses'!$C$2:$C63,"&lt;="&amp;$Q$1,'Form responses'!$D$2:$D63,$C52)
)*Sum!$AB$35)</f>
        <v>0</v>
      </c>
      <c r="K52" s="200">
        <f t="shared" si="11"/>
        <v>0</v>
      </c>
      <c r="L52" s="200">
        <f>(
sumifs('Form responses'!$BF$2:$BF63,'Form responses'!$C$2:$C63,"&gt;="&amp;$N$1,'Form responses'!$C$2:$C63,"&lt;="&amp;$Q$1,'Form responses'!$D$2:$D63,$C52)
+
sumifs('Form responses'!$BH$2:$BH63,'Form responses'!$C$2:$C63,"&gt;="&amp;$N$1,'Form responses'!$C$2:$C63,"&lt;="&amp;$Q$1,'Form responses'!$D$2:$D63,$C52)
+
sumifs('Form responses'!$BJ$2:$BJ63,'Form responses'!$C$2:$C63,"&gt;="&amp;$N$1,'Form responses'!$C$2:$C63,"&lt;="&amp;$Q$1,'Form responses'!$D$2:$D63,$C52)
+
sumifs('Form responses'!$BL$2:$BL63,'Form responses'!$C$2:$C63,"&gt;="&amp;$N$1,'Form responses'!$C$2:$C63,"&lt;="&amp;$Q$1,'Form responses'!$D$2:$D63,$C52)
)*Sum!$Q$35</f>
        <v>0</v>
      </c>
      <c r="M52" s="200">
        <f>(
sumifs('Form responses'!$BN$2:$BN63,'Form responses'!$C$2:$C63,"&gt;="&amp;N$1,'Form responses'!$C$2:$C63,"&lt;="&amp;$Q$1,'Form responses'!$D$2:$D63,$C52)
+
sumifs('Form responses'!$BP$2:$BP63,'Form responses'!$C$2:$C63,"&gt;="&amp;N$1,'Form responses'!$C$2:$C63,"&lt;="&amp;$Q$1,'Form responses'!$D$2:$D63,$C52)
)*Sum!$R$35</f>
        <v>0</v>
      </c>
      <c r="N52" s="200">
        <f>sumifs('Form responses'!$BR$2:$BR63,'Form responses'!$C$2:$C63,"&gt;="&amp;$N$1,'Form responses'!$C$2:$C63,"&lt;="&amp;$Q$1,'Form responses'!$D$2:$D63,$C52)*Sum!$S$35+sumifs('Form responses'!$BT$2:$BT63,'Form responses'!$C$2:$C63,"&gt;="&amp;$N$1,'Form responses'!$C$2:$C63,"&lt;="&amp;$Q$1,'Form responses'!$D$2:$D63,$C52)*Sum!$S$35+sumifs('Form responses'!$BV$2:$BV63,'Form responses'!$C$2:$C63,"&gt;="&amp;$N$1,'Form responses'!$C$2:$C63,"&lt;="&amp;$Q$1,'Form responses'!$D$2:$D63,$C52)*Sum!$S$35+sumifs('Form responses'!$BX$2:$BX63,'Form responses'!$C$2:$C63,"&gt;="&amp;$N$1,'Form responses'!$C$2:$C63,"&lt;="&amp;$Q$1,'Form responses'!$D$2:$D63,$C52)*Sum!$S$35</f>
        <v>0</v>
      </c>
      <c r="O52" s="200"/>
      <c r="P52" s="200">
        <f t="shared" si="12"/>
        <v>0</v>
      </c>
      <c r="Q52" s="200">
        <f>((sumifs('Form responses'!$BZ$2:$BZ63,'Form responses'!$C$2:$C63,"&gt;="&amp;$N$1,'Form responses'!$C$2:$C63,"&lt;="&amp;$Q$1,'Form responses'!$D$2:$D63,$C52)+
sumifs('Form responses'!$CB$2:$CB63,'Form responses'!$C$2:$C63,"&gt;="&amp;$N$1,'Form responses'!$C$2:$C63,"&lt;="&amp;$Q$1,'Form responses'!$D$2:$D63,$C52))*Sum!$U$35)</f>
        <v>0</v>
      </c>
      <c r="R52" s="200">
        <f>sumifs('Form responses'!$CD$2:$CD63,'Form responses'!$C$2:$C63,"&gt;="&amp;$N$1,'Form responses'!$C$2:$C63,"&lt;="&amp;$Q$1,'Form responses'!$D$2:$D63,$C52)*Sum!$S$35+sumifs('Form responses'!$CF$2:$CF63,'Form responses'!$C$2:$C63,"&gt;="&amp;$N$1,'Form responses'!$C$2:$C63,"&lt;="&amp;$Q$1,'Form responses'!$D$2:$D63,$C52)*Sum!$S$35</f>
        <v>0</v>
      </c>
      <c r="S52" s="200">
        <f t="shared" si="13"/>
        <v>0</v>
      </c>
      <c r="T52" s="200">
        <f t="shared" si="14"/>
        <v>0</v>
      </c>
      <c r="U52" s="199"/>
      <c r="V52" s="202"/>
      <c r="W52" s="202"/>
      <c r="X52" s="202"/>
      <c r="Y52" s="202"/>
      <c r="Z52" s="202"/>
      <c r="AA52" s="202"/>
    </row>
    <row r="53" ht="24.75" customHeight="1">
      <c r="A53" s="199"/>
      <c r="B53" s="199"/>
      <c r="C53" s="192" t="str">
        <f>VLOOKUP($J$1,Credentials!$C$2:$P$85,13,FALSE)</f>
        <v/>
      </c>
      <c r="D53" s="200">
        <f>((sumifs('Form responses'!$I$2:$I63,'Form responses'!$C$2:$C63,"&gt;="&amp;$N$1,'Form responses'!$C$2:$C63,"&lt;="&amp;$Q$1,'Form responses'!$D$2:$D63,$C53)
+sumifs('Form responses'!$J$2:$J63,'Form responses'!$C$2:$C63,"&gt;="&amp;$N$1,'Form responses'!$C$2:$C63,"&lt;="&amp;$Q$1,'Form responses'!$D$2:$D63,$C53)
+sumifs('Form responses'!$K$2:$K63,'Form responses'!$C$2:$C63,"&gt;="&amp;$N$1,'Form responses'!$C$2:$C63,"&lt;="&amp;$Q$1,'Form responses'!$D$2:$D63,$C53)
)*Sum!$B$35)</f>
        <v>0</v>
      </c>
      <c r="E53" s="201">
        <f>((sumifs('Form responses'!$L$2:$L63,'Form responses'!$C$2:$C63,"&gt;="&amp;$N$1,'Form responses'!$C$2:$C63,"&lt;="&amp;$Q$1,'Form responses'!$D$2:$D63,$C53))*Sum!$C$35)</f>
        <v>0</v>
      </c>
      <c r="F53" s="200">
        <f>((
sumifs('Form responses'!$U$2:$U63,'Form responses'!$C$2:$C63,"&gt;="&amp;$N$1,'Form responses'!$C$2:$C63,"&lt;="&amp;$Q$1,'Form responses'!$D$2:$D63,$C53)
+
sumifs('Form responses'!$V$2:$V63,'Form responses'!$C$2:$C63,"&gt;="&amp;$N$1,'Form responses'!$C$2:$C63,"&lt;="&amp;$Q$1,'Form responses'!$D$2:$D63,$C53)
)*Sum!$E$35
)</f>
        <v>0</v>
      </c>
      <c r="G53" s="200">
        <f>sumifs('Form responses'!$W$2:$W63,'Form responses'!$C$2:$C63,"&gt;="&amp;$N$1,'Form responses'!$C$2:$C63,"&lt;="&amp;$Q$1,'Form responses'!$D$2:$D63,$C53)
*Sum!$D$35</f>
        <v>0</v>
      </c>
      <c r="H53" s="203">
        <v>0.0</v>
      </c>
      <c r="I53" s="200">
        <f>((
sumifs('Form responses'!$X$2:$X63,'Form responses'!$C$2:$C63,"&gt;="&amp;$N$1,'Form responses'!$C$2:$C63,"&lt;="&amp;$Q$1,'Form responses'!$D$2:$D63,$C53)
)*
Sum!$F$35
)+((
sumifs('Form responses'!$Y$2:$Y63,'Form responses'!$C$2:$C63,"&gt;="&amp;$N$1,'Form responses'!$C$2:$C63,"&lt;="&amp;$Q$1,'Form responses'!$D$2:$D63,$C53)
)*
Sum!$G$35
)</f>
        <v>0</v>
      </c>
      <c r="J53" s="200">
        <f>((
sumifs('Form responses'!$Z$2:$Z63,'Form responses'!$C$2:$C63,"&gt;="&amp;$N$1,'Form responses'!$C$2:$C63,"&lt;="&amp;$Q$1,'Form responses'!$D$2:$D63,$C53)
)*Sum!$H$35)+((
sumifs('Form responses'!$AA$2:$AA63,'Form responses'!$C$2:$C63,"&gt;="&amp;$N$1,'Form responses'!$C$2:$C63,"&lt;="&amp;$Q$1,'Form responses'!$D$2:$D63,$C53)
)*Sum!$I$35)+((
sumifs('Form responses'!$AB$2:$AB63,'Form responses'!$C$2:$C63,"&gt;="&amp;$N$1,'Form responses'!$C$2:$C63,"&lt;="&amp;$Q$1,'Form responses'!$D$2:$D63,$C53)
)*Sum!$Z$35)+((
sumifs('Form responses'!$AC$2:$AC63,'Form responses'!$C$2:$C63,"&gt;="&amp;$N$1,'Form responses'!$C$2:$C63,"&lt;="&amp;$Q$1,'Form responses'!$D$2:$D63,$C53)
)*Sum!$AA$35)+((
sumifs('Form responses'!$AD$2:$AD63,'Form responses'!$C$2:$C63,"&gt;="&amp;$N$1,'Form responses'!$C$2:$C63,"&lt;="&amp;$Q$1,'Form responses'!$D$2:$D63,$C53)
)*Sum!$AB$35)</f>
        <v>0</v>
      </c>
      <c r="K53" s="200">
        <f t="shared" si="11"/>
        <v>0</v>
      </c>
      <c r="L53" s="200">
        <f>(
sumifs('Form responses'!$BF$2:$BF63,'Form responses'!$C$2:$C63,"&gt;="&amp;$N$1,'Form responses'!$C$2:$C63,"&lt;="&amp;$Q$1,'Form responses'!$D$2:$D63,$C53)
+
sumifs('Form responses'!$BH$2:$BH63,'Form responses'!$C$2:$C63,"&gt;="&amp;$N$1,'Form responses'!$C$2:$C63,"&lt;="&amp;$Q$1,'Form responses'!$D$2:$D63,$C53)
+
sumifs('Form responses'!$BJ$2:$BJ63,'Form responses'!$C$2:$C63,"&gt;="&amp;$N$1,'Form responses'!$C$2:$C63,"&lt;="&amp;$Q$1,'Form responses'!$D$2:$D63,$C53)
+
sumifs('Form responses'!$BL$2:$BL63,'Form responses'!$C$2:$C63,"&gt;="&amp;$N$1,'Form responses'!$C$2:$C63,"&lt;="&amp;$Q$1,'Form responses'!$D$2:$D63,$C53)
)*Sum!$Q$35</f>
        <v>0</v>
      </c>
      <c r="M53" s="200">
        <f>(
sumifs('Form responses'!$BN$2:$BN63,'Form responses'!$C$2:$C63,"&gt;="&amp;N$1,'Form responses'!$C$2:$C63,"&lt;="&amp;$Q$1,'Form responses'!$D$2:$D63,$C53)
+
sumifs('Form responses'!$BP$2:$BP63,'Form responses'!$C$2:$C63,"&gt;="&amp;N$1,'Form responses'!$C$2:$C63,"&lt;="&amp;$Q$1,'Form responses'!$D$2:$D63,$C53)
)*Sum!$R$35</f>
        <v>0</v>
      </c>
      <c r="N53" s="200">
        <f>sumifs('Form responses'!$BR$2:$BR63,'Form responses'!$C$2:$C63,"&gt;="&amp;$N$1,'Form responses'!$C$2:$C63,"&lt;="&amp;$Q$1,'Form responses'!$D$2:$D63,$C53)*Sum!$S$35+sumifs('Form responses'!$BT$2:$BT63,'Form responses'!$C$2:$C63,"&gt;="&amp;$N$1,'Form responses'!$C$2:$C63,"&lt;="&amp;$Q$1,'Form responses'!$D$2:$D63,$C53)*Sum!$S$35+sumifs('Form responses'!$BV$2:$BV63,'Form responses'!$C$2:$C63,"&gt;="&amp;$N$1,'Form responses'!$C$2:$C63,"&lt;="&amp;$Q$1,'Form responses'!$D$2:$D63,$C53)*Sum!$S$35+sumifs('Form responses'!$BX$2:$BX63,'Form responses'!$C$2:$C63,"&gt;="&amp;$N$1,'Form responses'!$C$2:$C63,"&lt;="&amp;$Q$1,'Form responses'!$D$2:$D63,$C53)*Sum!$S$35</f>
        <v>0</v>
      </c>
      <c r="O53" s="200"/>
      <c r="P53" s="200">
        <f t="shared" si="12"/>
        <v>0</v>
      </c>
      <c r="Q53" s="200">
        <f>((sumifs('Form responses'!$BZ$2:$BZ63,'Form responses'!$C$2:$C63,"&gt;="&amp;$N$1,'Form responses'!$C$2:$C63,"&lt;="&amp;$Q$1,'Form responses'!$D$2:$D63,$C53)+
sumifs('Form responses'!$CB$2:$CB63,'Form responses'!$C$2:$C63,"&gt;="&amp;$N$1,'Form responses'!$C$2:$C63,"&lt;="&amp;$Q$1,'Form responses'!$D$2:$D63,$C53))*Sum!$U$35)</f>
        <v>0</v>
      </c>
      <c r="R53" s="200">
        <f>sumifs('Form responses'!$CD$2:$CD63,'Form responses'!$C$2:$C63,"&gt;="&amp;$N$1,'Form responses'!$C$2:$C63,"&lt;="&amp;$Q$1,'Form responses'!$D$2:$D63,$C53)*Sum!$S$35+sumifs('Form responses'!$CF$2:$CF63,'Form responses'!$C$2:$C63,"&gt;="&amp;$N$1,'Form responses'!$C$2:$C63,"&lt;="&amp;$Q$1,'Form responses'!$D$2:$D63,$C53)*Sum!$S$35</f>
        <v>0</v>
      </c>
      <c r="S53" s="200">
        <f t="shared" si="13"/>
        <v>0</v>
      </c>
      <c r="T53" s="200">
        <f t="shared" si="14"/>
        <v>0</v>
      </c>
      <c r="U53" s="199"/>
      <c r="V53" s="202"/>
      <c r="W53" s="202"/>
      <c r="X53" s="202"/>
      <c r="Y53" s="202"/>
      <c r="Z53" s="202"/>
      <c r="AA53" s="202"/>
    </row>
    <row r="54" ht="24.75" customHeight="1">
      <c r="A54" s="199"/>
      <c r="B54" s="199"/>
      <c r="C54" s="192" t="str">
        <f>VLOOKUP($J$1,Credentials!$C$2:$P$85,14,FALSE)</f>
        <v/>
      </c>
      <c r="D54" s="200">
        <f>((sumifs('Form responses'!$I$2:$I63,'Form responses'!$C$2:$C63,"&gt;="&amp;$N$1,'Form responses'!$C$2:$C63,"&lt;="&amp;$Q$1,'Form responses'!$D$2:$D63,$C54)
+sumifs('Form responses'!$J$2:$J63,'Form responses'!$C$2:$C63,"&gt;="&amp;$N$1,'Form responses'!$C$2:$C63,"&lt;="&amp;$Q$1,'Form responses'!$D$2:$D63,$C54)
+sumifs('Form responses'!$K$2:$K63,'Form responses'!$C$2:$C63,"&gt;="&amp;$N$1,'Form responses'!$C$2:$C63,"&lt;="&amp;$Q$1,'Form responses'!$D$2:$D63,$C54)
)*Sum!$B$35)</f>
        <v>0</v>
      </c>
      <c r="E54" s="201">
        <f>((sumifs('Form responses'!$L$2:$L63,'Form responses'!$C$2:$C63,"&gt;="&amp;$N$1,'Form responses'!$C$2:$C63,"&lt;="&amp;$Q$1,'Form responses'!$D$2:$D63,$C54))*Sum!$C$35)</f>
        <v>0</v>
      </c>
      <c r="F54" s="200">
        <f>((
sumifs('Form responses'!$U$2:$U63,'Form responses'!$C$2:$C63,"&gt;="&amp;$N$1,'Form responses'!$C$2:$C63,"&lt;="&amp;$Q$1,'Form responses'!$D$2:$D63,$C54)
+
sumifs('Form responses'!$V$2:$V63,'Form responses'!$C$2:$C63,"&gt;="&amp;$N$1,'Form responses'!$C$2:$C63,"&lt;="&amp;$Q$1,'Form responses'!$D$2:$D63,$C54)
)*Sum!$E$35
)</f>
        <v>0</v>
      </c>
      <c r="G54" s="200">
        <f>sumifs('Form responses'!$W$2:$W63,'Form responses'!$C$2:$C63,"&gt;="&amp;$N$1,'Form responses'!$C$2:$C63,"&lt;="&amp;$Q$1,'Form responses'!$D$2:$D63,$C54)
*Sum!$D$35</f>
        <v>0</v>
      </c>
      <c r="H54" s="203">
        <v>0.0</v>
      </c>
      <c r="I54" s="200">
        <f>((
sumifs('Form responses'!$X$2:$X63,'Form responses'!$C$2:$C63,"&gt;="&amp;$N$1,'Form responses'!$C$2:$C63,"&lt;="&amp;$Q$1,'Form responses'!$D$2:$D63,$C54)
)*
Sum!$F$35
)+((
sumifs('Form responses'!$Y$2:$Y63,'Form responses'!$C$2:$C63,"&gt;="&amp;$N$1,'Form responses'!$C$2:$C63,"&lt;="&amp;$Q$1,'Form responses'!$D$2:$D63,$C54)
)*
Sum!$G$35
)</f>
        <v>0</v>
      </c>
      <c r="J54" s="200">
        <f>((
sumifs('Form responses'!$Z$2:$Z63,'Form responses'!$C$2:$C63,"&gt;="&amp;$N$1,'Form responses'!$C$2:$C63,"&lt;="&amp;$Q$1,'Form responses'!$D$2:$D63,$C54)
)*Sum!$H$35)+((
sumifs('Form responses'!$AA$2:$AA63,'Form responses'!$C$2:$C63,"&gt;="&amp;$N$1,'Form responses'!$C$2:$C63,"&lt;="&amp;$Q$1,'Form responses'!$D$2:$D63,$C54)
)*Sum!$I$35)+((
sumifs('Form responses'!$AB$2:$AB63,'Form responses'!$C$2:$C63,"&gt;="&amp;$N$1,'Form responses'!$C$2:$C63,"&lt;="&amp;$Q$1,'Form responses'!$D$2:$D63,$C54)
)*Sum!$Z$35)+((
sumifs('Form responses'!$AC$2:$AC63,'Form responses'!$C$2:$C63,"&gt;="&amp;$N$1,'Form responses'!$C$2:$C63,"&lt;="&amp;$Q$1,'Form responses'!$D$2:$D63,$C54)
)*Sum!$AA$35)+((
sumifs('Form responses'!$AD$2:$AD63,'Form responses'!$C$2:$C63,"&gt;="&amp;$N$1,'Form responses'!$C$2:$C63,"&lt;="&amp;$Q$1,'Form responses'!$D$2:$D63,$C54)
)*Sum!$AB$35)</f>
        <v>0</v>
      </c>
      <c r="K54" s="200">
        <f t="shared" si="11"/>
        <v>0</v>
      </c>
      <c r="L54" s="200">
        <f>(
sumifs('Form responses'!$BF$2:$BF63,'Form responses'!$C$2:$C63,"&gt;="&amp;$N$1,'Form responses'!$C$2:$C63,"&lt;="&amp;$Q$1,'Form responses'!$D$2:$D63,$C54)
+
sumifs('Form responses'!$BH$2:$BH63,'Form responses'!$C$2:$C63,"&gt;="&amp;$N$1,'Form responses'!$C$2:$C63,"&lt;="&amp;$Q$1,'Form responses'!$D$2:$D63,$C54)
+
sumifs('Form responses'!$BJ$2:$BJ63,'Form responses'!$C$2:$C63,"&gt;="&amp;$N$1,'Form responses'!$C$2:$C63,"&lt;="&amp;$Q$1,'Form responses'!$D$2:$D63,$C54)
+
sumifs('Form responses'!$BL$2:$BL63,'Form responses'!$C$2:$C63,"&gt;="&amp;$N$1,'Form responses'!$C$2:$C63,"&lt;="&amp;$Q$1,'Form responses'!$D$2:$D63,$C54)
)*Sum!$Q$35</f>
        <v>0</v>
      </c>
      <c r="M54" s="200">
        <f>(
sumifs('Form responses'!$BN$2:$BN63,'Form responses'!$C$2:$C63,"&gt;="&amp;N$1,'Form responses'!$C$2:$C63,"&lt;="&amp;$Q$1,'Form responses'!$D$2:$D63,$C54)
+
sumifs('Form responses'!$BP$2:$BP63,'Form responses'!$C$2:$C63,"&gt;="&amp;N$1,'Form responses'!$C$2:$C63,"&lt;="&amp;$Q$1,'Form responses'!$D$2:$D63,$C54)
)*Sum!$R$35</f>
        <v>0</v>
      </c>
      <c r="N54" s="200">
        <f>sumifs('Form responses'!$BR$2:$BR63,'Form responses'!$C$2:$C63,"&gt;="&amp;$N$1,'Form responses'!$C$2:$C63,"&lt;="&amp;$Q$1,'Form responses'!$D$2:$D63,$C54)*Sum!$S$35+sumifs('Form responses'!$BT$2:$BT63,'Form responses'!$C$2:$C63,"&gt;="&amp;$N$1,'Form responses'!$C$2:$C63,"&lt;="&amp;$Q$1,'Form responses'!$D$2:$D63,$C54)*Sum!$S$35+sumifs('Form responses'!$BV$2:$BV63,'Form responses'!$C$2:$C63,"&gt;="&amp;$N$1,'Form responses'!$C$2:$C63,"&lt;="&amp;$Q$1,'Form responses'!$D$2:$D63,$C54)*Sum!$S$35+sumifs('Form responses'!$BX$2:$BX63,'Form responses'!$C$2:$C63,"&gt;="&amp;$N$1,'Form responses'!$C$2:$C63,"&lt;="&amp;$Q$1,'Form responses'!$D$2:$D63,$C54)*Sum!$S$35</f>
        <v>0</v>
      </c>
      <c r="O54" s="200"/>
      <c r="P54" s="200">
        <f t="shared" si="12"/>
        <v>0</v>
      </c>
      <c r="Q54" s="200">
        <f>((sumifs('Form responses'!$BZ$2:$BZ63,'Form responses'!$C$2:$C63,"&gt;="&amp;$N$1,'Form responses'!$C$2:$C63,"&lt;="&amp;$Q$1,'Form responses'!$D$2:$D63,$C54)+
sumifs('Form responses'!$CB$2:$CB63,'Form responses'!$C$2:$C63,"&gt;="&amp;$N$1,'Form responses'!$C$2:$C63,"&lt;="&amp;$Q$1,'Form responses'!$D$2:$D63,$C54))*Sum!$U$35)</f>
        <v>0</v>
      </c>
      <c r="R54" s="200">
        <f>sumifs('Form responses'!$CD$2:$CD63,'Form responses'!$C$2:$C63,"&gt;="&amp;$N$1,'Form responses'!$C$2:$C63,"&lt;="&amp;$Q$1,'Form responses'!$D$2:$D63,$C54)*Sum!$S$35+sumifs('Form responses'!$CF$2:$CF63,'Form responses'!$C$2:$C63,"&gt;="&amp;$N$1,'Form responses'!$C$2:$C63,"&lt;="&amp;$Q$1,'Form responses'!$D$2:$D63,$C54)*Sum!$S$35</f>
        <v>0</v>
      </c>
      <c r="S54" s="200">
        <f t="shared" si="13"/>
        <v>0</v>
      </c>
      <c r="T54" s="200">
        <f t="shared" si="14"/>
        <v>0</v>
      </c>
      <c r="U54" s="199"/>
      <c r="V54" s="202"/>
      <c r="W54" s="202"/>
      <c r="X54" s="202"/>
      <c r="Y54" s="202"/>
      <c r="Z54" s="202"/>
      <c r="AA54" s="202"/>
    </row>
    <row r="55" ht="24.75" customHeight="1">
      <c r="A55" s="199"/>
      <c r="B55" s="199"/>
      <c r="C55" s="184" t="s">
        <v>574</v>
      </c>
      <c r="D55" s="200">
        <f t="shared" ref="D55:N55" si="15">SUM(D47:D54)</f>
        <v>400</v>
      </c>
      <c r="E55" s="200">
        <f t="shared" si="15"/>
        <v>0</v>
      </c>
      <c r="F55" s="200">
        <f t="shared" si="15"/>
        <v>0</v>
      </c>
      <c r="G55" s="200">
        <f t="shared" si="15"/>
        <v>0</v>
      </c>
      <c r="H55" s="200">
        <f t="shared" si="15"/>
        <v>0</v>
      </c>
      <c r="I55" s="200">
        <f t="shared" si="15"/>
        <v>0</v>
      </c>
      <c r="J55" s="200">
        <f t="shared" si="15"/>
        <v>0</v>
      </c>
      <c r="K55" s="200">
        <f t="shared" si="15"/>
        <v>400</v>
      </c>
      <c r="L55" s="200">
        <f t="shared" si="15"/>
        <v>0</v>
      </c>
      <c r="M55" s="200">
        <f t="shared" si="15"/>
        <v>0</v>
      </c>
      <c r="N55" s="200">
        <f t="shared" si="15"/>
        <v>0</v>
      </c>
      <c r="O55" s="200"/>
      <c r="P55" s="200">
        <f t="shared" ref="P55:T55" si="16">SUM(P47:P54)</f>
        <v>0</v>
      </c>
      <c r="Q55" s="200">
        <f t="shared" si="16"/>
        <v>0</v>
      </c>
      <c r="R55" s="200">
        <f t="shared" si="16"/>
        <v>0</v>
      </c>
      <c r="S55" s="200">
        <f t="shared" si="16"/>
        <v>0</v>
      </c>
      <c r="T55" s="200">
        <f t="shared" si="16"/>
        <v>400</v>
      </c>
      <c r="U55" s="199"/>
      <c r="V55" s="202"/>
      <c r="W55" s="202"/>
      <c r="X55" s="202"/>
      <c r="Y55" s="202"/>
      <c r="Z55" s="202"/>
      <c r="AA55" s="202"/>
    </row>
    <row r="56" ht="18.75" customHeight="1">
      <c r="C56" s="204"/>
      <c r="D56" s="194"/>
      <c r="E56" s="194"/>
      <c r="F56" s="194"/>
      <c r="G56" s="194"/>
      <c r="H56" s="194"/>
      <c r="I56" s="194"/>
      <c r="J56" s="194"/>
      <c r="K56" s="194"/>
      <c r="L56" s="194"/>
      <c r="M56" s="194"/>
      <c r="N56" s="102"/>
      <c r="O56" s="102"/>
      <c r="P56" s="102"/>
      <c r="Q56" s="102"/>
      <c r="R56" s="102"/>
      <c r="S56" s="102"/>
      <c r="T56" s="102"/>
      <c r="U56" s="102"/>
      <c r="V56" s="102"/>
      <c r="W56" s="102"/>
      <c r="X56" s="102"/>
      <c r="Y56" s="102"/>
      <c r="Z56" s="102"/>
      <c r="AA56" s="102"/>
    </row>
    <row r="57" ht="23.25" customHeight="1">
      <c r="C57" s="205"/>
      <c r="D57" s="206" t="str">
        <f>"I have verified all data in this report and sending this signed hardcopy to "&amp;VLOOKUP(J1,Credentials!$C$1:$I$1963,2,FALSE)&amp;" for information and further proceeding"</f>
        <v>I have verified all data in this report and sending this signed hardcopy to Senior Veterinary Officer Talwandi Sabo for information and further proceeding</v>
      </c>
      <c r="T57" s="207"/>
      <c r="U57" s="207"/>
      <c r="V57" s="207"/>
      <c r="W57" s="207"/>
      <c r="X57" s="207"/>
      <c r="Y57" s="207"/>
      <c r="Z57" s="207"/>
      <c r="AA57" s="207"/>
    </row>
    <row r="58" ht="15.0" customHeight="1">
      <c r="C58" s="208"/>
      <c r="D58" s="209" t="s">
        <v>575</v>
      </c>
      <c r="E58" s="194">
        <f>((sumifs('Form responses'!$GR$2:$GR63,'Form responses'!$C$2:$C63,"&gt;="&amp;$N$1,'Form responses'!$C$2:$C63,"&lt;="&amp;$Q$1,'Form responses'!$D$2:$D63,$J$1)))</f>
        <v>386</v>
      </c>
      <c r="F58" s="202"/>
      <c r="G58" s="202"/>
      <c r="H58" s="202"/>
      <c r="I58" s="202"/>
      <c r="J58" s="202"/>
      <c r="K58" s="202"/>
      <c r="L58" s="202"/>
      <c r="M58" s="202"/>
      <c r="N58" s="202"/>
      <c r="O58" s="202"/>
      <c r="P58" s="210"/>
      <c r="Q58" s="211"/>
      <c r="R58" s="211"/>
      <c r="S58" s="211"/>
      <c r="T58" s="194"/>
      <c r="U58" s="194"/>
      <c r="V58" s="149" t="str">
        <f>VLOOKUP(J1,Credentials!$C$1:$I$82,3,FALSE)</f>
        <v>Swarn Singh</v>
      </c>
      <c r="W58" s="119"/>
      <c r="X58" s="119"/>
      <c r="Y58" s="129"/>
      <c r="Z58" s="129"/>
      <c r="AA58" s="129"/>
    </row>
    <row r="59" ht="15.0" customHeight="1">
      <c r="C59" s="208"/>
      <c r="D59" s="212" t="s">
        <v>576</v>
      </c>
      <c r="E59" s="213">
        <f>SUMIFS('Form responses'!A2:A63,'Form responses'!B2:B63,"="&amp;N1,'Form responses'!$D$2:$D63,"="&amp;J1)</f>
        <v>46144.51594</v>
      </c>
      <c r="G59" s="202"/>
      <c r="H59" s="214"/>
      <c r="I59" s="202"/>
      <c r="J59" s="202"/>
      <c r="K59" s="202"/>
      <c r="L59" s="202"/>
      <c r="M59" s="202"/>
      <c r="N59" s="202"/>
      <c r="O59" s="202"/>
      <c r="P59" s="202"/>
      <c r="Q59" s="211"/>
      <c r="R59" s="211"/>
      <c r="S59" s="211"/>
      <c r="T59" s="194"/>
      <c r="U59" s="194"/>
      <c r="V59" s="149" t="str">
        <f>VLOOKUP(J1,Credentials!$C$1:$I$82,4,FALSE)</f>
        <v>Rural Veterinary Pharmacist</v>
      </c>
      <c r="W59" s="119"/>
      <c r="X59" s="119"/>
      <c r="Y59" s="129"/>
      <c r="Z59" s="129"/>
      <c r="AA59" s="129"/>
    </row>
    <row r="60" ht="18.0" customHeight="1">
      <c r="C60" s="208"/>
      <c r="D60" s="212" t="s">
        <v>577</v>
      </c>
      <c r="E60" s="131"/>
      <c r="G60" s="202"/>
      <c r="H60" s="215"/>
      <c r="I60" s="202"/>
      <c r="J60" s="202"/>
      <c r="K60" s="202"/>
      <c r="L60" s="202"/>
      <c r="M60" s="202"/>
      <c r="N60" s="202"/>
      <c r="O60" s="202"/>
      <c r="P60" s="202"/>
      <c r="Q60" s="211"/>
      <c r="R60" s="211"/>
      <c r="S60" s="211"/>
      <c r="T60" s="194"/>
      <c r="U60" s="194"/>
      <c r="V60" s="153" t="str">
        <f>J1 &amp; ","</f>
        <v>CVH Malkana,</v>
      </c>
      <c r="W60" s="119"/>
      <c r="X60" s="119"/>
      <c r="Y60" s="129"/>
      <c r="Z60" s="129"/>
      <c r="AA60" s="129"/>
    </row>
    <row r="61" ht="14.25" customHeight="1">
      <c r="C61" s="208"/>
      <c r="D61" s="202"/>
      <c r="E61" s="202"/>
      <c r="F61" s="202"/>
      <c r="G61" s="202"/>
      <c r="H61" s="216"/>
      <c r="I61" s="202"/>
      <c r="J61" s="202"/>
      <c r="K61" s="202"/>
      <c r="L61" s="202"/>
      <c r="M61" s="202"/>
      <c r="N61" s="202"/>
      <c r="O61" s="202"/>
      <c r="P61" s="202"/>
      <c r="Q61" s="211"/>
      <c r="R61" s="211"/>
      <c r="S61" s="211"/>
      <c r="T61" s="194"/>
      <c r="U61" s="194"/>
      <c r="V61" s="149" t="s">
        <v>578</v>
      </c>
      <c r="Y61" s="129"/>
      <c r="Z61" s="129"/>
      <c r="AA61" s="129"/>
    </row>
    <row r="62" ht="14.25" customHeight="1">
      <c r="C62" s="208"/>
      <c r="D62" s="202"/>
      <c r="E62" s="202"/>
      <c r="F62" s="202"/>
      <c r="G62" s="202"/>
      <c r="H62" s="216"/>
      <c r="I62" s="202"/>
      <c r="J62" s="202"/>
      <c r="K62" s="202"/>
      <c r="L62" s="202"/>
      <c r="M62" s="202"/>
      <c r="N62" s="202"/>
      <c r="O62" s="202"/>
      <c r="P62" s="202"/>
      <c r="Q62" s="211"/>
      <c r="R62" s="211"/>
      <c r="S62" s="211"/>
      <c r="T62" s="194"/>
      <c r="U62" s="194"/>
      <c r="V62" s="149" t="str">
        <f>"Contact No: "&amp;VLOOKUP(J1,Credentials!C1:I82,5,FALSE)</f>
        <v>Contact No: 9814618216</v>
      </c>
      <c r="W62" s="131"/>
      <c r="X62" s="131"/>
      <c r="Y62" s="129"/>
      <c r="Z62" s="129"/>
      <c r="AA62" s="129"/>
    </row>
    <row r="63" ht="18.0" customHeight="1">
      <c r="C63" s="208"/>
      <c r="D63" s="202"/>
      <c r="E63" s="202"/>
      <c r="F63" s="202"/>
      <c r="G63" s="216"/>
      <c r="H63" s="216"/>
      <c r="I63" s="202"/>
      <c r="J63" s="202"/>
      <c r="K63" s="202"/>
      <c r="L63" s="202"/>
      <c r="M63" s="202"/>
      <c r="N63" s="202"/>
      <c r="O63" s="202"/>
      <c r="P63" s="202"/>
      <c r="Q63" s="202"/>
      <c r="R63" s="202"/>
      <c r="S63" s="202"/>
      <c r="T63" s="194"/>
      <c r="U63" s="194"/>
      <c r="V63" s="194"/>
      <c r="W63" s="194"/>
      <c r="X63" s="194"/>
      <c r="Y63" s="194"/>
      <c r="Z63" s="194"/>
      <c r="AA63" s="194"/>
    </row>
  </sheetData>
  <mergeCells count="19">
    <mergeCell ref="K11:M11"/>
    <mergeCell ref="N11:P11"/>
    <mergeCell ref="Q11:S11"/>
    <mergeCell ref="T11:V11"/>
    <mergeCell ref="W11:Y11"/>
    <mergeCell ref="Z11:AA11"/>
    <mergeCell ref="R12:S12"/>
    <mergeCell ref="U16:V16"/>
    <mergeCell ref="D57:S57"/>
    <mergeCell ref="E59:F59"/>
    <mergeCell ref="E60:F60"/>
    <mergeCell ref="V61:X61"/>
    <mergeCell ref="G1:I1"/>
    <mergeCell ref="J1:L1"/>
    <mergeCell ref="N1:O1"/>
    <mergeCell ref="Q1:R1"/>
    <mergeCell ref="B11:D11"/>
    <mergeCell ref="E11:G11"/>
    <mergeCell ref="H11:J11"/>
  </mergeCells>
  <conditionalFormatting sqref="J1">
    <cfRule type="expression" dxfId="1" priority="1">
      <formula>AC45:AC72=0</formula>
    </cfRule>
  </conditionalFormatting>
  <dataValidations>
    <dataValidation type="list" allowBlank="1" sqref="J1">
      <formula1>Credentials!$C$3:$C63</formula1>
    </dataValidation>
  </dataValidations>
  <printOptions horizontalCentered="1" verticalCentered="1"/>
  <pageMargins bottom="0.15748031496062992" footer="0.0" header="0.0" left="0.15748031496062992" right="0.15748031496062992" top="0.15748031496062992"/>
  <pageSetup paperSize="9" orientation="landscape"/>
  <rowBreaks count="2" manualBreakCount="2">
    <brk man="1"/>
    <brk id="27" man="1"/>
  </rowBreaks>
  <colBreaks count="2" manualBreakCount="2">
    <brk man="1"/>
    <brk id="27"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9.5"/>
    <col customWidth="1" min="3" max="3" width="8.63"/>
    <col customWidth="1" min="4" max="4" width="9.63"/>
    <col customWidth="1" min="5" max="5" width="10.25"/>
    <col customWidth="1" min="6" max="6" width="8.38"/>
    <col customWidth="1" min="7" max="7" width="8.75"/>
    <col customWidth="1" min="8" max="8" width="10.0"/>
    <col customWidth="1" min="9" max="9" width="9.88"/>
    <col customWidth="1" min="10" max="11" width="9.5"/>
    <col customWidth="1" min="12" max="12" width="9.13"/>
    <col customWidth="1" min="13" max="13" width="10.88"/>
    <col customWidth="1" min="14" max="15" width="8.63"/>
    <col customWidth="1" min="16" max="16" width="8.75"/>
    <col customWidth="1" min="17" max="17" width="9.25"/>
    <col customWidth="1" min="18" max="18" width="9.38"/>
    <col customWidth="1" min="19" max="19" width="9.5"/>
    <col customWidth="1" min="20" max="20" width="8.38"/>
    <col customWidth="1" min="21" max="21" width="9.38"/>
    <col customWidth="1" min="22" max="22" width="9.88"/>
    <col customWidth="1" min="23" max="27" width="9.25"/>
  </cols>
  <sheetData>
    <row r="1" ht="24.75" customHeight="1">
      <c r="A1" s="217" t="s">
        <v>579</v>
      </c>
      <c r="B1" s="218"/>
      <c r="C1" s="218"/>
      <c r="D1" s="218"/>
      <c r="E1" s="218"/>
      <c r="F1" s="218"/>
      <c r="G1" s="219"/>
      <c r="H1" s="219"/>
      <c r="I1" s="219" t="s">
        <v>580</v>
      </c>
      <c r="J1" s="220" t="s">
        <v>70</v>
      </c>
      <c r="K1" s="93"/>
      <c r="L1" s="93"/>
      <c r="M1" s="221" t="s">
        <v>508</v>
      </c>
      <c r="N1" s="222">
        <v>46113.0</v>
      </c>
      <c r="O1" s="93"/>
      <c r="P1" s="221" t="s">
        <v>509</v>
      </c>
      <c r="Q1" s="222">
        <v>46142.0</v>
      </c>
      <c r="R1" s="93"/>
      <c r="S1" s="218"/>
      <c r="T1" s="218"/>
      <c r="U1" s="218"/>
      <c r="V1" s="218"/>
      <c r="W1" s="218"/>
      <c r="X1" s="218"/>
      <c r="Y1" s="218"/>
      <c r="Z1" s="218"/>
      <c r="AA1" s="218"/>
    </row>
    <row r="2" ht="22.5" customHeight="1">
      <c r="A2" s="90"/>
      <c r="B2" s="98" t="s">
        <v>510</v>
      </c>
      <c r="C2" s="99"/>
      <c r="D2" s="100"/>
      <c r="E2" s="101"/>
      <c r="F2" s="101"/>
      <c r="G2" s="101"/>
      <c r="H2" s="102"/>
      <c r="I2" s="102"/>
      <c r="J2" s="102"/>
      <c r="K2" s="103"/>
      <c r="L2" s="102"/>
      <c r="M2" s="102"/>
      <c r="N2" s="102"/>
      <c r="O2" s="102"/>
      <c r="P2" s="102"/>
      <c r="Q2" s="102"/>
      <c r="R2" s="102"/>
      <c r="S2" s="101"/>
      <c r="T2" s="101"/>
      <c r="U2" s="101"/>
      <c r="V2" s="101"/>
      <c r="W2" s="101"/>
      <c r="X2" s="101"/>
      <c r="Y2" s="101"/>
      <c r="Z2" s="101"/>
      <c r="AA2" s="101"/>
    </row>
    <row r="3" ht="77.25" customHeight="1">
      <c r="A3" s="4"/>
      <c r="B3" s="104" t="str">
        <f>'Form responses'!I1</f>
        <v>New Case Equine</v>
      </c>
      <c r="C3" s="104" t="str">
        <f>'Form responses'!J1</f>
        <v>New Case Bovine</v>
      </c>
      <c r="D3" s="104" t="str">
        <f>'Form responses'!K1</f>
        <v>New Case Other</v>
      </c>
      <c r="E3" s="105" t="s">
        <v>511</v>
      </c>
      <c r="F3" s="106" t="str">
        <f>'Form responses'!L1</f>
        <v>New Case Dogs</v>
      </c>
      <c r="G3" s="104" t="str">
        <f>'Form responses'!M1</f>
        <v>Old Case Equine</v>
      </c>
      <c r="H3" s="104" t="str">
        <f>'Form responses'!N1</f>
        <v>Old Case Bovine</v>
      </c>
      <c r="I3" s="104" t="str">
        <f>'Form responses'!O1</f>
        <v>Old Case Other</v>
      </c>
      <c r="J3" s="104" t="str">
        <f>'Form responses'!P1</f>
        <v>Old Case Dogs</v>
      </c>
      <c r="K3" s="104" t="str">
        <f>'Form responses'!Q1</f>
        <v>No. Of Camp Organised</v>
      </c>
      <c r="L3" s="104" t="str">
        <f>'Form responses'!R1</f>
        <v>Farmers Arrived in Capm</v>
      </c>
      <c r="M3" s="104" t="str">
        <f>'Form responses'!S1</f>
        <v>Case Treated In Camp</v>
      </c>
      <c r="N3" s="104" t="str">
        <f>'Form responses'!T1</f>
        <v>Gaushala Cases</v>
      </c>
      <c r="O3" s="107" t="s">
        <v>512</v>
      </c>
      <c r="P3" s="107" t="s">
        <v>513</v>
      </c>
      <c r="Q3" s="4"/>
      <c r="R3" s="105" t="str">
        <f>'Form responses'!U1</f>
        <v>Bovine Castrations</v>
      </c>
      <c r="S3" s="105" t="str">
        <f>'Form responses'!V1</f>
        <v>Other Castrations</v>
      </c>
      <c r="T3" s="105" t="str">
        <f>'Form responses'!W1</f>
        <v>No. of Pregnancy Diagnosis (Paid)</v>
      </c>
      <c r="U3" s="105" t="str">
        <f>'Form responses'!X1</f>
        <v>A.H. Certificate Small Animals</v>
      </c>
      <c r="V3" s="105" t="str">
        <f>'Form responses'!Y1</f>
        <v>A.H. Certificate Large Animals</v>
      </c>
      <c r="W3" s="105" t="str">
        <f>'Form responses'!Z1</f>
        <v>Post Mortem Small Animals</v>
      </c>
      <c r="X3" s="105" t="str">
        <f>'Form responses'!AA1</f>
        <v>Post Mortem Large Animals</v>
      </c>
      <c r="Y3" s="105" t="str">
        <f>'Form responses'!AB1</f>
        <v>Post Mortem Vetro Legal</v>
      </c>
      <c r="Z3" s="105" t="str">
        <f>'Form responses'!AC1</f>
        <v>PM poultry</v>
      </c>
      <c r="AA3" s="105" t="str">
        <f>'Form responses'!AD1</f>
        <v>PM Dogs Vetro legal</v>
      </c>
    </row>
    <row r="4" ht="24.75" customHeight="1">
      <c r="A4" s="108"/>
      <c r="B4" s="109">
        <f>sumifs('Form responses'!I2:I75,'Form responses'!$C$2:$C75,"&gt;="&amp;$N$1,'Form responses'!$C$2:$C75,"&lt;="&amp;$Q$1,'Form responses'!$G$2:$G75,$J$1)</f>
        <v>1</v>
      </c>
      <c r="C4" s="109">
        <f>sumifs('Form responses'!J2:J75,'Form responses'!$C$2:$C75,"&gt;="&amp;$N$1,'Form responses'!$C$2:$C75,"&lt;="&amp;$Q$1,'Form responses'!$G$2:$G75,$J$1)</f>
        <v>1936</v>
      </c>
      <c r="D4" s="110">
        <f>sumifs('Form responses'!K2:K75,'Form responses'!$C$2:$C75,"&gt;="&amp;$N$1,'Form responses'!$C$2:$C75,"&lt;="&amp;$Q$1,'Form responses'!$G$2:$G75,$J$1)</f>
        <v>17</v>
      </c>
      <c r="E4" s="111">
        <f t="shared" ref="E4:E5" si="1">SUM(B4:D4)</f>
        <v>1954</v>
      </c>
      <c r="F4" s="112">
        <f>sumifs('Form responses'!L2:L75,'Form responses'!$C$2:$C75,"&gt;="&amp;$N$1,'Form responses'!$C$2:$C75,"&lt;="&amp;$Q$1,'Form responses'!$G$2:$G75,$J$1)</f>
        <v>32</v>
      </c>
      <c r="G4" s="113">
        <f>sumifs('Form responses'!M2:M75,'Form responses'!$C$2:$C75,"&gt;="&amp;$N$1,'Form responses'!$C$2:$C75,"&lt;="&amp;$Q$1,'Form responses'!$G$2:$G75,$J$1)</f>
        <v>0</v>
      </c>
      <c r="H4" s="109">
        <f>sumifs('Form responses'!N2:N75,'Form responses'!$C$2:$C75,"&gt;="&amp;$N$1,'Form responses'!$C$2:$C75,"&lt;="&amp;$Q$1,'Form responses'!$G$2:$G75,$J$1)</f>
        <v>757</v>
      </c>
      <c r="I4" s="109">
        <f>sumifs('Form responses'!O2:O75,'Form responses'!$C$2:$C75,"&gt;="&amp;$N$1,'Form responses'!$C$2:$C75,"&lt;="&amp;$Q$1,'Form responses'!$G$2:$G75,$J$1)</f>
        <v>8</v>
      </c>
      <c r="J4" s="109">
        <f>sumifs('Form responses'!P2:P75,'Form responses'!$C$2:$C75,"&gt;="&amp;$N$1,'Form responses'!$C$2:$C75,"&lt;="&amp;$Q$1,'Form responses'!$G$2:$G75,$J$1)</f>
        <v>5</v>
      </c>
      <c r="K4" s="109">
        <f>sumifs('Form responses'!Q2:Q75,'Form responses'!$C$2:$C75,"&gt;="&amp;$N$1,'Form responses'!$C$2:$C75,"&lt;="&amp;$Q$1,'Form responses'!$G$2:$G75,$J$1)</f>
        <v>5</v>
      </c>
      <c r="L4" s="109">
        <f>sumifs('Form responses'!R2:R75,'Form responses'!$C$2:$C75,"&gt;="&amp;$N$1,'Form responses'!$C$2:$C75,"&lt;="&amp;$Q$1,'Form responses'!$G$2:$G75,$J$1)</f>
        <v>282</v>
      </c>
      <c r="M4" s="109">
        <f>sumifs('Form responses'!S2:S75,'Form responses'!$C$2:$C75,"&gt;="&amp;$N$1,'Form responses'!$C$2:$C75,"&lt;="&amp;$Q$1,'Form responses'!$G$2:$G75,$J$1)</f>
        <v>182</v>
      </c>
      <c r="N4" s="109">
        <f>sumifs('Form responses'!T2:T75,'Form responses'!$C$2:$C75,"&gt;="&amp;$N$1,'Form responses'!$C$2:$C75,"&lt;="&amp;$Q$1,'Form responses'!$G$2:$G75,$J$1)</f>
        <v>304</v>
      </c>
      <c r="O4" s="109">
        <f t="shared" ref="O4:O5" si="2">E4+F4+M4+N4</f>
        <v>2472</v>
      </c>
      <c r="P4" s="109">
        <f t="shared" ref="P4:P5" si="3">G4+H4+I4+J4</f>
        <v>770</v>
      </c>
      <c r="Q4" s="108"/>
      <c r="R4" s="114">
        <f>sumifs('Form responses'!U$2:U75,'Form responses'!$C$2:$C75,"&gt;="&amp;$N$1,'Form responses'!$C$2:$C75,"&lt;="&amp;$Q$1,'Form responses'!$G$2:$G75,$J$1)</f>
        <v>0</v>
      </c>
      <c r="S4" s="114">
        <f>sumifs('Form responses'!V$2:V75,'Form responses'!$C$2:$C75,"&gt;="&amp;$N$1,'Form responses'!$C$2:$C75,"&lt;="&amp;$Q$1,'Form responses'!$G$2:$G75,$J$1)</f>
        <v>0</v>
      </c>
      <c r="T4" s="114">
        <f>sumifs('Form responses'!W$2:W75,'Form responses'!$C$2:$C75,"&gt;="&amp;$N$1,'Form responses'!$C$2:$C75,"&lt;="&amp;$Q$1,'Form responses'!$G$2:$G75,$J$1)</f>
        <v>0</v>
      </c>
      <c r="U4" s="114">
        <f>sumifs('Form responses'!X$2:X75,'Form responses'!$C$2:$C75,"&gt;="&amp;$N$1,'Form responses'!$C$2:$C75,"&lt;="&amp;$Q$1,'Form responses'!$G$2:$G75,$J$1)</f>
        <v>0</v>
      </c>
      <c r="V4" s="114">
        <f>sumifs('Form responses'!Y$2:Y75,'Form responses'!$C$2:$C75,"&gt;="&amp;$N$1,'Form responses'!$C$2:$C75,"&lt;="&amp;$Q$1,'Form responses'!$G$2:$G75,$J$1)</f>
        <v>34</v>
      </c>
      <c r="W4" s="114">
        <f>sumifs('Form responses'!Z$2:Z75,'Form responses'!$C$2:$C75,"&gt;="&amp;$N$1,'Form responses'!$C$2:$C75,"&lt;="&amp;$Q$1,'Form responses'!$G$2:$G75,$J$1)</f>
        <v>0</v>
      </c>
      <c r="X4" s="114">
        <f>sumifs('Form responses'!AA$2:AA75,'Form responses'!$C$2:$C75,"&gt;="&amp;$N$1,'Form responses'!$C$2:$C75,"&lt;="&amp;$Q$1,'Form responses'!$G$2:$G75,$J$1)</f>
        <v>1</v>
      </c>
      <c r="Y4" s="114">
        <f>sumifs('Form responses'!AB$2:AB75,'Form responses'!$C$2:$C75,"&gt;="&amp;$N$1,'Form responses'!$C$2:$C75,"&lt;="&amp;$Q$1,'Form responses'!$G$2:$G75,$J$1)</f>
        <v>0</v>
      </c>
      <c r="Z4" s="114">
        <f>sumifs('Form responses'!AC$2:AC75,'Form responses'!$C$2:$C75,"&gt;="&amp;$N$1,'Form responses'!$C$2:$C75,"&lt;="&amp;$Q$1,'Form responses'!$G$2:$G75,$J$1)</f>
        <v>0</v>
      </c>
      <c r="AA4" s="114">
        <f>sumifs('Form responses'!AD$2:AD75,'Form responses'!$C$2:$C75,"&gt;="&amp;$N$1,'Form responses'!$C$2:$C75,"&lt;="&amp;$Q$1,'Form responses'!$G$2:$G75,$J$1)</f>
        <v>0</v>
      </c>
    </row>
    <row r="5" ht="24.75" customHeight="1">
      <c r="A5" s="108"/>
      <c r="B5" s="109">
        <f>sumifs('Form responses'!I2:I75,'Form responses'!$C$2:$C75,"&lt;="&amp;$Q$1,'Form responses'!$C$2:$C75,"&gt;="&amp;Date(YEAR(DATE(YEAR($N$1),MONTH($N$1)+(-3),1)),4,1),'Form responses'!$G$2:$G75,$J$1)</f>
        <v>1</v>
      </c>
      <c r="C5" s="109">
        <f>sumifs('Form responses'!J2:J75,'Form responses'!$C$2:$C75,"&lt;="&amp;$Q$1,'Form responses'!$C$2:$C75,"&gt;="&amp;Date(YEAR(DATE(YEAR($N$1),MONTH($N$1)+(-3),1)),4,1),'Form responses'!$G$2:$G75,$J$1)</f>
        <v>1936</v>
      </c>
      <c r="D5" s="110">
        <f>sumifs('Form responses'!K2:K75,'Form responses'!$C$2:$C75,"&lt;="&amp;$Q$1,'Form responses'!$C$2:$C75,"&gt;="&amp;Date(YEAR(DATE(YEAR($N$1),MONTH($N$1)+(-3),1)),4,1),'Form responses'!$G$2:$G75,$J$1)</f>
        <v>17</v>
      </c>
      <c r="E5" s="115">
        <f t="shared" si="1"/>
        <v>1954</v>
      </c>
      <c r="F5" s="116">
        <f>sumifs('Form responses'!L2:L75,'Form responses'!$C$2:$C75,"&lt;="&amp;$Q$1,'Form responses'!$C$2:$C75,"&gt;="&amp;Date(YEAR(DATE(YEAR($N$1),MONTH($N$1)+(-3),1)),4,1),'Form responses'!$G$2:$G75,$J$1)</f>
        <v>32</v>
      </c>
      <c r="G5" s="113">
        <f>sumifs('Form responses'!M2:M75,'Form responses'!$C$2:$C75,"&lt;="&amp;$Q$1,'Form responses'!$C$2:$C75,"&gt;="&amp;Date(YEAR(DATE(YEAR($N$1),MONTH($N$1)+(-3),1)),4,1),'Form responses'!$G$2:$G75,$J$1)</f>
        <v>0</v>
      </c>
      <c r="H5" s="109">
        <f>sumifs('Form responses'!N2:N75,'Form responses'!$C$2:$C75,"&lt;="&amp;$Q$1,'Form responses'!$C$2:$C75,"&gt;="&amp;Date(YEAR(DATE(YEAR($N$1),MONTH($N$1)+(-3),1)),4,1),'Form responses'!$G$2:$G75,$J$1)</f>
        <v>757</v>
      </c>
      <c r="I5" s="109">
        <f>sumifs('Form responses'!O2:O75,'Form responses'!$C$2:$C75,"&lt;="&amp;$Q$1,'Form responses'!$C$2:$C75,"&gt;="&amp;Date(YEAR(DATE(YEAR($N$1),MONTH($N$1)+(-3),1)),4,1),'Form responses'!$G$2:$G75,$J$1)</f>
        <v>8</v>
      </c>
      <c r="J5" s="109">
        <f>sumifs('Form responses'!P2:P75,'Form responses'!$C$2:$C75,"&lt;="&amp;$Q$1,'Form responses'!$C$2:$C75,"&gt;="&amp;Date(YEAR(DATE(YEAR($N$1),MONTH($N$1)+(-3),1)),4,1),'Form responses'!$G$2:$G75,$J$1)</f>
        <v>5</v>
      </c>
      <c r="K5" s="109">
        <f>sumifs('Form responses'!Q2:Q75,'Form responses'!$C$2:$C75,"&lt;="&amp;$Q$1,'Form responses'!$C$2:$C75,"&gt;="&amp;Date(YEAR(DATE(YEAR($N$1),MONTH($N$1)+(-3),1)),4,1),'Form responses'!$G$2:$G75,$J$1)</f>
        <v>5</v>
      </c>
      <c r="L5" s="109">
        <f>sumifs('Form responses'!R2:R75,'Form responses'!$C$2:$C75,"&lt;="&amp;$Q$1,'Form responses'!$C$2:$C75,"&gt;="&amp;Date(YEAR(DATE(YEAR($N$1),MONTH($N$1)+(-3),1)),4,1),'Form responses'!$G$2:$G75,$J$1)</f>
        <v>282</v>
      </c>
      <c r="M5" s="109">
        <f>sumifs('Form responses'!S2:S75,'Form responses'!$C$2:$C75,"&lt;="&amp;$Q$1,'Form responses'!$C$2:$C75,"&gt;="&amp;Date(YEAR(DATE(YEAR($N$1),MONTH($N$1)+(-3),1)),4,1),'Form responses'!$G$2:$G75,$J$1)</f>
        <v>182</v>
      </c>
      <c r="N5" s="109">
        <f>sumifs('Form responses'!T2:T75,'Form responses'!$C$2:$C75,"&lt;="&amp;$Q$1,'Form responses'!$C$2:$C75,"&gt;="&amp;Date(YEAR(DATE(YEAR($N$1),MONTH($N$1)+(-3),1)),4,1),'Form responses'!$G$2:$G75,$J$1)</f>
        <v>304</v>
      </c>
      <c r="O5" s="109">
        <f t="shared" si="2"/>
        <v>2472</v>
      </c>
      <c r="P5" s="109">
        <f t="shared" si="3"/>
        <v>770</v>
      </c>
      <c r="Q5" s="108"/>
      <c r="R5" s="114">
        <f>sumifs('Form responses'!U$2:U75,'Form responses'!$C$2:$C75,"&gt;="&amp;Date(YEAR(DATE(YEAR($Q$1),MONTH($Q$1)+(-3),1)),4,1),'Form responses'!$C$2:$C75,"&lt;="&amp;$Q$1,'Form responses'!$G$2:$G75,$J$1)</f>
        <v>0</v>
      </c>
      <c r="S5" s="114">
        <f>sumifs('Form responses'!V$2:V75,'Form responses'!$C$2:$C75,"&gt;="&amp;Date(YEAR(DATE(YEAR($Q$1),MONTH($Q$1)+(-3),1)),4,1),'Form responses'!$C$2:$C75,"&lt;="&amp;$Q$1,'Form responses'!$G$2:$G75,$J$1)</f>
        <v>0</v>
      </c>
      <c r="T5" s="114">
        <f>sumifs('Form responses'!W$2:W75,'Form responses'!$C$2:$C75,"&gt;="&amp;Date(YEAR(DATE(YEAR($Q$1),MONTH($Q$1)+(-3),1)),4,1),'Form responses'!$C$2:$C75,"&lt;="&amp;$Q$1,'Form responses'!$G$2:$G75,$J$1)</f>
        <v>0</v>
      </c>
      <c r="U5" s="114">
        <f>sumifs('Form responses'!X$2:X75,'Form responses'!$C$2:$C75,"&gt;="&amp;Date(YEAR(DATE(YEAR($Q$1),MONTH($Q$1)+(-3),1)),4,1),'Form responses'!$C$2:$C75,"&lt;="&amp;$Q$1,'Form responses'!$G$2:$G75,$J$1)</f>
        <v>0</v>
      </c>
      <c r="V5" s="114">
        <f>sumifs('Form responses'!Y$2:Y75,'Form responses'!$C$2:$C75,"&gt;="&amp;Date(YEAR(DATE(YEAR($Q$1),MONTH($Q$1)+(-3),1)),4,1),'Form responses'!$C$2:$C75,"&lt;="&amp;$Q$1,'Form responses'!$G$2:$G75,$J$1)</f>
        <v>34</v>
      </c>
      <c r="W5" s="114">
        <f>sumifs('Form responses'!Z$2:Z75,'Form responses'!$C$2:$C75,"&gt;="&amp;Date(YEAR(DATE(YEAR($Q$1),MONTH($Q$1)+(-3),1)),4,1),'Form responses'!$C$2:$C75,"&lt;="&amp;$Q$1,'Form responses'!$G$2:$G75,$J$1)</f>
        <v>0</v>
      </c>
      <c r="X5" s="114">
        <f>sumifs('Form responses'!AA$2:AA75,'Form responses'!$C$2:$C75,"&gt;="&amp;Date(YEAR(DATE(YEAR($Q$1),MONTH($Q$1)+(-3),1)),4,1),'Form responses'!$C$2:$C75,"&lt;="&amp;$Q$1,'Form responses'!$G$2:$G75,$J$1)</f>
        <v>1</v>
      </c>
      <c r="Y5" s="114">
        <f>sumifs('Form responses'!AB$2:AB75,'Form responses'!$C$2:$C75,"&gt;="&amp;Date(YEAR(DATE(YEAR($Q$1),MONTH($Q$1)+(-3),1)),4,1),'Form responses'!$C$2:$C75,"&lt;="&amp;$Q$1,'Form responses'!$G$2:$G75,$J$1)</f>
        <v>0</v>
      </c>
      <c r="Z5" s="114">
        <f>sumifs('Form responses'!AC$2:AC75,'Form responses'!$C$2:$C75,"&gt;="&amp;Date(YEAR(DATE(YEAR($Q$1),MONTH($Q$1)+(-3),1)),4,1),'Form responses'!$C$2:$C75,"&lt;="&amp;$Q$1,'Form responses'!$G$2:$G75,$J$1)</f>
        <v>0</v>
      </c>
      <c r="AA5" s="114">
        <f>sumifs('Form responses'!AD$2:AD75,'Form responses'!$C$2:$C75,"&gt;="&amp;Date(YEAR(DATE(YEAR($Q$1),MONTH($Q$1)+(-3),1)),4,1),'Form responses'!$C$2:$C75,"&lt;="&amp;$Q$1,'Form responses'!$G$2:$G75,$J$1)</f>
        <v>0</v>
      </c>
    </row>
    <row r="6" ht="18.0" customHeight="1">
      <c r="A6" s="117"/>
      <c r="B6" s="118" t="s">
        <v>514</v>
      </c>
      <c r="C6" s="118"/>
      <c r="D6" s="118"/>
      <c r="E6" s="118"/>
      <c r="F6" s="118"/>
      <c r="G6" s="119"/>
      <c r="H6" s="102"/>
      <c r="I6" s="102"/>
      <c r="J6" s="102"/>
      <c r="K6" s="102"/>
      <c r="L6" s="102"/>
      <c r="M6" s="102"/>
      <c r="N6" s="102"/>
      <c r="O6" s="102"/>
      <c r="P6" s="102"/>
      <c r="Q6" s="102"/>
      <c r="R6" s="102"/>
      <c r="S6" s="102"/>
      <c r="T6" s="102"/>
      <c r="U6" s="102"/>
      <c r="V6" s="119"/>
      <c r="W6" s="119"/>
      <c r="X6" s="119"/>
      <c r="Y6" s="119"/>
      <c r="Z6" s="119"/>
      <c r="AA6" s="119"/>
    </row>
    <row r="7" ht="51.75" customHeight="1">
      <c r="A7" s="120"/>
      <c r="B7" s="104" t="str">
        <f>'Form responses'!AE1</f>
        <v>H.S. Vaccine Doses Received </v>
      </c>
      <c r="C7" s="104" t="str">
        <f>'Form responses'!AF1</f>
        <v>H.S. Vaccine Doses Used</v>
      </c>
      <c r="D7" s="104" t="str">
        <f>'Form responses'!AG1</f>
        <v>H.S. Vaccine Animal Vaccinated </v>
      </c>
      <c r="E7" s="104" t="str">
        <f>'Form responses'!AH1</f>
        <v>FMD. Vaccine Doses Received </v>
      </c>
      <c r="F7" s="104" t="str">
        <f>'Form responses'!AI1</f>
        <v>FMD. Vaccine Doses Used</v>
      </c>
      <c r="G7" s="104" t="str">
        <f>'Form responses'!AJ1</f>
        <v>FMD. Vaccine Animal Vaccinated </v>
      </c>
      <c r="H7" s="104" t="str">
        <f>'Form responses'!AK1</f>
        <v>Black Quarter Doses Received </v>
      </c>
      <c r="I7" s="104" t="str">
        <f>'Form responses'!AL1</f>
        <v>Black Quarter Doses Used</v>
      </c>
      <c r="J7" s="104" t="str">
        <f>'Form responses'!AM1</f>
        <v>Black Quarter Animal Vaccinated </v>
      </c>
      <c r="K7" s="104" t="str">
        <f>'Form responses'!AN1</f>
        <v>Brucellosis Vaccine Doses Received </v>
      </c>
      <c r="L7" s="104" t="str">
        <f>'Form responses'!AO1</f>
        <v>Brucellosis Vaccine Doses Used</v>
      </c>
      <c r="M7" s="104" t="str">
        <f>'Form responses'!AP1</f>
        <v>Brucellosis Vaccine Animal Vaccinated </v>
      </c>
      <c r="N7" s="104" t="str">
        <f>'Form responses'!AQ1</f>
        <v>Entero Toximia Vaccine Doses Received </v>
      </c>
      <c r="O7" s="104" t="str">
        <f>'Form responses'!AR1</f>
        <v>Entero Toximia Vaccine Doses Used</v>
      </c>
      <c r="P7" s="104" t="str">
        <f>'Form responses'!AS1</f>
        <v>Entero Toximia Vaccine Animals Vaccinated</v>
      </c>
      <c r="Q7" s="106" t="str">
        <f>'Form responses'!AT1</f>
        <v>Swine Fever Vaccine Doses Received </v>
      </c>
      <c r="R7" s="104" t="str">
        <f>'Form responses'!AU1</f>
        <v>Swine Fever Vaccine Doses Used</v>
      </c>
      <c r="S7" s="104" t="str">
        <f>'Form responses'!AV1</f>
        <v>Swine Fever Vaccine Animal Vaccinated</v>
      </c>
      <c r="T7" s="104" t="str">
        <f>'Form responses'!AW1</f>
        <v>Goat Pox Vaccine Doses Received </v>
      </c>
      <c r="U7" s="104" t="str">
        <f>'Form responses'!AX1</f>
        <v>Goat Pox Vaccine Doses Used</v>
      </c>
      <c r="V7" s="104" t="str">
        <f>'Form responses'!AY1</f>
        <v>Goat Pox Vaccine Animal Vaccinated </v>
      </c>
      <c r="W7" s="104" t="str">
        <f>'Form responses'!AZ1</f>
        <v>PPR Doses Received</v>
      </c>
      <c r="X7" s="104" t="str">
        <f>'Form responses'!BA1</f>
        <v>PPR Doses Used</v>
      </c>
      <c r="Y7" s="104" t="str">
        <f>'Form responses'!BB1</f>
        <v>PPR Animal Cover</v>
      </c>
      <c r="Z7" s="104" t="str">
        <f>'Form responses'!BC1</f>
        <v>Rabies Doses Received</v>
      </c>
      <c r="AA7" s="104" t="str">
        <f>'Form responses'!BD1</f>
        <v>Rabies Doses Used</v>
      </c>
    </row>
    <row r="8" ht="24.75" customHeight="1">
      <c r="A8" s="121"/>
      <c r="B8" s="109">
        <f>sumifs('Form responses'!AE$2:AE75,'Form responses'!$C$2:$C75,"&gt;="&amp;$N$1,'Form responses'!$C$2:$C75,"&lt;="&amp;$Q$1,'Form responses'!$G$2:$G75,$J$1)</f>
        <v>0</v>
      </c>
      <c r="C8" s="109">
        <f>sumifs('Form responses'!AF$2:AF75,'Form responses'!$C$2:$C75,"&gt;="&amp;$N$1,'Form responses'!$C$2:$C75,"&lt;="&amp;$Q$1,'Form responses'!$G$2:$G75,$J$1)</f>
        <v>0</v>
      </c>
      <c r="D8" s="109">
        <f>sumifs('Form responses'!AG$2:AG75,'Form responses'!$C$2:$C75,"&gt;="&amp;$N$1,'Form responses'!$C$2:$C75,"&lt;="&amp;$Q$1,'Form responses'!$G$2:$G75,$J$1)</f>
        <v>0</v>
      </c>
      <c r="E8" s="109">
        <f>sumifs('Form responses'!AH$2:AH75,'Form responses'!$C$2:$C75,"&gt;="&amp;$N$1,'Form responses'!$C$2:$C75,"&lt;="&amp;$Q$1,'Form responses'!$G$2:$G75,$J$1)</f>
        <v>0</v>
      </c>
      <c r="F8" s="109">
        <f>sumifs('Form responses'!AI$2:AI75,'Form responses'!$C$2:$C75,"&gt;="&amp;$N$1,'Form responses'!$C$2:$C75,"&lt;="&amp;$Q$1,'Form responses'!$G$2:$G75,$J$1)</f>
        <v>29850</v>
      </c>
      <c r="G8" s="109">
        <f>sumifs('Form responses'!AJ$2:AJ75,'Form responses'!$C$2:$C75,"&gt;="&amp;$N$1,'Form responses'!$C$2:$C75,"&lt;="&amp;$Q$1,'Form responses'!$G$2:$G75,$J$1)</f>
        <v>29850</v>
      </c>
      <c r="H8" s="109">
        <f>sumifs('Form responses'!AK$2:AK75,'Form responses'!$C$2:$C75,"&gt;="&amp;$N$1,'Form responses'!$C$2:$C75,"&lt;="&amp;$Q$1,'Form responses'!$G$2:$G75,$J$1)</f>
        <v>600</v>
      </c>
      <c r="I8" s="109">
        <f>sumifs('Form responses'!AL$2:AL75,'Form responses'!$C$2:$C75,"&gt;="&amp;$N$1,'Form responses'!$C$2:$C75,"&lt;="&amp;$Q$1,'Form responses'!$G$2:$G75,$J$1)</f>
        <v>300</v>
      </c>
      <c r="J8" s="109">
        <f>sumifs('Form responses'!AM$2:AM75,'Form responses'!$C$2:$C75,"&gt;="&amp;$N$1,'Form responses'!$C$2:$C75,"&lt;="&amp;$Q$1,'Form responses'!$G$2:$G75,$J$1)</f>
        <v>300</v>
      </c>
      <c r="K8" s="109">
        <f>sumifs('Form responses'!AN$2:AN75,'Form responses'!$C$2:$C75,"&gt;="&amp;$N$1,'Form responses'!$C$2:$C75,"&lt;="&amp;$Q$1,'Form responses'!$G$2:$G75,$J$1)</f>
        <v>0</v>
      </c>
      <c r="L8" s="109">
        <f>sumifs('Form responses'!AO$2:AO75,'Form responses'!$C$2:$C75,"&gt;="&amp;$N$1,'Form responses'!$C$2:$C75,"&lt;="&amp;$Q$1,'Form responses'!$G$2:$G75,$J$1)</f>
        <v>50</v>
      </c>
      <c r="M8" s="109">
        <f>sumifs('Form responses'!AP$2:AP75,'Form responses'!$C$2:$C75,"&gt;="&amp;$N$1,'Form responses'!$C$2:$C75,"&lt;="&amp;$Q$1,'Form responses'!$G$2:$G75,$J$1)</f>
        <v>50</v>
      </c>
      <c r="N8" s="109">
        <f>sumifs('Form responses'!AQ$2:AQ75,'Form responses'!$C$2:$C75,"&gt;="&amp;$N$1,'Form responses'!$C$2:$C75,"&lt;="&amp;$Q$1,'Form responses'!$G$2:$G75,$J$1)</f>
        <v>9400</v>
      </c>
      <c r="O8" s="109">
        <f>sumifs('Form responses'!AR$2:AR75,'Form responses'!$C$2:$C75,"&gt;="&amp;$N$1,'Form responses'!$C$2:$C75,"&lt;="&amp;$Q$1,'Form responses'!$G$2:$G75,$J$1)</f>
        <v>1900</v>
      </c>
      <c r="P8" s="110">
        <f>sumifs('Form responses'!AS$2:AS75,'Form responses'!$C$2:$C75,"&gt;="&amp;$N$1,'Form responses'!$C$2:$C75,"&lt;="&amp;$Q$1,'Form responses'!$G$2:$G75,$J$1)</f>
        <v>1900</v>
      </c>
      <c r="Q8" s="122">
        <f>sumifs('Form responses'!AT$2:AT75,'Form responses'!$C$2:$C75,"&gt;="&amp;$N$1,'Form responses'!$C$2:$C75,"&lt;="&amp;$Q$1,'Form responses'!$G$2:$G75,$J$1)</f>
        <v>0</v>
      </c>
      <c r="R8" s="113">
        <f>sumifs('Form responses'!AU$2:AU75,'Form responses'!$C$2:$C75,"&gt;="&amp;$N$1,'Form responses'!$C$2:$C75,"&lt;="&amp;$Q$1,'Form responses'!$G$2:$G75,$J$1)</f>
        <v>0</v>
      </c>
      <c r="S8" s="109">
        <f>sumifs('Form responses'!AV$2:AV75,'Form responses'!$C$2:$C75,"&gt;="&amp;$N$1,'Form responses'!$C$2:$C75,"&lt;="&amp;$Q$1,'Form responses'!$G$2:$G75,$J$1)</f>
        <v>0</v>
      </c>
      <c r="T8" s="109">
        <f>sumifs('Form responses'!AW$2:AW75,'Form responses'!$C$2:$C75,"&gt;="&amp;$N$1,'Form responses'!$C$2:$C75,"&lt;="&amp;$Q$1,'Form responses'!$G$2:$G75,$J$1)</f>
        <v>0</v>
      </c>
      <c r="U8" s="109">
        <f>sumifs('Form responses'!AX$2:AX75,'Form responses'!$C$2:$C75,"&gt;="&amp;$N$1,'Form responses'!$C$2:$C75,"&lt;="&amp;$Q$1,'Form responses'!$G$2:$G75,$J$1)</f>
        <v>0</v>
      </c>
      <c r="V8" s="109">
        <f>sumifs('Form responses'!AY$2:AY75,'Form responses'!$C$2:$C75,"&gt;="&amp;$N$1,'Form responses'!$C$2:$C75,"&lt;="&amp;$Q$1,'Form responses'!$G$2:$G75,$J$1)</f>
        <v>0</v>
      </c>
      <c r="W8" s="109">
        <f>sumifs('Form responses'!AZ$2:AZ75,'Form responses'!$C$2:$C75,"&gt;="&amp;$N$1,'Form responses'!$C$2:$C75,"&lt;="&amp;$Q$1,'Form responses'!$G$2:$G75,$J$1)</f>
        <v>0</v>
      </c>
      <c r="X8" s="109">
        <f>sumifs('Form responses'!BA$2:BA75,'Form responses'!$C$2:$C75,"&gt;="&amp;$N$1,'Form responses'!$C$2:$C75,"&lt;="&amp;$Q$1,'Form responses'!$G$2:$G75,$J$1)</f>
        <v>0</v>
      </c>
      <c r="Y8" s="109">
        <f>sumifs('Form responses'!BB$2:BB75,'Form responses'!$C$2:$C75,"&gt;="&amp;$N$1,'Form responses'!$C$2:$C75,"&lt;="&amp;$Q$1,'Form responses'!$G$2:$G75,$J$1)</f>
        <v>0</v>
      </c>
      <c r="Z8" s="109">
        <f>sumifs('Form responses'!BC$2:BC75,'Form responses'!$C$2:$C75,"&gt;="&amp;$N$1,'Form responses'!$C$2:$C75,"&lt;="&amp;$Q$1,'Form responses'!$G$2:$G75,$J$1)</f>
        <v>0</v>
      </c>
      <c r="AA8" s="109">
        <f>sumifs('Form responses'!BD$2:BD75,'Form responses'!$C$2:$C75,"&gt;="&amp;$N$1,'Form responses'!$C$2:$C75,"&lt;="&amp;$Q$1,'Form responses'!$G$2:$G75,$J$1)</f>
        <v>24</v>
      </c>
    </row>
    <row r="9" ht="24.75" customHeight="1">
      <c r="A9" s="121"/>
      <c r="B9" s="109">
        <f>sumifs('Form responses'!AE$2:AE75,'Form responses'!$C$2:$C75,"&gt;="&amp;Date(YEAR(DATE(YEAR($Q$1),MONTH($Q$1)+(-3),1)),4,1),'Form responses'!$C$2:$C75,"&lt;="&amp;$Q$1,'Form responses'!$G$2:$G75,$J$1)</f>
        <v>0</v>
      </c>
      <c r="C9" s="109">
        <f>sumifs('Form responses'!AF$2:AF75,'Form responses'!$C$2:$C75,"&gt;="&amp;Date(YEAR(DATE(YEAR($Q$1),MONTH($Q$1)+(-3),1)),4,1),'Form responses'!$C$2:$C75,"&lt;="&amp;$Q$1,'Form responses'!$G$2:$G75,$J$1)</f>
        <v>0</v>
      </c>
      <c r="D9" s="109">
        <f>sumifs('Form responses'!AG$2:AG75,'Form responses'!$C$2:$C75,"&gt;="&amp;Date(YEAR(DATE(YEAR($Q$1),MONTH($Q$1)+(-3),1)),4,1),'Form responses'!$C$2:$C75,"&lt;="&amp;$Q$1,'Form responses'!$G$2:$G75,$J$1)</f>
        <v>0</v>
      </c>
      <c r="E9" s="109">
        <f>sumifs('Form responses'!AH$2:AH75,'Form responses'!$C$2:$C75,"&gt;="&amp;Date(YEAR(DATE(YEAR($Q$1),MONTH($Q$1)+(-3),1)),4,1),'Form responses'!$C$2:$C75,"&lt;="&amp;$Q$1,'Form responses'!$G$2:$G75,$J$1)</f>
        <v>0</v>
      </c>
      <c r="F9" s="109">
        <f>sumifs('Form responses'!AI$2:AI75,'Form responses'!$C$2:$C75,"&gt;="&amp;Date(YEAR(DATE(YEAR($Q$1),MONTH($Q$1)+(-3),1)),4,1),'Form responses'!$C$2:$C75,"&lt;="&amp;$Q$1,'Form responses'!$G$2:$G75,$J$1)</f>
        <v>29850</v>
      </c>
      <c r="G9" s="109">
        <f>sumifs('Form responses'!AJ$2:AJ75,'Form responses'!$C$2:$C75,"&gt;="&amp;Date(YEAR(DATE(YEAR($Q$1),MONTH($Q$1)+(-3),1)),4,1),'Form responses'!$C$2:$C75,"&lt;="&amp;$Q$1,'Form responses'!$G$2:$G75,$J$1)</f>
        <v>29850</v>
      </c>
      <c r="H9" s="109">
        <f>sumifs('Form responses'!AK$2:AK75,'Form responses'!$C$2:$C75,"&gt;="&amp;Date(YEAR(DATE(YEAR($Q$1),MONTH($Q$1)+(-3),1)),4,1),'Form responses'!$C$2:$C75,"&lt;="&amp;$Q$1,'Form responses'!$G$2:$G75,$J$1)</f>
        <v>600</v>
      </c>
      <c r="I9" s="109">
        <f>sumifs('Form responses'!AL$2:AL75,'Form responses'!$C$2:$C75,"&gt;="&amp;Date(YEAR(DATE(YEAR($Q$1),MONTH($Q$1)+(-3),1)),4,1),'Form responses'!$C$2:$C75,"&lt;="&amp;$Q$1,'Form responses'!$G$2:$G75,$J$1)</f>
        <v>300</v>
      </c>
      <c r="J9" s="109">
        <f>sumifs('Form responses'!AM$2:AM75,'Form responses'!$C$2:$C75,"&gt;="&amp;Date(YEAR(DATE(YEAR($Q$1),MONTH($Q$1)+(-3),1)),4,1),'Form responses'!$C$2:$C75,"&lt;="&amp;$Q$1,'Form responses'!$G$2:$G75,$J$1)</f>
        <v>300</v>
      </c>
      <c r="K9" s="109">
        <f>sumifs('Form responses'!AN$2:AN75,'Form responses'!$C$2:$C75,"&gt;="&amp;Date(YEAR(DATE(YEAR($Q$1),MONTH($Q$1)+(-3),1)),4,1),'Form responses'!$C$2:$C75,"&lt;="&amp;$Q$1,'Form responses'!$G$2:$G75,$J$1)</f>
        <v>0</v>
      </c>
      <c r="L9" s="109">
        <f>sumifs('Form responses'!AO$2:AO75,'Form responses'!$C$2:$C75,"&gt;="&amp;Date(YEAR(DATE(YEAR($Q$1),MONTH($Q$1)+(-3),1)),4,1),'Form responses'!$C$2:$C75,"&lt;="&amp;$Q$1,'Form responses'!$G$2:$G75,$J$1)</f>
        <v>50</v>
      </c>
      <c r="M9" s="109">
        <f>sumifs('Form responses'!AP$2:AP75,'Form responses'!$C$2:$C75,"&gt;="&amp;Date(YEAR(DATE(YEAR($Q$1),MONTH($Q$1)+(-3),1)),4,1),'Form responses'!$C$2:$C75,"&lt;="&amp;$Q$1,'Form responses'!$G$2:$G75,$J$1)</f>
        <v>50</v>
      </c>
      <c r="N9" s="109">
        <f>sumifs('Form responses'!AQ$2:AQ75,'Form responses'!$C$2:$C75,"&gt;="&amp;Date(YEAR(DATE(YEAR($Q$1),MONTH($Q$1)+(-3),1)),4,1),'Form responses'!$C$2:$C75,"&lt;="&amp;$Q$1,'Form responses'!$G$2:$G75,$J$1)</f>
        <v>9400</v>
      </c>
      <c r="O9" s="109">
        <f>sumifs('Form responses'!AR$2:AR75,'Form responses'!$C$2:$C75,"&gt;="&amp;Date(YEAR(DATE(YEAR($Q$1),MONTH($Q$1)+(-3),1)),4,1),'Form responses'!$C$2:$C75,"&lt;="&amp;$Q$1,'Form responses'!$G$2:$G75,$J$1)</f>
        <v>1900</v>
      </c>
      <c r="P9" s="109">
        <f>sumifs('Form responses'!AS$2:AS75,'Form responses'!$C$2:$C75,"&gt;="&amp;Date(YEAR(DATE(YEAR($Q$1),MONTH($Q$1)+(-3),1)),4,1),'Form responses'!$C$2:$C75,"&lt;="&amp;$Q$1,'Form responses'!$G$2:$G75,$J$1)</f>
        <v>1900</v>
      </c>
      <c r="Q9" s="123">
        <f>sumifs('Form responses'!AT$2:AT75,'Form responses'!$C$2:$C75,"&gt;="&amp;Date(YEAR(DATE(YEAR($Q$1),MONTH($Q$1)+(-3),1)),4,1),'Form responses'!$C$2:$C75,"&lt;="&amp;$Q$1,'Form responses'!$G$2:$G75,$J$1)</f>
        <v>0</v>
      </c>
      <c r="R9" s="109">
        <f>sumifs('Form responses'!AU$2:AU75,'Form responses'!$C$2:$C75,"&gt;="&amp;Date(YEAR(DATE(YEAR($Q$1),MONTH($Q$1)+(-3),1)),4,1),'Form responses'!$C$2:$C75,"&lt;="&amp;$Q$1,'Form responses'!$G$2:$G75,$J$1)</f>
        <v>0</v>
      </c>
      <c r="S9" s="109">
        <f>sumifs('Form responses'!AV$2:AV75,'Form responses'!$C$2:$C75,"&gt;="&amp;Date(YEAR(DATE(YEAR($Q$1),MONTH($Q$1)+(-3),1)),4,1),'Form responses'!$C$2:$C75,"&lt;="&amp;$Q$1,'Form responses'!$G$2:$G75,$J$1)</f>
        <v>0</v>
      </c>
      <c r="T9" s="109">
        <f>sumifs('Form responses'!AW$2:AW75,'Form responses'!$C$2:$C75,"&gt;="&amp;Date(YEAR(DATE(YEAR($Q$1),MONTH($Q$1)+(-3),1)),4,1),'Form responses'!$C$2:$C75,"&lt;="&amp;$Q$1,'Form responses'!$G$2:$G75,$J$1)</f>
        <v>0</v>
      </c>
      <c r="U9" s="109">
        <f>sumifs('Form responses'!AX$2:AX75,'Form responses'!$C$2:$C75,"&gt;="&amp;Date(YEAR(DATE(YEAR($Q$1),MONTH($Q$1)+(-3),1)),4,1),'Form responses'!$C$2:$C75,"&lt;="&amp;$Q$1,'Form responses'!$G$2:$G75,$J$1)</f>
        <v>0</v>
      </c>
      <c r="V9" s="109">
        <f>sumifs('Form responses'!AY$2:AY75,'Form responses'!$C$2:$C75,"&gt;="&amp;Date(YEAR(DATE(YEAR($Q$1),MONTH($Q$1)+(-3),1)),4,1),'Form responses'!$C$2:$C75,"&lt;="&amp;$Q$1,'Form responses'!$G$2:$G75,$J$1)</f>
        <v>0</v>
      </c>
      <c r="W9" s="109">
        <f>sumifs('Form responses'!AZ$2:AZ75,'Form responses'!$C$2:$C75,"&gt;="&amp;Date(YEAR(DATE(YEAR($Q$1),MONTH($Q$1)+(-3),1)),4,1),'Form responses'!$C$2:$C75,"&lt;="&amp;$Q$1,'Form responses'!$G$2:$G75,$J$1)</f>
        <v>0</v>
      </c>
      <c r="X9" s="109">
        <f>sumifs('Form responses'!BA$2:BA75,'Form responses'!$C$2:$C75,"&gt;="&amp;Date(YEAR(DATE(YEAR($Q$1),MONTH($Q$1)+(-3),1)),4,1),'Form responses'!$C$2:$C75,"&lt;="&amp;$Q$1,'Form responses'!$G$2:$G75,$J$1)</f>
        <v>0</v>
      </c>
      <c r="Y9" s="109">
        <f>sumifs('Form responses'!BB$2:BB75,'Form responses'!$C$2:$C75,"&gt;="&amp;Date(YEAR(DATE(YEAR($Q$1),MONTH($Q$1)+(-3),1)),4,1),'Form responses'!$C$2:$C75,"&lt;="&amp;$Q$1,'Form responses'!$G$2:$G75,$J$1)</f>
        <v>0</v>
      </c>
      <c r="Z9" s="109">
        <f>sumifs('Form responses'!BC$2:BC75,'Form responses'!$C$2:$C75,"&gt;="&amp;Date(YEAR(DATE(YEAR($Q$1),MONTH($Q$1)+(-3),1)),4,1),'Form responses'!$C$2:$C75,"&lt;="&amp;$Q$1,'Form responses'!$G$2:$G75,$J$1)</f>
        <v>0</v>
      </c>
      <c r="AA9" s="109">
        <f>sumifs('Form responses'!BD$2:BD75,'Form responses'!$C$2:$C75,"&gt;="&amp;Date(YEAR(DATE(YEAR($Q$1),MONTH($Q$1)+(-3),1)),4,1),'Form responses'!$C$2:$C75,"&lt;="&amp;$Q$1,'Form responses'!$G$2:$G75,$J$1)</f>
        <v>24</v>
      </c>
    </row>
    <row r="10" ht="23.25" customHeight="1">
      <c r="B10" s="124">
        <f>sumifs('Form responses'!AE2:AE75,
'Form responses'!$C$2:$C75,
"&lt;="&amp;$Q$1,
'Form responses'!$G$2:$G75,$J$1)-(sumifs('Form responses'!AF2:AF75,
'Form responses'!$C$2:$C75,
"&lt;="&amp;$Q$1,
'Form responses'!$G$2:$G75,$J$1))</f>
        <v>0</v>
      </c>
      <c r="C10" s="125"/>
      <c r="D10" s="126"/>
      <c r="E10" s="124">
        <f>sumifs('Form responses'!AH2:AH75,
'Form responses'!$C$2:$C75,
"&lt;="&amp;$Q$1,
'Form responses'!$G$2:$G75,$J$1)-(sumifs('Form responses'!AI2:AI75,
'Form responses'!$C$2:$C75,
"&lt;="&amp;$Q$1,
'Form responses'!$G$2:$G75,$J$1))</f>
        <v>50100</v>
      </c>
      <c r="F10" s="125"/>
      <c r="G10" s="126"/>
      <c r="H10" s="124">
        <f>sumifs('Form responses'!AK2:AK75,
'Form responses'!$C$2:$C75,
"&lt;="&amp;$Q$1,
'Form responses'!$G$2:$G75,$J$1)-(sumifs('Form responses'!AL2:AL75,
'Form responses'!$C$2:$C75,
"&lt;="&amp;$Q$1,
'Form responses'!$G$2:$G75,$J$1))</f>
        <v>300</v>
      </c>
      <c r="I10" s="125"/>
      <c r="J10" s="126"/>
      <c r="K10" s="124">
        <f>sumifs('Form responses'!AN2:AN75,
'Form responses'!$C$2:$C75,
"&lt;="&amp;$Q$1,
'Form responses'!$G$2:$G75,$J$1)-(sumifs('Form responses'!AO2:AO75,
'Form responses'!$C$2:$C75,
"&lt;="&amp;$Q$1,
'Form responses'!$G$2:$G75,$J$1))</f>
        <v>2450</v>
      </c>
      <c r="L10" s="125"/>
      <c r="M10" s="126"/>
      <c r="N10" s="124">
        <f>sumifs('Form responses'!AQ2:AQ75,
'Form responses'!$C$2:$C75,
"&lt;="&amp;$Q$1,
'Form responses'!$G$2:$G75,$J$1)-(sumifs('Form responses'!AR2:AR75,
'Form responses'!$C$2:$C75,
"&lt;="&amp;$Q$1,
'Form responses'!$G$2:$G75,$J$1))</f>
        <v>7500</v>
      </c>
      <c r="O10" s="125"/>
      <c r="P10" s="126"/>
      <c r="Q10" s="124">
        <f>sumifs('Form responses'!AT2:AT75,
'Form responses'!$C$2:$C75,
"&lt;="&amp;$Q$1,
'Form responses'!$G$2:$G75,$J$1)-(sumifs('Form responses'!AU2:AU75,
'Form responses'!$C$2:$C75,
"&lt;="&amp;$Q$1,
'Form responses'!$G$2:$G75,$J$1))</f>
        <v>0</v>
      </c>
      <c r="R10" s="125"/>
      <c r="S10" s="126"/>
      <c r="T10" s="124">
        <f>sumifs('Form responses'!AW2:AW75,
'Form responses'!$C$2:$C75,
"&lt;="&amp;$Q$1,
'Form responses'!$G$2:$G75,$J$1)-(sumifs('Form responses'!AX2:AX75,
'Form responses'!$C$2:$C75,
"&lt;="&amp;$Q$1,
'Form responses'!$G$2:$G75,$J$1))</f>
        <v>0</v>
      </c>
      <c r="U10" s="125"/>
      <c r="V10" s="126"/>
      <c r="W10" s="124">
        <f>sumifs('Form responses'!AZ2:AZ75,
'Form responses'!$C$2:$C75,
"&lt;="&amp;$Q$1,
'Form responses'!$G$2:$G75,$J$1)-(sumifs('Form responses'!BA2:BA75,
'Form responses'!$C$2:$C75,
"&lt;="&amp;$Q$1,
'Form responses'!$G$2:$G75,$J$1))</f>
        <v>0</v>
      </c>
      <c r="X10" s="125"/>
      <c r="Y10" s="126"/>
      <c r="Z10" s="124">
        <f>sumifs('Form responses'!BC2:BC75,
'Form responses'!$C$2:$C75,
"&lt;="&amp;$Q$1,
'Form responses'!$G$2:$G75,$J$1)-(sumifs('Form responses'!BD2:BD75,
'Form responses'!$C$2:$C75,
"&lt;="&amp;$Q$1,
'Form responses'!$G$2:$G75,$J$1))</f>
        <v>113</v>
      </c>
      <c r="AA10" s="126"/>
    </row>
    <row r="11" ht="15.75" customHeight="1">
      <c r="A11" s="117"/>
      <c r="B11" s="118" t="s">
        <v>581</v>
      </c>
      <c r="C11" s="127"/>
      <c r="D11" s="127"/>
      <c r="E11" s="127"/>
      <c r="F11" s="127"/>
      <c r="G11" s="127"/>
      <c r="H11" s="127"/>
      <c r="I11" s="128"/>
      <c r="J11" s="128"/>
      <c r="K11" s="128"/>
      <c r="L11" s="128"/>
      <c r="M11" s="128"/>
      <c r="N11" s="128"/>
      <c r="O11" s="128"/>
      <c r="P11" s="128"/>
      <c r="Q11" s="128"/>
      <c r="R11" s="128"/>
      <c r="T11" s="128"/>
      <c r="U11" s="129"/>
      <c r="V11" s="130"/>
      <c r="W11" s="131"/>
      <c r="X11" s="131"/>
      <c r="Y11" s="131"/>
      <c r="Z11" s="131"/>
      <c r="AA11" s="131"/>
    </row>
    <row r="12" ht="62.25" customHeight="1">
      <c r="A12" s="132"/>
      <c r="B12" s="104" t="str">
        <f>'Form responses'!BF1</f>
        <v>AI HF Straws</v>
      </c>
      <c r="C12" s="104" t="str">
        <f>'Form responses'!BG1</f>
        <v>Cover HF Straws</v>
      </c>
      <c r="D12" s="104" t="str">
        <f>'Form responses'!BH1</f>
        <v>AI Jersey Straws</v>
      </c>
      <c r="E12" s="104" t="str">
        <f>'Form responses'!BI1</f>
        <v>Cover Jersey Straws</v>
      </c>
      <c r="F12" s="104" t="str">
        <f>'Form responses'!BJ1</f>
        <v>AI Cross Breed Straws</v>
      </c>
      <c r="G12" s="104" t="str">
        <f>'Form responses'!BK1</f>
        <v>Cover Cross Breed Straws</v>
      </c>
      <c r="H12" s="104" t="str">
        <f>'Form responses'!BL1</f>
        <v>AI Sahiwal Straws</v>
      </c>
      <c r="I12" s="107" t="s">
        <v>582</v>
      </c>
      <c r="J12" s="133" t="s">
        <v>516</v>
      </c>
      <c r="L12" s="104" t="str">
        <f>'Form responses'!BN1</f>
        <v>AI HF ETT Straws</v>
      </c>
      <c r="M12" s="104" t="str">
        <f>'Form responses'!BO1</f>
        <v>Cover HF ETT Straws</v>
      </c>
      <c r="N12" s="104" t="str">
        <f>'Form responses'!BP1</f>
        <v>AI Jersey ETT Straws</v>
      </c>
      <c r="O12" s="104" t="str">
        <f>'Form responses'!BQ1</f>
        <v>Cover Jersey ETT Straws</v>
      </c>
      <c r="P12" s="134" t="s">
        <v>517</v>
      </c>
      <c r="R12" s="104" t="str">
        <f>'Form responses'!BR1</f>
        <v>AI Sexed HF Straws</v>
      </c>
      <c r="S12" s="104" t="str">
        <f>'Form responses'!BS1</f>
        <v>Cover Sexed HF Straws</v>
      </c>
      <c r="T12" s="104" t="str">
        <f>'Form responses'!BT1</f>
        <v>AI Jersey Sexed Straws</v>
      </c>
      <c r="U12" s="104" t="str">
        <f>'Form responses'!BU1</f>
        <v>Cow Cover Jersey Sexed</v>
      </c>
      <c r="V12" s="104" t="str">
        <f>'Form responses'!BV1</f>
        <v>AI Cross Breed Sexed Straws</v>
      </c>
      <c r="W12" s="104" t="str">
        <f>'Form responses'!BW1</f>
        <v>Cover Cross Breed Sexed</v>
      </c>
      <c r="X12" s="104" t="str">
        <f>'Form responses'!BX1</f>
        <v>AI Sahiwal Sexed Straws</v>
      </c>
      <c r="Y12" s="104" t="str">
        <f>'Form responses'!BY1</f>
        <v>Cow Cover Sahiwal Sexed</v>
      </c>
      <c r="Z12" s="134" t="s">
        <v>518</v>
      </c>
    </row>
    <row r="13" ht="24.75" customHeight="1">
      <c r="A13" s="135"/>
      <c r="B13" s="109">
        <f>sumifs('Form responses'!BF$2:BF75,'Form responses'!$C$2:$C75,"&gt;="&amp;$N$1,'Form responses'!$C$2:$C75,"&lt;="&amp;$Q$1,'Form responses'!$G$2:$G75,$J$1)</f>
        <v>376</v>
      </c>
      <c r="C13" s="109">
        <f>sumifs('Form responses'!BG$2:BG75,'Form responses'!$C$2:$C75,"&gt;="&amp;$N$1,'Form responses'!$C$2:$C75,"&lt;="&amp;$Q$1,'Form responses'!$G$2:$G75,$J$1)</f>
        <v>292</v>
      </c>
      <c r="D13" s="109">
        <f>sumifs('Form responses'!BH$2:BH75,'Form responses'!$C$2:$C75,"&gt;="&amp;$N$1,'Form responses'!$C$2:$C75,"&lt;="&amp;$Q$1,'Form responses'!$G$2:$G75,$J$1)</f>
        <v>30</v>
      </c>
      <c r="E13" s="109">
        <f>sumifs('Form responses'!BI$2:BI75,'Form responses'!$C$2:$C75,"&gt;="&amp;$N$1,'Form responses'!$C$2:$C75,"&lt;="&amp;$Q$1,'Form responses'!$G$2:$G75,$J$1)</f>
        <v>20</v>
      </c>
      <c r="F13" s="109">
        <f>sumifs('Form responses'!BJ$2:BJ75,'Form responses'!$C$2:$C75,"&gt;="&amp;$N$1,'Form responses'!$C$2:$C75,"&lt;="&amp;$Q$1,'Form responses'!$G$2:$G75,$J$1)</f>
        <v>45</v>
      </c>
      <c r="G13" s="109">
        <f>sumifs('Form responses'!BK$2:BK75,'Form responses'!$C$2:$C75,"&gt;="&amp;$N$1,'Form responses'!$C$2:$C75,"&lt;="&amp;$Q$1,'Form responses'!$G$2:$G75,$J$1)</f>
        <v>35</v>
      </c>
      <c r="H13" s="109">
        <f>sumifs('Form responses'!BL$2:BL75,'Form responses'!$C$2:$C75,"&gt;="&amp;$N$1,'Form responses'!$C$2:$C75,"&lt;="&amp;$Q$1,'Form responses'!$G$2:$G75,$J$1)</f>
        <v>170</v>
      </c>
      <c r="I13" s="110">
        <f>sumifs('Form responses'!BM$2:BM75,'Form responses'!$C$2:$C75,"&gt;="&amp;$N$1,'Form responses'!$C$2:$C75,"&lt;="&amp;$Q$1,'Form responses'!$G$2:$G75,$J$1)</f>
        <v>130</v>
      </c>
      <c r="J13" s="136">
        <f t="shared" ref="J13:J14" si="4">B13+D13+F13+H13</f>
        <v>621</v>
      </c>
      <c r="K13" s="121"/>
      <c r="L13" s="109">
        <f>sumifs('Form responses'!BN$2:BN75,'Form responses'!$C$2:$C75,"&gt;="&amp;$N$1,'Form responses'!$C$2:$C75,"&lt;="&amp;$Q$1,'Form responses'!$G$2:$G75,$J$1)</f>
        <v>176</v>
      </c>
      <c r="M13" s="109">
        <f>sumifs('Form responses'!BO$2:BO75,'Form responses'!$C$2:$C75,"&gt;="&amp;$N$1,'Form responses'!$C$2:$C75,"&lt;="&amp;$Q$1,'Form responses'!$G$2:$G75,$J$1)</f>
        <v>125</v>
      </c>
      <c r="N13" s="109">
        <f>sumifs('Form responses'!BP$2:BP75,'Form responses'!$C$2:$C75,"&gt;="&amp;$N$1,'Form responses'!$C$2:$C75,"&lt;="&amp;$Q$1,'Form responses'!$G$2:$G75,$J$1)</f>
        <v>0</v>
      </c>
      <c r="O13" s="110">
        <f>sumifs('Form responses'!BQ$2:BQ75,'Form responses'!$C$2:$C75,"&gt;="&amp;$N$1,'Form responses'!$C$2:$C75,"&lt;="&amp;$Q$1,'Form responses'!$G$2:$G75,$J$1)</f>
        <v>0</v>
      </c>
      <c r="P13" s="136">
        <f t="shared" ref="P13:P14" si="5">L13+N13</f>
        <v>176</v>
      </c>
      <c r="Q13" s="121"/>
      <c r="R13" s="109">
        <f>sumifs('Form responses'!BR$2:BR75,'Form responses'!$C$2:$C75,"&gt;="&amp;$N$1,'Form responses'!$C$2:$C75,"&lt;="&amp;$Q$1,'Form responses'!$G$2:$G75,$J$1)</f>
        <v>0</v>
      </c>
      <c r="S13" s="109">
        <f>sumifs('Form responses'!BS$2:BS75,'Form responses'!$C$2:$C75,"&gt;="&amp;$N$1,'Form responses'!$C$2:$C75,"&lt;="&amp;$Q$1,'Form responses'!$G$2:$G75,$J$1)</f>
        <v>0</v>
      </c>
      <c r="T13" s="109">
        <f>sumifs('Form responses'!BT$2:BT75,'Form responses'!$C$2:$C75,"&gt;="&amp;$N$1,'Form responses'!$C$2:$C75,"&lt;="&amp;$Q$1,'Form responses'!$G$2:$G75,$J$1)</f>
        <v>0</v>
      </c>
      <c r="U13" s="109">
        <f>sumifs('Form responses'!BU$2:BU75,'Form responses'!$C$2:$C75,"&gt;="&amp;$N$1,'Form responses'!$C$2:$C75,"&lt;="&amp;$Q$1,'Form responses'!$G$2:$G75,$J$1)</f>
        <v>0</v>
      </c>
      <c r="V13" s="109">
        <f>sumifs('Form responses'!BV$2:BV75,'Form responses'!$C$2:$C75,"&gt;="&amp;$N$1,'Form responses'!$C$2:$C75,"&lt;="&amp;$Q$1,'Form responses'!$G$2:$G75,$J$1)</f>
        <v>0</v>
      </c>
      <c r="W13" s="109">
        <f>sumifs('Form responses'!BW$2:BW75,'Form responses'!$C$2:$C75,"&gt;="&amp;$N$1,'Form responses'!$C$2:$C75,"&lt;="&amp;$Q$1,'Form responses'!$G$2:$G75,$J$1)</f>
        <v>0</v>
      </c>
      <c r="X13" s="109">
        <f>sumifs('Form responses'!BX$2:BX75,'Form responses'!$C$2:$C75,"&gt;="&amp;$N$1,'Form responses'!$C$2:$C75,"&lt;="&amp;$Q$1,'Form responses'!$G$2:$G75,$J$1)</f>
        <v>0</v>
      </c>
      <c r="Y13" s="110">
        <f>sumifs('Form responses'!BY$2:BY75,'Form responses'!$C$2:$C75,"&gt;="&amp;$N$1,'Form responses'!$C$2:$C75,"&lt;="&amp;$Q$1,'Form responses'!$G$2:$G75,$J$1)</f>
        <v>0</v>
      </c>
      <c r="Z13" s="136">
        <f t="shared" ref="Z13:Z14" si="6">R13+T13+V13+X13</f>
        <v>0</v>
      </c>
      <c r="AA13" s="137"/>
    </row>
    <row r="14" ht="24.75" customHeight="1">
      <c r="A14" s="138"/>
      <c r="B14" s="109">
        <f>sumifs('Form responses'!BF$2:BF75,'Form responses'!$C$2:$C75,"&gt;="&amp;Date(YEAR(DATE(YEAR($Q$1),MONTH($Q$1)+(-3),1)),4,1),'Form responses'!$C$2:$C75,"&lt;="&amp;$Q$1,'Form responses'!$G$2:$G75,$J$1)</f>
        <v>376</v>
      </c>
      <c r="C14" s="109">
        <f>sumifs('Form responses'!BG$2:BG75,'Form responses'!$C$2:$C75,"&gt;="&amp;Date(YEAR(DATE(YEAR($Q$1),MONTH($Q$1)+(-3),1)),4,1),'Form responses'!$C$2:$C75,"&lt;="&amp;$Q$1,'Form responses'!$G$2:$G75,$J$1)</f>
        <v>292</v>
      </c>
      <c r="D14" s="109">
        <f>sumifs('Form responses'!BH$2:BH75,'Form responses'!$C$2:$C75,"&gt;="&amp;Date(YEAR(DATE(YEAR($Q$1),MONTH($Q$1)+(-3),1)),4,1),'Form responses'!$C$2:$C75,"&lt;="&amp;$Q$1,'Form responses'!$G$2:$G75,$J$1)</f>
        <v>30</v>
      </c>
      <c r="E14" s="109">
        <f>sumifs('Form responses'!BI$2:BI75,'Form responses'!$C$2:$C75,"&gt;="&amp;Date(YEAR(DATE(YEAR($Q$1),MONTH($Q$1)+(-3),1)),4,1),'Form responses'!$C$2:$C75,"&lt;="&amp;$Q$1,'Form responses'!$G$2:$G75,$J$1)</f>
        <v>20</v>
      </c>
      <c r="F14" s="109">
        <f>sumifs('Form responses'!BJ$2:BJ75,'Form responses'!$C$2:$C75,"&gt;="&amp;Date(YEAR(DATE(YEAR($Q$1),MONTH($Q$1)+(-3),1)),4,1),'Form responses'!$C$2:$C75,"&lt;="&amp;$Q$1,'Form responses'!$G$2:$G75,$J$1)</f>
        <v>45</v>
      </c>
      <c r="G14" s="109">
        <f>sumifs('Form responses'!BK$2:BK75,'Form responses'!$C$2:$C75,"&gt;="&amp;Date(YEAR(DATE(YEAR($Q$1),MONTH($Q$1)+(-3),1)),4,1),'Form responses'!$C$2:$C75,"&lt;="&amp;$Q$1,'Form responses'!$G$2:$G75,$J$1)</f>
        <v>35</v>
      </c>
      <c r="H14" s="109">
        <f>sumifs('Form responses'!BL$2:BL75,'Form responses'!$C$2:$C75,"&gt;="&amp;Date(YEAR(DATE(YEAR($Q$1),MONTH($Q$1)+(-3),1)),4,1),'Form responses'!$C$2:$C75,"&lt;="&amp;$Q$1,'Form responses'!$G$2:$G75,$J$1)</f>
        <v>170</v>
      </c>
      <c r="I14" s="110">
        <f>sumifs('Form responses'!BM$2:BM75,'Form responses'!$C$2:$C75,"&gt;="&amp;Date(YEAR(DATE(YEAR($Q$1),MONTH($Q$1)+(-3),1)),4,1),'Form responses'!$C$2:$C75,"&lt;="&amp;$Q$1,'Form responses'!$G$2:$G75,$J$1)</f>
        <v>130</v>
      </c>
      <c r="J14" s="139">
        <f t="shared" si="4"/>
        <v>621</v>
      </c>
      <c r="K14" s="121"/>
      <c r="L14" s="109">
        <f>sumifs('Form responses'!BN$2:BN75,'Form responses'!$C$2:$C75,"&gt;="&amp;Date(YEAR(DATE(YEAR($Q$1),MONTH($Q$1)+(-3),1)),4,1),'Form responses'!$C$2:$C75,"&lt;="&amp;$Q$1,'Form responses'!$G$2:$G75,$J$1)</f>
        <v>176</v>
      </c>
      <c r="M14" s="109">
        <f>sumifs('Form responses'!BO$2:BO75,'Form responses'!$C$2:$C75,"&gt;="&amp;Date(YEAR(DATE(YEAR($Q$1),MONTH($Q$1)+(-3),1)),4,1),'Form responses'!$C$2:$C75,"&lt;="&amp;$Q$1,'Form responses'!$G$2:$G75,$J$1)</f>
        <v>125</v>
      </c>
      <c r="N14" s="109">
        <f>sumifs('Form responses'!BP$2:BP75,'Form responses'!$C$2:$C75,"&gt;="&amp;Date(YEAR(DATE(YEAR($Q$1),MONTH($Q$1)+(-3),1)),4,1),'Form responses'!$C$2:$C75,"&lt;="&amp;$Q$1,'Form responses'!$G$2:$G75,$J$1)</f>
        <v>0</v>
      </c>
      <c r="O14" s="110">
        <f>sumifs('Form responses'!BQ$2:BQ75,'Form responses'!$C$2:$C75,"&gt;="&amp;Date(YEAR(DATE(YEAR($Q$1),MONTH($Q$1)+(-3),1)),4,1),'Form responses'!$C$2:$C75,"&lt;="&amp;$Q$1,'Form responses'!$G$2:$G75,$J$1)</f>
        <v>0</v>
      </c>
      <c r="P14" s="139">
        <f t="shared" si="5"/>
        <v>176</v>
      </c>
      <c r="Q14" s="121"/>
      <c r="R14" s="109">
        <f>sumifs('Form responses'!BR$2:BR75,'Form responses'!$C$2:$C75,"&gt;="&amp;Date(YEAR(DATE(YEAR($Q$1),MONTH($Q$1)+(-3),1)),4,1),'Form responses'!$C$2:$C75,"&lt;="&amp;$Q$1,'Form responses'!$G$2:$G75,$J$1)</f>
        <v>0</v>
      </c>
      <c r="S14" s="109">
        <f>sumifs('Form responses'!BS$2:BS75,'Form responses'!$C$2:$C75,"&gt;="&amp;Date(YEAR(DATE(YEAR($Q$1),MONTH($Q$1)+(-3),1)),4,1),'Form responses'!$C$2:$C75,"&lt;="&amp;$Q$1,'Form responses'!$G$2:$G75,$J$1)</f>
        <v>0</v>
      </c>
      <c r="T14" s="109">
        <f>sumifs('Form responses'!BT$2:BT75,'Form responses'!$C$2:$C75,"&gt;="&amp;Date(YEAR(DATE(YEAR($Q$1),MONTH($Q$1)+(-3),1)),4,1),'Form responses'!$C$2:$C75,"&lt;="&amp;$Q$1,'Form responses'!$G$2:$G75,$J$1)</f>
        <v>0</v>
      </c>
      <c r="U14" s="109">
        <f>sumifs('Form responses'!BU$2:BU75,'Form responses'!$C$2:$C75,"&gt;="&amp;Date(YEAR(DATE(YEAR($Q$1),MONTH($Q$1)+(-3),1)),4,1),'Form responses'!$C$2:$C75,"&lt;="&amp;$Q$1,'Form responses'!$G$2:$G75,$J$1)</f>
        <v>0</v>
      </c>
      <c r="V14" s="109">
        <f>sumifs('Form responses'!BV$2:BV75,'Form responses'!$C$2:$C75,"&gt;="&amp;Date(YEAR(DATE(YEAR($Q$1),MONTH($Q$1)+(-3),1)),4,1),'Form responses'!$C$2:$C75,"&lt;="&amp;$Q$1,'Form responses'!$G$2:$G75,$J$1)</f>
        <v>0</v>
      </c>
      <c r="W14" s="109">
        <f>sumifs('Form responses'!BW$2:BW75,'Form responses'!$C$2:$C75,"&gt;="&amp;Date(YEAR(DATE(YEAR($Q$1),MONTH($Q$1)+(-3),1)),4,1),'Form responses'!$C$2:$C75,"&lt;="&amp;$Q$1,'Form responses'!$G$2:$G75,$J$1)</f>
        <v>0</v>
      </c>
      <c r="X14" s="109">
        <f>sumifs('Form responses'!BX$2:BX75,'Form responses'!$C$2:$C75,"&gt;="&amp;Date(YEAR(DATE(YEAR($Q$1),MONTH($Q$1)+(-3),1)),4,1),'Form responses'!$C$2:$C75,"&lt;="&amp;$Q$1,'Form responses'!$G$2:$G75,$J$1)</f>
        <v>0</v>
      </c>
      <c r="Y14" s="140">
        <f>sumifs('Form responses'!BY$2:BY75,'Form responses'!$C$2:$C75,"&gt;="&amp;Date(YEAR(DATE(YEAR($Q$1),MONTH($Q$1)+(-3),1)),4,1),'Form responses'!$C$2:$C75,"&lt;="&amp;$Q$1,'Form responses'!$G$2:$G75,$J$1)</f>
        <v>0</v>
      </c>
      <c r="Z14" s="139">
        <f t="shared" si="6"/>
        <v>0</v>
      </c>
      <c r="AA14" s="137"/>
    </row>
    <row r="15" ht="19.5" customHeight="1">
      <c r="A15" s="117"/>
      <c r="B15" s="118" t="s">
        <v>519</v>
      </c>
      <c r="C15" s="127"/>
      <c r="D15" s="127"/>
      <c r="E15" s="127"/>
      <c r="F15" s="127"/>
      <c r="G15" s="127"/>
      <c r="H15" s="128"/>
      <c r="I15" s="128"/>
      <c r="J15" s="128"/>
      <c r="K15" s="128"/>
      <c r="L15" s="128"/>
      <c r="M15" s="128"/>
      <c r="N15" s="119"/>
      <c r="O15" s="119"/>
      <c r="P15" s="119"/>
      <c r="Q15" s="119"/>
      <c r="R15" s="119"/>
      <c r="S15" s="119"/>
      <c r="T15" s="119"/>
      <c r="U15" s="141"/>
      <c r="W15" s="131"/>
      <c r="X15" s="131"/>
      <c r="Y15" s="131"/>
      <c r="Z15" s="131"/>
      <c r="AA15" s="131"/>
    </row>
    <row r="16" ht="54.0" customHeight="1">
      <c r="A16" s="142"/>
      <c r="B16" s="143" t="str">
        <f>'Form responses'!CH1</f>
        <v>HF Tested</v>
      </c>
      <c r="C16" s="104" t="str">
        <f>'Form responses'!CI1</f>
        <v>HF Found Postive</v>
      </c>
      <c r="D16" s="104" t="str">
        <f>'Form responses'!CJ1</f>
        <v>Jersey Tested</v>
      </c>
      <c r="E16" s="104" t="str">
        <f>'Form responses'!CK1</f>
        <v>Jersey Found Postive</v>
      </c>
      <c r="F16" s="104" t="str">
        <f>'Form responses'!CL1</f>
        <v>Cross Breed Tested</v>
      </c>
      <c r="G16" s="104" t="str">
        <f>'Form responses'!CM1</f>
        <v>Cross Breed Found Postive</v>
      </c>
      <c r="H16" s="104" t="str">
        <f>'Form responses'!CN1</f>
        <v>Sahiwal Cow Tested</v>
      </c>
      <c r="I16" s="104" t="str">
        <f>'Form responses'!CO1</f>
        <v>Sahiwal Found Postive</v>
      </c>
      <c r="K16" s="104" t="str">
        <f>'Form responses'!CP1</f>
        <v>HF ETT Tested</v>
      </c>
      <c r="L16" s="104" t="str">
        <f>'Form responses'!CQ1</f>
        <v>HF ETT Found Postive</v>
      </c>
      <c r="M16" s="104" t="str">
        <f>'Form responses'!CR1</f>
        <v>Jessey ETT Tested</v>
      </c>
      <c r="N16" s="104" t="str">
        <f>'Form responses'!CS1</f>
        <v>Jessey ETT Found Postive</v>
      </c>
      <c r="P16" s="104" t="str">
        <f>'Form responses'!CT1</f>
        <v>Sexed HF Tested</v>
      </c>
      <c r="Q16" s="104" t="str">
        <f>'Form responses'!CU1</f>
        <v>Sexed HF Found Postive</v>
      </c>
      <c r="R16" s="104" t="str">
        <f>'Form responses'!CV1</f>
        <v>Jersey Sexed Tested</v>
      </c>
      <c r="S16" s="104" t="str">
        <f>'Form responses'!CW1</f>
        <v>Jersey Sexed Found Positive</v>
      </c>
      <c r="T16" s="104" t="str">
        <f>'Form responses'!CX1</f>
        <v>CB Sexed Tested</v>
      </c>
      <c r="U16" s="104" t="str">
        <f>'Form responses'!CY1</f>
        <v>CB Sexed Found Positive</v>
      </c>
      <c r="V16" s="104" t="str">
        <f>'Form responses'!CZ1</f>
        <v>sahiwal Sexed Tested</v>
      </c>
      <c r="W16" s="104" t="str">
        <f>'Form responses'!DA1</f>
        <v>sahiwal Sexed found positive</v>
      </c>
      <c r="X16" s="142"/>
      <c r="Y16" s="142"/>
      <c r="Z16" s="142"/>
      <c r="AA16" s="142"/>
    </row>
    <row r="17" ht="24.75" customHeight="1">
      <c r="A17" s="144"/>
      <c r="B17" s="145">
        <f>sumifs('Form responses'!CH$2:CH75,'Form responses'!$C$2:$C75,"&gt;="&amp;$N$1,'Form responses'!$C$2:$C75,"&lt;="&amp;$Q$1,'Form responses'!$G$2:$G75,$J$1)</f>
        <v>0</v>
      </c>
      <c r="C17" s="145">
        <f>sumifs('Form responses'!CI$2:CI75,'Form responses'!$C$2:$C75,"&gt;="&amp;$N$1,'Form responses'!$C$2:$C75,"&lt;="&amp;$Q$1,'Form responses'!$G$2:$G75,$J$1)</f>
        <v>0</v>
      </c>
      <c r="D17" s="145">
        <f>sumifs('Form responses'!CJ$2:CJ75,'Form responses'!$C$2:$C75,"&gt;="&amp;$N$1,'Form responses'!$C$2:$C75,"&lt;="&amp;$Q$1,'Form responses'!$G$2:$G75,$J$1)</f>
        <v>0</v>
      </c>
      <c r="E17" s="145">
        <f>sumifs('Form responses'!CK$2:CK75,'Form responses'!$C$2:$C75,"&gt;="&amp;$N$1,'Form responses'!$C$2:$C75,"&lt;="&amp;$Q$1,'Form responses'!$G$2:$G75,$J$1)</f>
        <v>0</v>
      </c>
      <c r="F17" s="145">
        <f>sumifs('Form responses'!CL$2:CL75,'Form responses'!$C$2:$C75,"&gt;="&amp;$N$1,'Form responses'!$C$2:$C75,"&lt;="&amp;$Q$1,'Form responses'!$G$2:$G75,$J$1)</f>
        <v>14</v>
      </c>
      <c r="G17" s="145">
        <f>sumifs('Form responses'!CM$2:CM75,'Form responses'!$C$2:$C75,"&gt;="&amp;$N$1,'Form responses'!$C$2:$C75,"&lt;="&amp;$Q$1,'Form responses'!$G$2:$G75,$J$1)</f>
        <v>7</v>
      </c>
      <c r="H17" s="145">
        <f>sumifs('Form responses'!CN$2:CN75,'Form responses'!$C$2:$C75,"&gt;="&amp;$N$1,'Form responses'!$C$2:$C75,"&lt;="&amp;$Q$1,'Form responses'!$G$2:$G75,$J$1)</f>
        <v>76</v>
      </c>
      <c r="I17" s="145">
        <f>sumifs('Form responses'!CO$2:CO75,'Form responses'!$C$2:$C75,"&gt;="&amp;$N$1,'Form responses'!$C$2:$C75,"&lt;="&amp;$Q$1,'Form responses'!$G$2:$G75,$J$1)</f>
        <v>43</v>
      </c>
      <c r="K17" s="109">
        <f>sumifs('Form responses'!CP$2:CP75,'Form responses'!$C$2:$C75,"&gt;="&amp;$N$1,'Form responses'!$C$2:$C75,"&lt;="&amp;$Q$1,'Form responses'!$G$2:$G75,$J$1)</f>
        <v>588</v>
      </c>
      <c r="L17" s="109">
        <f>sumifs('Form responses'!CQ$2:CQ75,'Form responses'!$C$2:$C75,"&gt;="&amp;$N$1,'Form responses'!$C$2:$C75,"&lt;="&amp;$Q$1,'Form responses'!$G$2:$G75,$J$1)</f>
        <v>312</v>
      </c>
      <c r="M17" s="109">
        <f>sumifs('Form responses'!CR$2:CR75,'Form responses'!$C$2:$C75,"&gt;="&amp;$N$1,'Form responses'!$C$2:$C75,"&lt;="&amp;$Q$1,'Form responses'!$G$2:$G75,$J$1)</f>
        <v>0</v>
      </c>
      <c r="N17" s="109">
        <f>sumifs('Form responses'!CS$2:CS75,'Form responses'!$C$2:$C75,"&gt;="&amp;$N$1,'Form responses'!$C$2:$C75,"&lt;="&amp;$Q$1,'Form responses'!$G$2:$G75,$J$1)</f>
        <v>0</v>
      </c>
      <c r="P17" s="109">
        <f>sumifs('Form responses'!CT$2:CT75,'Form responses'!$C$2:$C75,"&gt;="&amp;$N$1,'Form responses'!$C$2:$C75,"&lt;="&amp;$Q$1,'Form responses'!$G$2:$G75,$J$1)</f>
        <v>144</v>
      </c>
      <c r="Q17" s="109">
        <f>sumifs('Form responses'!CU$2:CU75,'Form responses'!$C$2:$C75,"&gt;="&amp;$N$1,'Form responses'!$C$2:$C75,"&lt;="&amp;$Q$1,'Form responses'!$G$2:$G75,$J$1)</f>
        <v>56</v>
      </c>
      <c r="R17" s="109">
        <f>sumifs('Form responses'!CV$2:CV75,'Form responses'!$C$2:$C75,"&gt;="&amp;$N$1,'Form responses'!$C$2:$C75,"&lt;="&amp;$Q$1,'Form responses'!$G$2:$G75,$J$1)</f>
        <v>0</v>
      </c>
      <c r="S17" s="109">
        <f>sumifs('Form responses'!CW$2:CW75,'Form responses'!$C$2:$C75,"&gt;="&amp;$N$1,'Form responses'!$C$2:$C75,"&lt;="&amp;$Q$1,'Form responses'!$G$2:$G75,$J$1)</f>
        <v>0</v>
      </c>
      <c r="T17" s="109">
        <f>sumifs('Form responses'!CX$2:CX75,'Form responses'!$C$2:$C75,"&gt;="&amp;$N$1,'Form responses'!$C$2:$C75,"&lt;="&amp;$Q$1,'Form responses'!$G$2:$G75,$J$1)</f>
        <v>0</v>
      </c>
      <c r="U17" s="109">
        <f>sumifs('Form responses'!CY$2:CY75,'Form responses'!$C$2:$C75,"&gt;="&amp;$N$1,'Form responses'!$C$2:$C75,"&lt;="&amp;$Q$1,'Form responses'!$G$2:$G75,$J$1)</f>
        <v>0</v>
      </c>
      <c r="V17" s="109">
        <f>sumifs('Form responses'!CZ$2:CZ75,'Form responses'!$C$2:$C75,"&gt;="&amp;$N$1,'Form responses'!$C$2:$C75,"&lt;="&amp;$Q$1,'Form responses'!$G$2:$G75,$J$1)</f>
        <v>0</v>
      </c>
      <c r="W17" s="109">
        <f>sumifs('Form responses'!DA$2:DA75,'Form responses'!$C$2:$C75,"&gt;="&amp;$N$1,'Form responses'!$C$2:$C75,"&lt;="&amp;$Q$1,'Form responses'!$G$2:$G75,$J$1)</f>
        <v>0</v>
      </c>
      <c r="X17" s="146"/>
      <c r="Y17" s="146"/>
      <c r="Z17" s="146"/>
      <c r="AA17" s="146"/>
    </row>
    <row r="18" ht="24.75" customHeight="1">
      <c r="A18" s="147"/>
      <c r="B18" s="148">
        <f>sumifs('Form responses'!CH$2:CH75,'Form responses'!$C$2:$C75,"&gt;="&amp;Date(YEAR(DATE(YEAR($Q$1),MONTH($Q$1)+(-3),1)),4,1),'Form responses'!$C$2:$C75,"&lt;="&amp;$Q$1,'Form responses'!$G$2:$G75,$J$1)</f>
        <v>0</v>
      </c>
      <c r="C18" s="109">
        <f>sumifs('Form responses'!CI$2:CI75,'Form responses'!$C$2:$C75,"&gt;="&amp;Date(YEAR(DATE(YEAR($Q$1),MONTH($Q$1)+(-3),1)),4,1),'Form responses'!$C$2:$C75,"&lt;="&amp;$Q$1,'Form responses'!$G$2:$G75,$J$1)</f>
        <v>0</v>
      </c>
      <c r="D18" s="109">
        <f>sumifs('Form responses'!CJ$2:CJ75,'Form responses'!$C$2:$C75,"&gt;="&amp;Date(YEAR(DATE(YEAR($Q$1),MONTH($Q$1)+(-3),1)),4,1),'Form responses'!$C$2:$C75,"&lt;="&amp;$Q$1,'Form responses'!$G$2:$G75,$J$1)</f>
        <v>0</v>
      </c>
      <c r="E18" s="109">
        <f>sumifs('Form responses'!CK$2:CK75,'Form responses'!$C$2:$C75,"&gt;="&amp;Date(YEAR(DATE(YEAR($Q$1),MONTH($Q$1)+(-3),1)),4,1),'Form responses'!$C$2:$C75,"&lt;="&amp;$Q$1,'Form responses'!$G$2:$G75,$J$1)</f>
        <v>0</v>
      </c>
      <c r="F18" s="109">
        <f>sumifs('Form responses'!CL$2:CL75,'Form responses'!$C$2:$C75,"&gt;="&amp;Date(YEAR(DATE(YEAR($Q$1),MONTH($Q$1)+(-3),1)),4,1),'Form responses'!$C$2:$C75,"&lt;="&amp;$Q$1,'Form responses'!$G$2:$G75,$J$1)</f>
        <v>14</v>
      </c>
      <c r="G18" s="109">
        <f>sumifs('Form responses'!CM$2:CM75,'Form responses'!$C$2:$C75,"&gt;="&amp;Date(YEAR(DATE(YEAR($Q$1),MONTH($Q$1)+(-3),1)),4,1),'Form responses'!$C$2:$C75,"&lt;="&amp;$Q$1,'Form responses'!$G$2:$G75,$J$1)</f>
        <v>7</v>
      </c>
      <c r="H18" s="109">
        <f>sumifs('Form responses'!CN$2:CN75,'Form responses'!$C$2:$C75,"&gt;="&amp;Date(YEAR(DATE(YEAR($Q$1),MONTH($Q$1)+(-3),1)),4,1),'Form responses'!$C$2:$C75,"&lt;="&amp;$Q$1,'Form responses'!$G$2:$G75,$J$1)</f>
        <v>76</v>
      </c>
      <c r="I18" s="109">
        <f>sumifs('Form responses'!CO$2:CO75,'Form responses'!$C$2:$C75,"&gt;="&amp;Date(YEAR(DATE(YEAR($Q$1),MONTH($Q$1)+(-3),1)),4,1),'Form responses'!$C$2:$C75,"&lt;="&amp;$Q$1,'Form responses'!$G$2:$G75,$J$1)</f>
        <v>43</v>
      </c>
      <c r="K18" s="109">
        <f>sumifs('Form responses'!CP$2:CP75,'Form responses'!$C$2:$C75,"&gt;="&amp;Date(YEAR(DATE(YEAR($Q$1),MONTH($Q$1)+(-3),1)),4,1),'Form responses'!$C$2:$C75,"&lt;="&amp;$Q$1,'Form responses'!$G$2:$G75,$J$1)</f>
        <v>588</v>
      </c>
      <c r="L18" s="109">
        <f>sumifs('Form responses'!CQ$2:CQ75,'Form responses'!$C$2:$C75,"&gt;="&amp;Date(YEAR(DATE(YEAR($Q$1),MONTH($Q$1)+(-3),1)),4,1),'Form responses'!$C$2:$C75,"&lt;="&amp;$Q$1,'Form responses'!$G$2:$G75,$J$1)</f>
        <v>312</v>
      </c>
      <c r="M18" s="109">
        <f>sumifs('Form responses'!CR$2:CR75,'Form responses'!$C$2:$C75,"&gt;="&amp;Date(YEAR(DATE(YEAR($Q$1),MONTH($Q$1)+(-3),1)),4,1),'Form responses'!$C$2:$C75,"&lt;="&amp;$Q$1,'Form responses'!$G$2:$G75,$J$1)</f>
        <v>0</v>
      </c>
      <c r="N18" s="109">
        <f>sumifs('Form responses'!CS$2:CS75,'Form responses'!$C$2:$C75,"&gt;="&amp;Date(YEAR(DATE(YEAR($Q$1),MONTH($Q$1)+(-3),1)),4,1),'Form responses'!$C$2:$C75,"&lt;="&amp;$Q$1,'Form responses'!$G$2:$G75,$J$1)</f>
        <v>0</v>
      </c>
      <c r="P18" s="109">
        <f>sumifs('Form responses'!CT$2:CT75,'Form responses'!$C$2:$C75,"&gt;="&amp;Date(YEAR(DATE(YEAR($Q$1),MONTH($Q$1)+(-3),1)),4,1),'Form responses'!$C$2:$C75,"&lt;="&amp;$Q$1,'Form responses'!$G$2:$G75,$J$1)</f>
        <v>144</v>
      </c>
      <c r="Q18" s="109">
        <f>sumifs('Form responses'!CU$2:CU75,'Form responses'!$C$2:$C75,"&gt;="&amp;Date(YEAR(DATE(YEAR($Q$1),MONTH($Q$1)+(-3),1)),4,1),'Form responses'!$C$2:$C75,"&lt;="&amp;$Q$1,'Form responses'!$G$2:$G75,$J$1)</f>
        <v>56</v>
      </c>
      <c r="R18" s="109">
        <f>sumifs('Form responses'!CV$2:CV75,'Form responses'!$C$2:$C75,"&gt;="&amp;Date(YEAR(DATE(YEAR($Q$1),MONTH($Q$1)+(-3),1)),4,1),'Form responses'!$C$2:$C75,"&lt;="&amp;$Q$1,'Form responses'!$G$2:$G75,$J$1)</f>
        <v>0</v>
      </c>
      <c r="S18" s="109">
        <f>sumifs('Form responses'!CW$2:CW75,'Form responses'!$C$2:$C75,"&gt;="&amp;Date(YEAR(DATE(YEAR($Q$1),MONTH($Q$1)+(-3),1)),4,1),'Form responses'!$C$2:$C75,"&lt;="&amp;$Q$1,'Form responses'!$G$2:$G75,$J$1)</f>
        <v>0</v>
      </c>
      <c r="T18" s="109">
        <f>sumifs('Form responses'!CX$2:CX75,'Form responses'!$C$2:$C75,"&gt;="&amp;Date(YEAR(DATE(YEAR($Q$1),MONTH($Q$1)+(-3),1)),4,1),'Form responses'!$C$2:$C75,"&lt;="&amp;$Q$1,'Form responses'!$G$2:$G75,$J$1)</f>
        <v>0</v>
      </c>
      <c r="U18" s="109">
        <f>sumifs('Form responses'!CY$2:CY75,'Form responses'!$C$2:$C75,"&gt;="&amp;Date(YEAR(DATE(YEAR($Q$1),MONTH($Q$1)+(-3),1)),4,1),'Form responses'!$C$2:$C75,"&lt;="&amp;$Q$1,'Form responses'!$G$2:$G75,$J$1)</f>
        <v>0</v>
      </c>
      <c r="V18" s="109">
        <f>sumifs('Form responses'!CZ$2:CZ75,'Form responses'!$C$2:$C75,"&gt;="&amp;Date(YEAR(DATE(YEAR($Q$1),MONTH($Q$1)+(-3),1)),4,1),'Form responses'!$C$2:$C75,"&lt;="&amp;$Q$1,'Form responses'!$G$2:$G75,$J$1)</f>
        <v>0</v>
      </c>
      <c r="W18" s="109">
        <f>sumifs('Form responses'!DA$2:DA75,'Form responses'!$C$2:$C75,"&gt;="&amp;Date(YEAR(DATE(YEAR($Q$1),MONTH($Q$1)+(-3),1)),4,1),'Form responses'!$C$2:$C75,"&lt;="&amp;$Q$1,'Form responses'!$G$2:$G75,$J$1)</f>
        <v>0</v>
      </c>
      <c r="X18" s="146"/>
      <c r="Y18" s="146"/>
      <c r="Z18" s="146"/>
      <c r="AA18" s="146"/>
    </row>
    <row r="19" ht="16.5" customHeight="1">
      <c r="A19" s="117"/>
      <c r="B19" s="118" t="s">
        <v>520</v>
      </c>
      <c r="C19" s="149"/>
      <c r="D19" s="149"/>
      <c r="E19" s="149"/>
      <c r="F19" s="149"/>
      <c r="G19" s="149"/>
      <c r="H19" s="149"/>
      <c r="I19" s="149"/>
      <c r="J19" s="128"/>
      <c r="K19" s="128"/>
      <c r="L19" s="128"/>
      <c r="M19" s="119"/>
      <c r="N19" s="119"/>
      <c r="O19" s="119"/>
      <c r="P19" s="119"/>
      <c r="Q19" s="119"/>
      <c r="R19" s="119"/>
      <c r="S19" s="119"/>
      <c r="T19" s="119"/>
      <c r="U19" s="141"/>
      <c r="V19" s="141"/>
      <c r="W19" s="131"/>
      <c r="X19" s="131"/>
      <c r="Y19" s="131"/>
      <c r="Z19" s="131"/>
      <c r="AA19" s="131"/>
    </row>
    <row r="20" ht="53.25" customHeight="1">
      <c r="A20" s="150"/>
      <c r="B20" s="151" t="str">
        <f>'Form responses'!DL1</f>
        <v>HF Male Calves</v>
      </c>
      <c r="C20" s="104" t="str">
        <f>'Form responses'!DM1</f>
        <v>HF female Calves</v>
      </c>
      <c r="D20" s="104" t="str">
        <f>'Form responses'!DN1</f>
        <v>Jersey Male Calves</v>
      </c>
      <c r="E20" s="104" t="str">
        <f>'Form responses'!DO1</f>
        <v>Jersey female Calves</v>
      </c>
      <c r="F20" s="104" t="str">
        <f>'Form responses'!DP1</f>
        <v>Cross Breed Male Calves</v>
      </c>
      <c r="G20" s="104" t="str">
        <f>'Form responses'!DQ1</f>
        <v>Cross Breed female Calves</v>
      </c>
      <c r="H20" s="104" t="str">
        <f>'Form responses'!DR1</f>
        <v>Sahiwal Male Calves</v>
      </c>
      <c r="I20" s="104" t="str">
        <f>'Form responses'!DS1</f>
        <v>Sahiwal female Calves</v>
      </c>
      <c r="K20" s="104" t="str">
        <f>'Form responses'!DT1</f>
        <v>HF ETT Male Calves</v>
      </c>
      <c r="L20" s="104" t="str">
        <f>'Form responses'!DU1</f>
        <v>HF ETT female Calves</v>
      </c>
      <c r="M20" s="104" t="str">
        <f>'Form responses'!DV1</f>
        <v>Jersey ETT Male Calves</v>
      </c>
      <c r="N20" s="104" t="str">
        <f>'Form responses'!DW1</f>
        <v>Jersey ETT female Calves</v>
      </c>
      <c r="P20" s="104" t="str">
        <f>'Form responses'!DX1</f>
        <v>Sexed HF Male Calves</v>
      </c>
      <c r="Q20" s="104" t="str">
        <f>'Form responses'!DY1</f>
        <v>Sexed HF female Calves</v>
      </c>
      <c r="R20" s="104" t="str">
        <f>'Form responses'!DZ1</f>
        <v>Jersey Sexed Male Calves</v>
      </c>
      <c r="S20" s="104" t="str">
        <f>'Form responses'!EA1</f>
        <v>Jersey Sexed female Calves</v>
      </c>
      <c r="T20" s="104" t="str">
        <f>'Form responses'!EB1</f>
        <v>CB Sexed Male Calves</v>
      </c>
      <c r="U20" s="104" t="str">
        <f>'Form responses'!EC1</f>
        <v>CB Sexed female Calves</v>
      </c>
      <c r="V20" s="104" t="str">
        <f>'Form responses'!ED1</f>
        <v>Sahiwal Sexed Male Calves</v>
      </c>
      <c r="W20" s="104" t="str">
        <f>'Form responses'!EE1</f>
        <v>Sahiwal Sexed female Calves</v>
      </c>
      <c r="X20" s="142"/>
      <c r="Y20" s="142"/>
      <c r="Z20" s="142"/>
      <c r="AA20" s="142"/>
    </row>
    <row r="21" ht="24.75" customHeight="1">
      <c r="A21" s="144"/>
      <c r="B21" s="109">
        <f>sumifs('Form responses'!DL$2:DL75,'Form responses'!$C$2:$C75,"&gt;="&amp;$N$1,'Form responses'!$C$2:$C75,"&lt;="&amp;$Q$1,'Form responses'!$G$2:$G75,$J$1)</f>
        <v>6</v>
      </c>
      <c r="C21" s="109">
        <f>sumifs('Form responses'!DM$2:DM75,'Form responses'!$C$2:$C75,"&gt;="&amp;$N$1,'Form responses'!$C$2:$C75,"&lt;="&amp;$Q$1,'Form responses'!$G$2:$G75,$J$1)</f>
        <v>2</v>
      </c>
      <c r="D21" s="109">
        <f>sumifs('Form responses'!DN$2:DN75,'Form responses'!$C$2:$C75,"&gt;="&amp;$N$1,'Form responses'!$C$2:$C75,"&lt;="&amp;$Q$1,'Form responses'!$G$2:$G75,$J$1)</f>
        <v>1</v>
      </c>
      <c r="E21" s="109">
        <f>sumifs('Form responses'!DO$2:DO75,'Form responses'!$C$2:$C75,"&gt;="&amp;$N$1,'Form responses'!$C$2:$C75,"&lt;="&amp;$Q$1,'Form responses'!$G$2:$G75,$J$1)</f>
        <v>1</v>
      </c>
      <c r="F21" s="109">
        <f>sumifs('Form responses'!DP$2:DP75,'Form responses'!$C$2:$C75,"&gt;="&amp;$N$1,'Form responses'!$C$2:$C75,"&lt;="&amp;$Q$1,'Form responses'!$G$2:$G75,$J$1)</f>
        <v>3</v>
      </c>
      <c r="G21" s="109">
        <f>sumifs('Form responses'!DQ$2:DQ75,'Form responses'!$C$2:$C75,"&gt;="&amp;$N$1,'Form responses'!$C$2:$C75,"&lt;="&amp;$Q$1,'Form responses'!$G$2:$G75,$J$1)</f>
        <v>2</v>
      </c>
      <c r="H21" s="109">
        <f>sumifs('Form responses'!DR$2:DR75,'Form responses'!$C$2:$C75,"&gt;="&amp;$N$1,'Form responses'!$C$2:$C75,"&lt;="&amp;$Q$1,'Form responses'!$G$2:$G75,$J$1)</f>
        <v>25</v>
      </c>
      <c r="I21" s="109">
        <f>sumifs('Form responses'!DS$2:DS75,'Form responses'!$C$2:$C75,"&gt;="&amp;$N$1,'Form responses'!$C$2:$C75,"&lt;="&amp;$Q$1,'Form responses'!$G$2:$G75,$J$1)</f>
        <v>28</v>
      </c>
      <c r="K21" s="109">
        <f>sumifs('Form responses'!DT$2:DT75,'Form responses'!$C$2:$C75,"&gt;="&amp;$N$1,'Form responses'!$C$2:$C75,"&lt;="&amp;$Q$1,'Form responses'!$G$2:$G75,$J$1)</f>
        <v>111</v>
      </c>
      <c r="L21" s="109">
        <f>sumifs('Form responses'!DU$2:DU75,'Form responses'!$C$2:$C75,"&gt;="&amp;$N$1,'Form responses'!$C$2:$C75,"&lt;="&amp;$Q$1,'Form responses'!$G$2:$G75,$J$1)</f>
        <v>103</v>
      </c>
      <c r="M21" s="109">
        <f>sumifs('Form responses'!DV$2:DV75,'Form responses'!$C$2:$C75,"&gt;="&amp;$N$1,'Form responses'!$C$2:$C75,"&lt;="&amp;$Q$1,'Form responses'!$G$2:$G75,$J$1)</f>
        <v>0</v>
      </c>
      <c r="N21" s="109">
        <f>sumifs('Form responses'!DW$2:DW75,'Form responses'!$C$2:$C75,"&gt;="&amp;$N$1,'Form responses'!$C$2:$C75,"&lt;="&amp;$Q$1,'Form responses'!$G$2:$G75,$J$1)</f>
        <v>0</v>
      </c>
      <c r="P21" s="109">
        <f>sumifs('Form responses'!DX$2:DX75,'Form responses'!$C$2:$C75,"&gt;="&amp;$N$1,'Form responses'!$C$2:$C75,"&lt;="&amp;$Q$1,'Form responses'!$G$2:$G75,$J$1)</f>
        <v>0</v>
      </c>
      <c r="Q21" s="109">
        <f>sumifs('Form responses'!DY$2:DY75,'Form responses'!$C$2:$C75,"&gt;="&amp;$N$1,'Form responses'!$C$2:$C75,"&lt;="&amp;$Q$1,'Form responses'!$G$2:$G75,$J$1)</f>
        <v>15</v>
      </c>
      <c r="R21" s="109">
        <f>sumifs('Form responses'!DZ$2:DZ75,'Form responses'!$C$2:$C75,"&gt;="&amp;$N$1,'Form responses'!$C$2:$C75,"&lt;="&amp;$Q$1,'Form responses'!$G$2:$G75,$J$1)</f>
        <v>0</v>
      </c>
      <c r="S21" s="109">
        <f>sumifs('Form responses'!EA$2:EA75,'Form responses'!$C$2:$C75,"&gt;="&amp;$N$1,'Form responses'!$C$2:$C75,"&lt;="&amp;$Q$1,'Form responses'!$G$2:$G75,$J$1)</f>
        <v>0</v>
      </c>
      <c r="T21" s="109">
        <f>sumifs('Form responses'!EB$2:EB75,'Form responses'!$C$2:$C75,"&gt;="&amp;$N$1,'Form responses'!$C$2:$C75,"&lt;="&amp;$Q$1,'Form responses'!$G$2:$G75,$J$1)</f>
        <v>0</v>
      </c>
      <c r="U21" s="109">
        <f>sumifs('Form responses'!EC$2:EC75,'Form responses'!$C$2:$C75,"&gt;="&amp;$N$1,'Form responses'!$C$2:$C75,"&lt;="&amp;$Q$1,'Form responses'!$G$2:$G75,$J$1)</f>
        <v>0</v>
      </c>
      <c r="V21" s="109">
        <f>sumifs('Form responses'!ED$2:ED75,'Form responses'!$C$2:$C75,"&gt;="&amp;$N$1,'Form responses'!$C$2:$C75,"&lt;="&amp;$Q$1,'Form responses'!$G$2:$G75,$J$1)</f>
        <v>0</v>
      </c>
      <c r="W21" s="109">
        <f>sumifs('Form responses'!EE$2:EE75,'Form responses'!$C$2:$C75,"&gt;="&amp;$N$1,'Form responses'!$C$2:$C75,"&lt;="&amp;$Q$1,'Form responses'!$G$2:$G75,$J$1)</f>
        <v>0</v>
      </c>
      <c r="X21" s="146"/>
      <c r="Y21" s="146"/>
      <c r="Z21" s="146"/>
      <c r="AA21" s="146"/>
    </row>
    <row r="22" ht="24.75" customHeight="1">
      <c r="A22" s="147"/>
      <c r="B22" s="109">
        <f>sumifs('Form responses'!DL$2:DL75,'Form responses'!$C$2:$C75,"&gt;="&amp;Date(YEAR(DATE(YEAR($Q$1),MONTH($Q$1)+(-3),1)),4,1),'Form responses'!$C$2:$C75,"&lt;="&amp;$Q$1,'Form responses'!$G$2:$G75,$J$1)</f>
        <v>6</v>
      </c>
      <c r="C22" s="109">
        <f>sumifs('Form responses'!DM$2:DM75,'Form responses'!$C$2:$C75,"&gt;="&amp;Date(YEAR(DATE(YEAR($Q$1),MONTH($Q$1)+(-3),1)),4,1),'Form responses'!$C$2:$C75,"&lt;="&amp;$Q$1,'Form responses'!$G$2:$G75,$J$1)</f>
        <v>2</v>
      </c>
      <c r="D22" s="109">
        <f>sumifs('Form responses'!DN$2:DN75,'Form responses'!$C$2:$C75,"&gt;="&amp;Date(YEAR(DATE(YEAR($Q$1),MONTH($Q$1)+(-3),1)),4,1),'Form responses'!$C$2:$C75,"&lt;="&amp;$Q$1,'Form responses'!$G$2:$G75,$J$1)</f>
        <v>1</v>
      </c>
      <c r="E22" s="109">
        <f>sumifs('Form responses'!DO$2:DO75,'Form responses'!$C$2:$C75,"&gt;="&amp;Date(YEAR(DATE(YEAR($Q$1),MONTH($Q$1)+(-3),1)),4,1),'Form responses'!$C$2:$C75,"&lt;="&amp;$Q$1,'Form responses'!$G$2:$G75,$J$1)</f>
        <v>1</v>
      </c>
      <c r="F22" s="109">
        <f>sumifs('Form responses'!DP$2:DP75,'Form responses'!$C$2:$C75,"&gt;="&amp;Date(YEAR(DATE(YEAR($Q$1),MONTH($Q$1)+(-3),1)),4,1),'Form responses'!$C$2:$C75,"&lt;="&amp;$Q$1,'Form responses'!$G$2:$G75,$J$1)</f>
        <v>3</v>
      </c>
      <c r="G22" s="109">
        <f>sumifs('Form responses'!DQ$2:DQ75,'Form responses'!$C$2:$C75,"&gt;="&amp;Date(YEAR(DATE(YEAR($Q$1),MONTH($Q$1)+(-3),1)),4,1),'Form responses'!$C$2:$C75,"&lt;="&amp;$Q$1,'Form responses'!$G$2:$G75,$J$1)</f>
        <v>2</v>
      </c>
      <c r="H22" s="109">
        <f>sumifs('Form responses'!DR$2:DR75,'Form responses'!$C$2:$C75,"&gt;="&amp;Date(YEAR(DATE(YEAR($Q$1),MONTH($Q$1)+(-3),1)),4,1),'Form responses'!$C$2:$C75,"&lt;="&amp;$Q$1,'Form responses'!$G$2:$G75,$J$1)</f>
        <v>25</v>
      </c>
      <c r="I22" s="109">
        <f>sumifs('Form responses'!DS$2:DS75,'Form responses'!$C$2:$C75,"&gt;="&amp;Date(YEAR(DATE(YEAR($Q$1),MONTH($Q$1)+(-3),1)),4,1),'Form responses'!$C$2:$C75,"&lt;="&amp;$Q$1,'Form responses'!$G$2:$G75,$J$1)</f>
        <v>28</v>
      </c>
      <c r="K22" s="109">
        <f>sumifs('Form responses'!DT$2:DT75,'Form responses'!$C$2:$C75,"&gt;="&amp;Date(YEAR(DATE(YEAR($Q$1),MONTH($Q$1)+(-3),1)),4,1),'Form responses'!$C$2:$C75,"&lt;="&amp;$Q$1,'Form responses'!$G$2:$G75,$J$1)</f>
        <v>111</v>
      </c>
      <c r="L22" s="109">
        <f>sumifs('Form responses'!DU$2:DU75,'Form responses'!$C$2:$C75,"&gt;="&amp;Date(YEAR(DATE(YEAR($Q$1),MONTH($Q$1)+(-3),1)),4,1),'Form responses'!$C$2:$C75,"&lt;="&amp;$Q$1,'Form responses'!$G$2:$G75,$J$1)</f>
        <v>103</v>
      </c>
      <c r="M22" s="109">
        <f>sumifs('Form responses'!DV$2:DV75,'Form responses'!$C$2:$C75,"&gt;="&amp;Date(YEAR(DATE(YEAR($Q$1),MONTH($Q$1)+(-3),1)),4,1),'Form responses'!$C$2:$C75,"&lt;="&amp;$Q$1,'Form responses'!$G$2:$G75,$J$1)</f>
        <v>0</v>
      </c>
      <c r="N22" s="109">
        <f>sumifs('Form responses'!DW$2:DW75,'Form responses'!$C$2:$C75,"&gt;="&amp;Date(YEAR(DATE(YEAR($Q$1),MONTH($Q$1)+(-3),1)),4,1),'Form responses'!$C$2:$C75,"&lt;="&amp;$Q$1,'Form responses'!$G$2:$G75,$J$1)</f>
        <v>0</v>
      </c>
      <c r="P22" s="109">
        <f>sumifs('Form responses'!DX$2:DX75,'Form responses'!$C$2:$C75,"&gt;="&amp;Date(YEAR(DATE(YEAR($Q$1),MONTH($Q$1)+(-3),1)),4,1),'Form responses'!$C$2:$C75,"&lt;="&amp;$Q$1,'Form responses'!$G$2:$G75,$J$1)</f>
        <v>0</v>
      </c>
      <c r="Q22" s="109">
        <f>sumifs('Form responses'!DY$2:DY75,'Form responses'!$C$2:$C75,"&gt;="&amp;Date(YEAR(DATE(YEAR($Q$1),MONTH($Q$1)+(-3),1)),4,1),'Form responses'!$C$2:$C75,"&lt;="&amp;$Q$1,'Form responses'!$G$2:$G75,$J$1)</f>
        <v>15</v>
      </c>
      <c r="R22" s="109">
        <f>sumifs('Form responses'!DZ$2:DZ75,'Form responses'!$C$2:$C75,"&gt;="&amp;Date(YEAR(DATE(YEAR($Q$1),MONTH($Q$1)+(-3),1)),4,1),'Form responses'!$C$2:$C75,"&lt;="&amp;$Q$1,'Form responses'!$G$2:$G75,$J$1)</f>
        <v>0</v>
      </c>
      <c r="S22" s="109">
        <f>sumifs('Form responses'!EA$2:EA75,'Form responses'!$C$2:$C75,"&gt;="&amp;Date(YEAR(DATE(YEAR($Q$1),MONTH($Q$1)+(-3),1)),4,1),'Form responses'!$C$2:$C75,"&lt;="&amp;$Q$1,'Form responses'!$G$2:$G75,$J$1)</f>
        <v>0</v>
      </c>
      <c r="T22" s="109">
        <f>sumifs('Form responses'!EB$2:EB75,'Form responses'!$C$2:$C75,"&gt;="&amp;Date(YEAR(DATE(YEAR($Q$1),MONTH($Q$1)+(-3),1)),4,1),'Form responses'!$C$2:$C75,"&lt;="&amp;$Q$1,'Form responses'!$G$2:$G75,$J$1)</f>
        <v>0</v>
      </c>
      <c r="U22" s="109">
        <f>sumifs('Form responses'!EC$2:EC75,'Form responses'!$C$2:$C75,"&gt;="&amp;Date(YEAR(DATE(YEAR($Q$1),MONTH($Q$1)+(-3),1)),4,1),'Form responses'!$C$2:$C75,"&lt;="&amp;$Q$1,'Form responses'!$G$2:$G75,$J$1)</f>
        <v>0</v>
      </c>
      <c r="V22" s="109">
        <f>sumifs('Form responses'!ED$2:ED75,'Form responses'!$C$2:$C75,"&gt;="&amp;Date(YEAR(DATE(YEAR($Q$1),MONTH($Q$1)+(-3),1)),4,1),'Form responses'!$C$2:$C75,"&lt;="&amp;$Q$1,'Form responses'!$G$2:$G75,$J$1)</f>
        <v>0</v>
      </c>
      <c r="W22" s="109">
        <f>sumifs('Form responses'!EE$2:EE75,'Form responses'!$C$2:$C75,"&gt;="&amp;Date(YEAR(DATE(YEAR($Q$1),MONTH($Q$1)+(-3),1)),4,1),'Form responses'!$C$2:$C75,"&lt;="&amp;$Q$1,'Form responses'!$G$2:$G75,$J$1)</f>
        <v>0</v>
      </c>
      <c r="X22" s="146"/>
      <c r="Y22" s="146"/>
      <c r="Z22" s="146"/>
      <c r="AA22" s="146"/>
    </row>
    <row r="23" ht="20.25" customHeight="1">
      <c r="A23" s="117"/>
      <c r="B23" s="152" t="s">
        <v>521</v>
      </c>
      <c r="C23" s="153"/>
      <c r="D23" s="153"/>
      <c r="E23" s="153"/>
      <c r="F23" s="153"/>
      <c r="G23" s="119"/>
      <c r="H23" s="119"/>
      <c r="I23" s="154"/>
      <c r="J23" s="154"/>
      <c r="K23" s="155" t="s">
        <v>522</v>
      </c>
      <c r="L23" s="156"/>
      <c r="M23" s="156"/>
      <c r="N23" s="156"/>
      <c r="O23" s="156"/>
      <c r="P23" s="154"/>
      <c r="Q23" s="154"/>
      <c r="R23" s="154"/>
      <c r="T23" s="157" t="s">
        <v>523</v>
      </c>
      <c r="U23" s="149"/>
      <c r="V23" s="149"/>
      <c r="W23" s="149"/>
      <c r="X23" s="149"/>
      <c r="Y23" s="154"/>
      <c r="Z23" s="158"/>
      <c r="AA23" s="158"/>
    </row>
    <row r="24" ht="63.75" customHeight="1">
      <c r="A24" s="159"/>
      <c r="B24" s="160" t="str">
        <f>'Form responses'!BZ1</f>
        <v>AI Done With Murrah Straws</v>
      </c>
      <c r="C24" s="161" t="str">
        <f>'Form responses'!CA1</f>
        <v>Cover Murrah Straws</v>
      </c>
      <c r="D24" s="161" t="str">
        <f>'Form responses'!CB1</f>
        <v>AI Nili-Ravi Straws</v>
      </c>
      <c r="E24" s="161" t="str">
        <f>'Form responses'!CC1</f>
        <v>Cover Nili-Ravi Straws</v>
      </c>
      <c r="F24" s="162" t="s">
        <v>524</v>
      </c>
      <c r="G24" s="161" t="str">
        <f>'Form responses'!CD1</f>
        <v>AI Sexed MU Straws</v>
      </c>
      <c r="H24" s="161" t="str">
        <f>'Form responses'!CE1</f>
        <v>Cover Sexed MU Straws</v>
      </c>
      <c r="I24" s="161" t="str">
        <f>'Form responses'!CF1</f>
        <v>AI Nili-Ravi Sexed Straws</v>
      </c>
      <c r="J24" s="163" t="str">
        <f>'Form responses'!CG1</f>
        <v>Buffalo Cover Nili-Ravi Sexed</v>
      </c>
      <c r="K24" s="164" t="s">
        <v>525</v>
      </c>
      <c r="L24" s="165" t="str">
        <f>'Form responses'!DB1</f>
        <v>Murrah Tested</v>
      </c>
      <c r="M24" s="166" t="str">
        <f>'Form responses'!DC1</f>
        <v>Murrah Found Postive</v>
      </c>
      <c r="N24" s="166" t="str">
        <f>'Form responses'!DD1</f>
        <v>Nili Ravi Tested</v>
      </c>
      <c r="O24" s="166" t="str">
        <f>'Form responses'!DE1</f>
        <v>Nili Found Postive</v>
      </c>
      <c r="P24" s="166" t="str">
        <f>'Form responses'!DF1</f>
        <v>Sexed MU Tested</v>
      </c>
      <c r="Q24" s="166" t="str">
        <f>'Form responses'!DG1</f>
        <v>Sexed MU Found Postive</v>
      </c>
      <c r="R24" s="166" t="str">
        <f>'Form responses'!DH1</f>
        <v>Nilli-ravi Sexed  tested</v>
      </c>
      <c r="S24" s="167" t="str">
        <f>'Form responses'!DI1</f>
        <v>Nilli-ravi Sexed  found Positive</v>
      </c>
      <c r="T24" s="165" t="str">
        <f>'Form responses'!EF1</f>
        <v>Murrah Male Calves</v>
      </c>
      <c r="U24" s="166" t="str">
        <f>'Form responses'!EG1</f>
        <v>Murrah Female Calves</v>
      </c>
      <c r="V24" s="166" t="str">
        <f>'Form responses'!EH1</f>
        <v>Nili Ravi Male Calves</v>
      </c>
      <c r="W24" s="166" t="str">
        <f>'Form responses'!EI1</f>
        <v>Nili Ravi Female Calves</v>
      </c>
      <c r="X24" s="166" t="str">
        <f>'Form responses'!EJ1</f>
        <v>Sexed MU Male Calves</v>
      </c>
      <c r="Y24" s="166" t="str">
        <f>'Form responses'!EK1</f>
        <v>Sexed MU female Calves</v>
      </c>
      <c r="Z24" s="166" t="str">
        <f>'Form responses'!EL1</f>
        <v>Nilli-Ravi Sexed Male Calves</v>
      </c>
      <c r="AA24" s="167" t="str">
        <f>'Form responses'!EM1</f>
        <v>Nilli-Ravi Sexed female Calves</v>
      </c>
    </row>
    <row r="25" ht="24.75" customHeight="1">
      <c r="A25" s="168"/>
      <c r="B25" s="145">
        <f>sumifs('Form responses'!BZ$2:BZ75,'Form responses'!$C$2:$C75,"&gt;="&amp;$N$1,'Form responses'!$C$2:$C75,"&lt;="&amp;$Q$1,'Form responses'!$G$2:$G75,$J$1)</f>
        <v>364</v>
      </c>
      <c r="C25" s="145">
        <f>sumifs('Form responses'!CA$2:CA75,'Form responses'!$C$2:$C75,"&gt;="&amp;$N$1,'Form responses'!$C$2:$C75,"&lt;="&amp;$Q$1,'Form responses'!$G$2:$G75,$J$1)</f>
        <v>270</v>
      </c>
      <c r="D25" s="145">
        <f>sumifs('Form responses'!CB$2:CB75,'Form responses'!$C$2:$C75,"&gt;="&amp;$N$1,'Form responses'!$C$2:$C75,"&lt;="&amp;$Q$1,'Form responses'!$G$2:$G75,$J$1)</f>
        <v>272</v>
      </c>
      <c r="E25" s="169">
        <f>sumifs('Form responses'!CC$2:CC75,'Form responses'!$C$2:$C75,"&gt;="&amp;$N$1,'Form responses'!$C$2:$C75,"&lt;="&amp;$Q$1,'Form responses'!$G$2:$G75,$J$1)</f>
        <v>184</v>
      </c>
      <c r="F25" s="136">
        <f t="shared" ref="F25:F26" si="7">B25+D25</f>
        <v>636</v>
      </c>
      <c r="G25" s="113">
        <f>sumifs('Form responses'!CD$2:CD75,'Form responses'!$C$2:$C75,"&gt;="&amp;$N$1,'Form responses'!$C$2:$C75,"&lt;="&amp;$Q$1,'Form responses'!$G$2:$G75,$J$1)</f>
        <v>0</v>
      </c>
      <c r="H25" s="109">
        <f>sumifs('Form responses'!CE$2:CE75,'Form responses'!$C$2:$C75,"&gt;="&amp;$N$1,'Form responses'!$C$2:$C75,"&lt;="&amp;$Q$1,'Form responses'!$G$2:$G75,$J$1)</f>
        <v>0</v>
      </c>
      <c r="I25" s="109">
        <f>sumifs('Form responses'!CF$2:CF75,'Form responses'!$C$2:$C75,"&gt;="&amp;$N$1,'Form responses'!$C$2:$C75,"&lt;="&amp;$Q$1,'Form responses'!$G$2:$G75,$J$1)</f>
        <v>0</v>
      </c>
      <c r="J25" s="110">
        <f>sumifs('Form responses'!CG$2:CG75,'Form responses'!$C$2:$C75,"&gt;="&amp;$N$1,'Form responses'!$C$2:$C75,"&lt;="&amp;$Q$1,'Form responses'!$G$2:$G75,$J$1)</f>
        <v>0</v>
      </c>
      <c r="K25" s="223">
        <f t="shared" ref="K25:K26" si="8">G25+I25</f>
        <v>0</v>
      </c>
      <c r="L25" s="113">
        <f>sumifs('Form responses'!DB$2:DB75,'Form responses'!$C$2:$C75,"&gt;="&amp;$N$1,'Form responses'!$C$2:$C75,"&lt;="&amp;$Q$1,'Form responses'!$G$2:$G75,$J$1)</f>
        <v>776</v>
      </c>
      <c r="M25" s="109">
        <f>sumifs('Form responses'!DC$2:DC75,'Form responses'!$C$2:$C75,"&gt;="&amp;$N$1,'Form responses'!$C$2:$C75,"&lt;="&amp;$Q$1,'Form responses'!$G$2:$G75,$J$1)</f>
        <v>430</v>
      </c>
      <c r="N25" s="109">
        <f>sumifs('Form responses'!DD$2:DD75,'Form responses'!$C$2:$C75,"&gt;="&amp;$N$1,'Form responses'!$C$2:$C75,"&lt;="&amp;$Q$1,'Form responses'!$G$2:$G75,$J$1)</f>
        <v>13</v>
      </c>
      <c r="O25" s="109">
        <f>sumifs('Form responses'!DE$2:DE75,'Form responses'!$C$2:$C75,"&gt;="&amp;$N$1,'Form responses'!$C$2:$C75,"&lt;="&amp;$Q$1,'Form responses'!$G$2:$G75,$J$1)</f>
        <v>8</v>
      </c>
      <c r="P25" s="109">
        <f>sumifs('Form responses'!DF$2:DF75,'Form responses'!$C$2:$C75,"&gt;="&amp;$N$1,'Form responses'!$C$2:$C75,"&lt;="&amp;$Q$1,'Form responses'!$G$2:$G75,$J$1)</f>
        <v>0</v>
      </c>
      <c r="Q25" s="109">
        <f>sumifs('Form responses'!DG$2:DG75,'Form responses'!$C$2:$C75,"&gt;="&amp;$N$1,'Form responses'!$C$2:$C75,"&lt;="&amp;$Q$1,'Form responses'!$G$2:$G75,$J$1)</f>
        <v>0</v>
      </c>
      <c r="R25" s="109">
        <f>sumifs('Form responses'!DH$2:DH75,'Form responses'!$C$2:$C75,"&gt;="&amp;$N$1,'Form responses'!$C$2:$C75,"&lt;="&amp;$Q$1,'Form responses'!$G$2:$G75,$J$1)</f>
        <v>0</v>
      </c>
      <c r="S25" s="170">
        <f>sumifs('Form responses'!DI$2:DI75,'Form responses'!$C$2:$C75,"&gt;="&amp;$N$1,'Form responses'!$C$2:$C75,"&lt;="&amp;$Q$1,'Form responses'!$G$2:$G75,$J$1)</f>
        <v>0</v>
      </c>
      <c r="T25" s="145">
        <f>sumifs('Form responses'!EF$2:EF75,'Form responses'!$C$2:$C75,"&gt;="&amp;$N$1,'Form responses'!$C$2:$C75,"&lt;="&amp;$Q$1,'Form responses'!$G$2:$G75,$J$1)</f>
        <v>66</v>
      </c>
      <c r="U25" s="109">
        <f>sumifs('Form responses'!EG$2:EG75,'Form responses'!$C$2:$C75,"&gt;="&amp;$N$1,'Form responses'!$C$2:$C75,"&lt;="&amp;$Q$1,'Form responses'!$G$2:$G75,$J$1)</f>
        <v>60</v>
      </c>
      <c r="V25" s="109">
        <f>sumifs('Form responses'!EH$2:EH75,'Form responses'!$C$2:$C75,"&gt;="&amp;$N$1,'Form responses'!$C$2:$C75,"&lt;="&amp;$Q$1,'Form responses'!$G$2:$G75,$J$1)</f>
        <v>21</v>
      </c>
      <c r="W25" s="109">
        <f>sumifs('Form responses'!EI$2:EI75,'Form responses'!$C$2:$C75,"&gt;="&amp;$N$1,'Form responses'!$C$2:$C75,"&lt;="&amp;$Q$1,'Form responses'!$G$2:$G75,$J$1)</f>
        <v>20</v>
      </c>
      <c r="X25" s="109">
        <f>sumifs('Form responses'!EJ$2:EJ75,'Form responses'!$C$2:$C75,"&gt;="&amp;$N$1,'Form responses'!$C$2:$C75,"&lt;="&amp;$Q$1,'Form responses'!$G$2:$G75,$J$1)</f>
        <v>0</v>
      </c>
      <c r="Y25" s="109">
        <f>sumifs('Form responses'!EK$2:EK75,'Form responses'!$C$2:$C75,"&gt;="&amp;$N$1,'Form responses'!$C$2:$C75,"&lt;="&amp;$Q$1,'Form responses'!$G$2:$G75,$J$1)</f>
        <v>0</v>
      </c>
      <c r="Z25" s="109">
        <f>sumifs('Form responses'!EL$2:EL75,'Form responses'!$C$2:$C75,"&gt;="&amp;$N$1,'Form responses'!$C$2:$C75,"&lt;="&amp;$Q$1,'Form responses'!$G$2:$G75,$J$1)</f>
        <v>0</v>
      </c>
      <c r="AA25" s="170">
        <f>sumifs('Form responses'!EM$2:EM75,'Form responses'!$C$2:$C75,"&gt;="&amp;$N$1,'Form responses'!$C$2:$C75,"&lt;="&amp;$Q$1,'Form responses'!$G$2:$G75,$J$1)</f>
        <v>0</v>
      </c>
    </row>
    <row r="26" ht="24.75" customHeight="1">
      <c r="A26" s="172"/>
      <c r="B26" s="148">
        <f>sumifs('Form responses'!BZ$2:BZ75,'Form responses'!$C$2:$C75,"&gt;="&amp;Date(YEAR(DATE(YEAR($Q$1),MONTH($Q$1)+(-3),1)),4,1),'Form responses'!$C$2:$C75,"&lt;="&amp;$Q$1,'Form responses'!$G$2:$G75,$J$1)</f>
        <v>364</v>
      </c>
      <c r="C26" s="173">
        <f>sumifs('Form responses'!CA$2:CA75,'Form responses'!$C$2:$C75,"&gt;="&amp;Date(YEAR(DATE(YEAR($Q$1),MONTH($Q$1)+(-3),1)),4,1),'Form responses'!$C$2:$C75,"&lt;="&amp;$Q$1,'Form responses'!$G$2:$G75,$J$1)</f>
        <v>270</v>
      </c>
      <c r="D26" s="173">
        <f>sumifs('Form responses'!CB$2:CB75,'Form responses'!$C$2:$C75,"&gt;="&amp;Date(YEAR(DATE(YEAR($Q$1),MONTH($Q$1)+(-3),1)),4,1),'Form responses'!$C$2:$C75,"&lt;="&amp;$Q$1,'Form responses'!$G$2:$G75,$J$1)</f>
        <v>272</v>
      </c>
      <c r="E26" s="174">
        <f>sumifs('Form responses'!CC$2:CC75,'Form responses'!$C$2:$C75,"&gt;="&amp;Date(YEAR(DATE(YEAR($Q$1),MONTH($Q$1)+(-3),1)),4,1),'Form responses'!$C$2:$C75,"&lt;="&amp;$Q$1,'Form responses'!$G$2:$G75,$J$1)</f>
        <v>184</v>
      </c>
      <c r="F26" s="175">
        <f t="shared" si="7"/>
        <v>636</v>
      </c>
      <c r="G26" s="176">
        <f>sumifs('Form responses'!CD$2:CD75,'Form responses'!$C$2:$C75,"&gt;="&amp;Date(YEAR(DATE(YEAR($Q$1),MONTH($Q$1)+(-3),1)),4,1),'Form responses'!$C$2:$C75,"&lt;="&amp;$Q$1,'Form responses'!$G$2:$G75,$J$1)</f>
        <v>0</v>
      </c>
      <c r="H26" s="173">
        <f>sumifs('Form responses'!CE$2:CE75,'Form responses'!$C$2:$C75,"&gt;="&amp;Date(YEAR(DATE(YEAR($Q$1),MONTH($Q$1)+(-3),1)),4,1),'Form responses'!$C$2:$C75,"&lt;="&amp;$Q$1,'Form responses'!$G$2:$G75,$J$1)</f>
        <v>0</v>
      </c>
      <c r="I26" s="173">
        <f>sumifs('Form responses'!CF$2:CF75,'Form responses'!$C$2:$C75,"&gt;="&amp;Date(YEAR(DATE(YEAR($Q$1),MONTH($Q$1)+(-3),1)),4,1),'Form responses'!$C$2:$C75,"&lt;="&amp;$Q$1,'Form responses'!$G$2:$G75,$J$1)</f>
        <v>0</v>
      </c>
      <c r="J26" s="177">
        <f>sumifs('Form responses'!CG$2:CG75,'Form responses'!$C$2:$C75,"&gt;="&amp;Date(YEAR(DATE(YEAR($Q$1),MONTH($Q$1)+(-3),1)),4,1),'Form responses'!$C$2:$C75,"&lt;="&amp;$Q$1,'Form responses'!$G$2:$G75,$J$1)</f>
        <v>0</v>
      </c>
      <c r="K26" s="224">
        <f t="shared" si="8"/>
        <v>0</v>
      </c>
      <c r="L26" s="148">
        <f>sumifs('Form responses'!DB$2:DB75,'Form responses'!$C$2:$C75,"&gt;="&amp;Date(YEAR(DATE(YEAR($Q$1),MONTH($Q$1)+(-3),1)),4,1),'Form responses'!$C$2:$C75,"&lt;="&amp;$Q$1,'Form responses'!$G$2:$G75,$J$1)</f>
        <v>776</v>
      </c>
      <c r="M26" s="173">
        <f>sumifs('Form responses'!DC$2:DC75,'Form responses'!$C$2:$C75,"&gt;="&amp;Date(YEAR(DATE(YEAR($Q$1),MONTH($Q$1)+(-3),1)),4,1),'Form responses'!$C$2:$C75,"&lt;="&amp;$Q$1,'Form responses'!$G$2:$G75,$J$1)</f>
        <v>430</v>
      </c>
      <c r="N26" s="173">
        <f>sumifs('Form responses'!DD$2:DD75,'Form responses'!$C$2:$C75,"&gt;="&amp;Date(YEAR(DATE(YEAR($Q$1),MONTH($Q$1)+(-3),1)),4,1),'Form responses'!$C$2:$C75,"&lt;="&amp;$Q$1,'Form responses'!$G$2:$G75,$J$1)</f>
        <v>13</v>
      </c>
      <c r="O26" s="173">
        <f>sumifs('Form responses'!DE$2:DE75,'Form responses'!$C$2:$C75,"&gt;="&amp;Date(YEAR(DATE(YEAR($Q$1),MONTH($Q$1)+(-3),1)),4,1),'Form responses'!$C$2:$C75,"&lt;="&amp;$Q$1,'Form responses'!$G$2:$G75,$J$1)</f>
        <v>8</v>
      </c>
      <c r="P26" s="173">
        <f>sumifs('Form responses'!DF$2:DF75,'Form responses'!$C$2:$C75,"&gt;="&amp;Date(YEAR(DATE(YEAR($Q$1),MONTH($Q$1)+(-3),1)),4,1),'Form responses'!$C$2:$C75,"&lt;="&amp;$Q$1,'Form responses'!$G$2:$G75,$J$1)</f>
        <v>0</v>
      </c>
      <c r="Q26" s="173">
        <f>sumifs('Form responses'!DG$2:DG75,'Form responses'!$C$2:$C75,"&gt;="&amp;Date(YEAR(DATE(YEAR($Q$1),MONTH($Q$1)+(-3),1)),4,1),'Form responses'!$C$2:$C75,"&lt;="&amp;$Q$1,'Form responses'!$G$2:$G75,$J$1)</f>
        <v>0</v>
      </c>
      <c r="R26" s="173">
        <f>sumifs('Form responses'!DH$2:DH75,'Form responses'!$C$2:$C75,"&gt;="&amp;Date(YEAR(DATE(YEAR($Q$1),MONTH($Q$1)+(-3),1)),4,1),'Form responses'!$C$2:$C75,"&lt;="&amp;$Q$1,'Form responses'!$G$2:$G75,$J$1)</f>
        <v>0</v>
      </c>
      <c r="S26" s="177">
        <f>sumifs('Form responses'!DI$2:DI75,'Form responses'!$C$2:$C75,"&gt;="&amp;Date(YEAR(DATE(YEAR($Q$1),MONTH($Q$1)+(-3),1)),4,1),'Form responses'!$C$2:$C75,"&lt;="&amp;$Q$1,'Form responses'!$G$2:$G75,$J$1)</f>
        <v>0</v>
      </c>
      <c r="T26" s="148">
        <f>sumifs('Form responses'!EF$2:EF75,'Form responses'!$C$2:$C75,"&gt;="&amp;Date(YEAR(DATE(YEAR($Q$1),MONTH($Q$1)+(-3),1)),4,1),'Form responses'!$C$2:$C75,"&lt;="&amp;$Q$1,'Form responses'!$G$2:$G75,$J$1)</f>
        <v>66</v>
      </c>
      <c r="U26" s="173">
        <f>sumifs('Form responses'!EG$2:EG75,'Form responses'!$C$2:$C75,"&gt;="&amp;Date(YEAR(DATE(YEAR($Q$1),MONTH($Q$1)+(-3),1)),4,1),'Form responses'!$C$2:$C75,"&lt;="&amp;$Q$1,'Form responses'!$G$2:$G75,$J$1)</f>
        <v>60</v>
      </c>
      <c r="V26" s="173">
        <f>sumifs('Form responses'!EH$2:EH75,'Form responses'!$C$2:$C75,"&gt;="&amp;Date(YEAR(DATE(YEAR($Q$1),MONTH($Q$1)+(-3),1)),4,1),'Form responses'!$C$2:$C75,"&lt;="&amp;$Q$1,'Form responses'!$G$2:$G75,$J$1)</f>
        <v>21</v>
      </c>
      <c r="W26" s="173">
        <f>sumifs('Form responses'!EI$2:EI75,'Form responses'!$C$2:$C75,"&gt;="&amp;Date(YEAR(DATE(YEAR($Q$1),MONTH($Q$1)+(-3),1)),4,1),'Form responses'!$C$2:$C75,"&lt;="&amp;$Q$1,'Form responses'!$G$2:$G75,$J$1)</f>
        <v>20</v>
      </c>
      <c r="X26" s="173">
        <f>sumifs('Form responses'!EJ$2:EJ75,'Form responses'!$C$2:$C75,"&gt;="&amp;Date(YEAR(DATE(YEAR($Q$1),MONTH($Q$1)+(-3),1)),4,1),'Form responses'!$C$2:$C75,"&lt;="&amp;$Q$1,'Form responses'!$G$2:$G75,$J$1)</f>
        <v>0</v>
      </c>
      <c r="Y26" s="173">
        <f>sumifs('Form responses'!EK$2:EK75,'Form responses'!$C$2:$C75,"&gt;="&amp;Date(YEAR(DATE(YEAR($Q$1),MONTH($Q$1)+(-3),1)),4,1),'Form responses'!$C$2:$C75,"&lt;="&amp;$Q$1,'Form responses'!$G$2:$G75,$J$1)</f>
        <v>0</v>
      </c>
      <c r="Z26" s="173">
        <f>sumifs('Form responses'!EL$2:EL75,'Form responses'!$C$2:$C75,"&gt;="&amp;Date(YEAR(DATE(YEAR($Q$1),MONTH($Q$1)+(-3),1)),4,1),'Form responses'!$C$2:$C75,"&lt;="&amp;$Q$1,'Form responses'!$G$2:$G75,$J$1)</f>
        <v>0</v>
      </c>
      <c r="AA26" s="177">
        <f>sumifs('Form responses'!EM$2:EM75,'Form responses'!$C$2:$C75,"&gt;="&amp;Date(YEAR(DATE(YEAR($Q$1),MONTH($Q$1)+(-3),1)),4,1),'Form responses'!$C$2:$C75,"&lt;="&amp;$Q$1,'Form responses'!$G$2:$G75,$J$1)</f>
        <v>0</v>
      </c>
    </row>
    <row r="27" ht="25.5" customHeight="1">
      <c r="A27" s="172"/>
      <c r="B27" s="137"/>
      <c r="C27" s="137"/>
      <c r="D27" s="137"/>
      <c r="E27" s="137"/>
      <c r="F27" s="225" t="s">
        <v>507</v>
      </c>
      <c r="I27" s="226" t="s">
        <v>583</v>
      </c>
      <c r="K27" s="227" t="str">
        <f>Credentials!C2</f>
        <v>Talwandi Sabo</v>
      </c>
      <c r="M27" s="228" t="s">
        <v>508</v>
      </c>
      <c r="N27" s="229">
        <f>N1</f>
        <v>46113</v>
      </c>
      <c r="P27" s="230" t="s">
        <v>509</v>
      </c>
      <c r="Q27" s="230">
        <f>Q1</f>
        <v>46142</v>
      </c>
      <c r="S27" s="137"/>
      <c r="T27" s="137"/>
      <c r="U27" s="137"/>
      <c r="V27" s="137"/>
      <c r="W27" s="137"/>
      <c r="X27" s="137"/>
      <c r="Y27" s="137"/>
      <c r="Z27" s="137"/>
      <c r="AA27" s="137"/>
    </row>
    <row r="28" ht="18.0" customHeight="1">
      <c r="A28" s="231"/>
      <c r="B28" s="232" t="s">
        <v>584</v>
      </c>
      <c r="C28" s="233"/>
      <c r="D28" s="233"/>
      <c r="E28" s="233"/>
      <c r="F28" s="234"/>
      <c r="G28" s="233"/>
      <c r="H28" s="233"/>
      <c r="I28" s="233"/>
      <c r="J28" s="233"/>
      <c r="K28" s="234"/>
      <c r="L28" s="233"/>
      <c r="M28" s="233"/>
      <c r="N28" s="233"/>
      <c r="O28" s="233"/>
      <c r="P28" s="233"/>
      <c r="Q28" s="233"/>
      <c r="R28" s="233"/>
      <c r="S28" s="233"/>
      <c r="T28" s="233"/>
      <c r="U28" s="233"/>
      <c r="V28" s="233"/>
      <c r="W28" s="233"/>
      <c r="X28" s="233"/>
      <c r="Y28" s="233"/>
      <c r="Z28" s="233"/>
      <c r="AA28" s="235"/>
    </row>
    <row r="29" ht="48.0" customHeight="1">
      <c r="A29" s="236"/>
      <c r="B29" s="237" t="s">
        <v>363</v>
      </c>
      <c r="C29" s="237" t="s">
        <v>585</v>
      </c>
      <c r="D29" s="237" t="s">
        <v>365</v>
      </c>
      <c r="E29" s="237" t="s">
        <v>586</v>
      </c>
      <c r="F29" s="237" t="s">
        <v>367</v>
      </c>
      <c r="G29" s="237" t="s">
        <v>587</v>
      </c>
      <c r="H29" s="237" t="s">
        <v>588</v>
      </c>
      <c r="I29" s="237" t="s">
        <v>589</v>
      </c>
      <c r="J29" s="238" t="s">
        <v>516</v>
      </c>
      <c r="K29" s="239"/>
      <c r="L29" s="237" t="s">
        <v>371</v>
      </c>
      <c r="M29" s="237" t="s">
        <v>590</v>
      </c>
      <c r="N29" s="237" t="s">
        <v>373</v>
      </c>
      <c r="O29" s="237" t="s">
        <v>591</v>
      </c>
      <c r="P29" s="240" t="s">
        <v>517</v>
      </c>
      <c r="Q29" s="241"/>
      <c r="R29" s="237" t="s">
        <v>592</v>
      </c>
      <c r="S29" s="237" t="s">
        <v>593</v>
      </c>
      <c r="T29" s="237" t="s">
        <v>377</v>
      </c>
      <c r="U29" s="237" t="s">
        <v>378</v>
      </c>
      <c r="V29" s="237" t="s">
        <v>379</v>
      </c>
      <c r="W29" s="237" t="s">
        <v>594</v>
      </c>
      <c r="X29" s="237" t="s">
        <v>381</v>
      </c>
      <c r="Y29" s="237" t="s">
        <v>382</v>
      </c>
      <c r="Z29" s="240" t="s">
        <v>518</v>
      </c>
      <c r="AA29" s="242"/>
    </row>
    <row r="30" ht="24.75" customHeight="1">
      <c r="A30" s="243"/>
      <c r="B30" s="244">
        <f>sumifs('Form responses'!BF$2:BF75,'Form responses'!$C$2:$C75,"&gt;="&amp;$N$1,'Form responses'!$C$2:$C75,"&lt;="&amp;$Q$1,'Form responses'!$G$2:$G75,$J$1,'Form responses'!$F$2:$F75,"=4")</f>
        <v>85</v>
      </c>
      <c r="C30" s="244">
        <f>sumifs('Form responses'!BG$2:BG75,'Form responses'!$C$2:$C75,"&gt;="&amp;$N$1,'Form responses'!$C$2:$C75,"&lt;="&amp;$Q$1,'Form responses'!$G$2:$G75,$J$1,'Form responses'!$F$2:$F75,"=4")</f>
        <v>54</v>
      </c>
      <c r="D30" s="244">
        <f>sumifs('Form responses'!BH$2:BH75,'Form responses'!$C$2:$C75,"&gt;="&amp;$N$1,'Form responses'!$C$2:$C75,"&lt;="&amp;$Q$1,'Form responses'!$G$2:$G75,$J$1,'Form responses'!$F$2:$F75,"=4")</f>
        <v>0</v>
      </c>
      <c r="E30" s="244">
        <f>sumifs('Form responses'!BI$2:BI75,'Form responses'!$C$2:$C75,"&gt;="&amp;$N$1,'Form responses'!$C$2:$C75,"&lt;="&amp;$Q$1,'Form responses'!$G$2:$G75,$J$1,'Form responses'!$F$2:$F75,"=4")</f>
        <v>0</v>
      </c>
      <c r="F30" s="244">
        <f>sumifs('Form responses'!BJ$2:BJ75,'Form responses'!$C$2:$C75,"&gt;="&amp;$N$1,'Form responses'!$C$2:$C75,"&lt;="&amp;$Q$1,'Form responses'!$G$2:$G75,$J$1,'Form responses'!$F$2:$F75,"=4")</f>
        <v>0</v>
      </c>
      <c r="G30" s="244">
        <f>sumifs('Form responses'!BK$2:BK75,'Form responses'!$C$2:$C75,"&gt;="&amp;$N$1,'Form responses'!$C$2:$C75,"&lt;="&amp;$Q$1,'Form responses'!$G$2:$G75,$J$1,'Form responses'!$F$2:$F75,"=4")</f>
        <v>0</v>
      </c>
      <c r="H30" s="244">
        <f>sumifs('Form responses'!BL$2:BL75,'Form responses'!$C$2:$C75,"&gt;="&amp;$N$1,'Form responses'!$C$2:$C75,"&lt;="&amp;$Q$1,'Form responses'!$G$2:$G75,$J$1,'Form responses'!$F$2:$F75,"=4")</f>
        <v>0</v>
      </c>
      <c r="I30" s="245">
        <f>sumifs('Form responses'!BM$2:BM75,'Form responses'!$C$2:$C75,"&gt;="&amp;$N$1,'Form responses'!$C$2:$C75,"&lt;="&amp;$Q$1,'Form responses'!$G$2:$G75,$J$1,'Form responses'!$F$2:$F75,"=4")</f>
        <v>0</v>
      </c>
      <c r="J30" s="246">
        <f t="shared" ref="J30:J31" si="9">B30+D30+F30+H30</f>
        <v>85</v>
      </c>
      <c r="K30" s="247"/>
      <c r="L30" s="244">
        <f>sumifs('Form responses'!BN$2:BN75,'Form responses'!$C$2:$C75,"&gt;="&amp;$N$1,'Form responses'!$C$2:$C75,"&lt;="&amp;$Q$1,'Form responses'!$G$2:$G75,$J$1,'Form responses'!$F$2:$F75,"=4")</f>
        <v>0</v>
      </c>
      <c r="M30" s="244">
        <f>sumifs('Form responses'!BO$2:BO75,'Form responses'!$C$2:$C75,"&gt;="&amp;$N$1,'Form responses'!$C$2:$C75,"&lt;="&amp;$Q$1,'Form responses'!$G$2:$G75,$J$1,'Form responses'!$F$2:$F75,"=4")</f>
        <v>0</v>
      </c>
      <c r="N30" s="244">
        <f>sumifs('Form responses'!BP$2:BP75,'Form responses'!$C$2:$C75,"&gt;="&amp;$N$1,'Form responses'!$C$2:$C75,"&lt;="&amp;$Q$1,'Form responses'!$G$2:$G75,$J$1,'Form responses'!$F$2:$F75,"=4")</f>
        <v>0</v>
      </c>
      <c r="O30" s="245">
        <f>sumifs('Form responses'!BQ$2:BQ75,'Form responses'!$C$2:$C75,"&gt;="&amp;$N$1,'Form responses'!$C$2:$C75,"&lt;="&amp;$Q$1,'Form responses'!$G$2:$G75,$J$1,'Form responses'!$F$2:$F75,"=4")</f>
        <v>0</v>
      </c>
      <c r="P30" s="246">
        <f t="shared" ref="P30:P31" si="10">L30+N30</f>
        <v>0</v>
      </c>
      <c r="Q30" s="248"/>
      <c r="R30" s="244">
        <f>sumifs('Form responses'!BR$2:BR75,'Form responses'!$C$2:$C75,"&gt;="&amp;$N$1,'Form responses'!$C$2:$C75,"&lt;="&amp;$Q$1,'Form responses'!$G$2:$G75,$J$1,'Form responses'!$F$2:$F75,"=4")</f>
        <v>0</v>
      </c>
      <c r="S30" s="244">
        <f>sumifs('Form responses'!BS$2:BS75,'Form responses'!$C$2:$C75,"&gt;="&amp;$N$1,'Form responses'!$C$2:$C75,"&lt;="&amp;$Q$1,'Form responses'!$G$2:$G75,$J$1,'Form responses'!$F$2:$F75,"=4")</f>
        <v>0</v>
      </c>
      <c r="T30" s="244">
        <f>sumifs('Form responses'!BT$2:BT75,'Form responses'!$C$2:$C75,"&gt;="&amp;$N$1,'Form responses'!$C$2:$C75,"&lt;="&amp;$Q$1,'Form responses'!$G$2:$G75,$J$1,'Form responses'!$F$2:$F75,"=4")</f>
        <v>0</v>
      </c>
      <c r="U30" s="244">
        <f>sumifs('Form responses'!BU$2:BU75,'Form responses'!$C$2:$C75,"&gt;="&amp;$N$1,'Form responses'!$C$2:$C75,"&lt;="&amp;$Q$1,'Form responses'!$G$2:$G75,$J$1,'Form responses'!$F$2:$F75,"=4")</f>
        <v>0</v>
      </c>
      <c r="V30" s="244">
        <f>sumifs('Form responses'!BV$2:BV75,'Form responses'!$C$2:$C75,"&gt;="&amp;$N$1,'Form responses'!$C$2:$C75,"&lt;="&amp;$Q$1,'Form responses'!$G$2:$G75,$J$1,'Form responses'!$F$2:$F75,"=4")</f>
        <v>0</v>
      </c>
      <c r="W30" s="244">
        <f>sumifs('Form responses'!BW$2:BW75,'Form responses'!$C$2:$C75,"&gt;="&amp;$N$1,'Form responses'!$C$2:$C75,"&lt;="&amp;$Q$1,'Form responses'!$G$2:$G75,$J$1,'Form responses'!$F$2:$F75,"=4")</f>
        <v>0</v>
      </c>
      <c r="X30" s="244">
        <f>sumifs('Form responses'!BX$2:BX75,'Form responses'!$C$2:$C75,"&gt;="&amp;$N$1,'Form responses'!$C$2:$C75,"&lt;="&amp;$Q$1,'Form responses'!$G$2:$G75,$J$1,'Form responses'!$F$2:$F75,"=4")</f>
        <v>0</v>
      </c>
      <c r="Y30" s="245">
        <f>sumifs('Form responses'!BY$2:BY75,'Form responses'!$C$2:$C75,"&gt;="&amp;$N$1,'Form responses'!$C$2:$C75,"&lt;="&amp;$Q$1,'Form responses'!$G$2:$G75,$J$1,'Form responses'!$F$2:$F75,"=4")</f>
        <v>0</v>
      </c>
      <c r="Z30" s="246">
        <f t="shared" ref="Z30:Z31" si="11">R30+T30+V30+X30</f>
        <v>0</v>
      </c>
      <c r="AA30" s="249"/>
    </row>
    <row r="31" ht="24.75" customHeight="1">
      <c r="A31" s="250"/>
      <c r="B31" s="244">
        <f>sumifs('Form responses'!BF$2:BF75,'Form responses'!$C$2:$C75,"&gt;="&amp;Date(YEAR(DATE(YEAR($Q$1),MONTH($Q$1)+(-3),1)),4,1),'Form responses'!$C$2:$C75,"&lt;="&amp;$Q$1,'Form responses'!$G$2:$G75,$J$1,'Form responses'!$F$2:$F75,"=4")</f>
        <v>85</v>
      </c>
      <c r="C31" s="244">
        <f>sumifs('Form responses'!BG$2:BG75,'Form responses'!$C$2:$C75,"&gt;="&amp;Date(YEAR(DATE(YEAR($Q$1),MONTH($Q$1)+(-3),1)),4,1),'Form responses'!$C$2:$C75,"&lt;="&amp;$Q$1,'Form responses'!$G$2:$G75,$J$1,'Form responses'!$F$2:$F75,"=4")</f>
        <v>54</v>
      </c>
      <c r="D31" s="244">
        <f>sumifs('Form responses'!BH$2:BH75,'Form responses'!$C$2:$C75,"&gt;="&amp;Date(YEAR(DATE(YEAR($Q$1),MONTH($Q$1)+(-3),1)),4,1),'Form responses'!$C$2:$C75,"&lt;="&amp;$Q$1,'Form responses'!$G$2:$G75,$J$1,'Form responses'!$F$2:$F75,"=4")</f>
        <v>0</v>
      </c>
      <c r="E31" s="244">
        <f>sumifs('Form responses'!BI$2:BI75,'Form responses'!$C$2:$C75,"&gt;="&amp;Date(YEAR(DATE(YEAR($Q$1),MONTH($Q$1)+(-3),1)),4,1),'Form responses'!$C$2:$C75,"&lt;="&amp;$Q$1,'Form responses'!$G$2:$G75,$J$1,'Form responses'!$F$2:$F75,"=4")</f>
        <v>0</v>
      </c>
      <c r="F31" s="244">
        <f>sumifs('Form responses'!BJ$2:BJ75,'Form responses'!$C$2:$C75,"&gt;="&amp;Date(YEAR(DATE(YEAR($Q$1),MONTH($Q$1)+(-3),1)),4,1),'Form responses'!$C$2:$C75,"&lt;="&amp;$Q$1,'Form responses'!$G$2:$G75,$J$1,'Form responses'!$F$2:$F75,"=4")</f>
        <v>0</v>
      </c>
      <c r="G31" s="244">
        <f>sumifs('Form responses'!BK$2:BK75,'Form responses'!$C$2:$C75,"&gt;="&amp;Date(YEAR(DATE(YEAR($Q$1),MONTH($Q$1)+(-3),1)),4,1),'Form responses'!$C$2:$C75,"&lt;="&amp;$Q$1,'Form responses'!$G$2:$G75,$J$1,'Form responses'!$F$2:$F75,"=4")</f>
        <v>0</v>
      </c>
      <c r="H31" s="244">
        <f>sumifs('Form responses'!BL$2:BL75,'Form responses'!$C$2:$C75,"&gt;="&amp;Date(YEAR(DATE(YEAR($Q$1),MONTH($Q$1)+(-3),1)),4,1),'Form responses'!$C$2:$C75,"&lt;="&amp;$Q$1,'Form responses'!$G$2:$G75,$J$1,'Form responses'!$F$2:$F75,"=4")</f>
        <v>0</v>
      </c>
      <c r="I31" s="245">
        <f>sumifs('Form responses'!BM$2:BM75,'Form responses'!$C$2:$C75,"&gt;="&amp;Date(YEAR(DATE(YEAR($Q$1),MONTH($Q$1)+(-3),1)),4,1),'Form responses'!$C$2:$C75,"&lt;="&amp;$Q$1,'Form responses'!$G$2:$G75,$J$1,'Form responses'!$F$2:$F75,"=4")</f>
        <v>0</v>
      </c>
      <c r="J31" s="251">
        <f t="shared" si="9"/>
        <v>85</v>
      </c>
      <c r="K31" s="247"/>
      <c r="L31" s="244">
        <f>sumifs('Form responses'!BN$2:BN75,'Form responses'!$C$2:$C75,"&gt;="&amp;Date(YEAR(DATE(YEAR($Q$1),MONTH($Q$1)+(-3),1)),4,1),'Form responses'!$C$2:$C75,"&lt;="&amp;$Q$1,'Form responses'!$G$2:$G75,$J$1,'Form responses'!$F$2:$F75,"=4")</f>
        <v>0</v>
      </c>
      <c r="M31" s="244">
        <f>sumifs('Form responses'!BO$2:BO75,'Form responses'!$C$2:$C75,"&gt;="&amp;Date(YEAR(DATE(YEAR($Q$1),MONTH($Q$1)+(-3),1)),4,1),'Form responses'!$C$2:$C75,"&lt;="&amp;$Q$1,'Form responses'!$G$2:$G75,$J$1,'Form responses'!$F$2:$F75,"=4")</f>
        <v>0</v>
      </c>
      <c r="N31" s="244">
        <f>sumifs('Form responses'!BP$2:BP75,'Form responses'!$C$2:$C75,"&gt;="&amp;Date(YEAR(DATE(YEAR($Q$1),MONTH($Q$1)+(-3),1)),4,1),'Form responses'!$C$2:$C75,"&lt;="&amp;$Q$1,'Form responses'!$G$2:$G75,$J$1,'Form responses'!$F$2:$F75,"=4")</f>
        <v>0</v>
      </c>
      <c r="O31" s="245">
        <f>sumifs('Form responses'!BQ$2:BQ75,'Form responses'!$C$2:$C75,"&gt;="&amp;Date(YEAR(DATE(YEAR($Q$1),MONTH($Q$1)+(-3),1)),4,1),'Form responses'!$C$2:$C75,"&lt;="&amp;$Q$1,'Form responses'!$G$2:$G75,$J$1,'Form responses'!$F$2:$F75,"=4")</f>
        <v>0</v>
      </c>
      <c r="P31" s="251">
        <f t="shared" si="10"/>
        <v>0</v>
      </c>
      <c r="Q31" s="248"/>
      <c r="R31" s="244">
        <f>sumifs('Form responses'!BR$2:BR75,'Form responses'!$C$2:$C75,"&gt;="&amp;Date(YEAR(DATE(YEAR($Q$1),MONTH($Q$1)+(-3),1)),4,1),'Form responses'!$C$2:$C75,"&lt;="&amp;$Q$1,'Form responses'!$G$2:$G75,$J$1,'Form responses'!$F$2:$F75,"=4")</f>
        <v>0</v>
      </c>
      <c r="S31" s="244">
        <f>sumifs('Form responses'!BS$2:BS75,'Form responses'!$C$2:$C75,"&gt;="&amp;Date(YEAR(DATE(YEAR($Q$1),MONTH($Q$1)+(-3),1)),4,1),'Form responses'!$C$2:$C75,"&lt;="&amp;$Q$1,'Form responses'!$G$2:$G75,$J$1,'Form responses'!$F$2:$F75,"=4")</f>
        <v>0</v>
      </c>
      <c r="T31" s="244">
        <f>sumifs('Form responses'!BT$2:BT75,'Form responses'!$C$2:$C75,"&gt;="&amp;Date(YEAR(DATE(YEAR($Q$1),MONTH($Q$1)+(-3),1)),4,1),'Form responses'!$C$2:$C75,"&lt;="&amp;$Q$1,'Form responses'!$G$2:$G75,$J$1,'Form responses'!$F$2:$F75,"=4")</f>
        <v>0</v>
      </c>
      <c r="U31" s="244">
        <f>sumifs('Form responses'!BU$2:BU75,'Form responses'!$C$2:$C75,"&gt;="&amp;Date(YEAR(DATE(YEAR($Q$1),MONTH($Q$1)+(-3),1)),4,1),'Form responses'!$C$2:$C75,"&lt;="&amp;$Q$1,'Form responses'!$G$2:$G75,$J$1,'Form responses'!$F$2:$F75,"=4")</f>
        <v>0</v>
      </c>
      <c r="V31" s="244">
        <f>sumifs('Form responses'!BV$2:BV75,'Form responses'!$C$2:$C75,"&gt;="&amp;Date(YEAR(DATE(YEAR($Q$1),MONTH($Q$1)+(-3),1)),4,1),'Form responses'!$C$2:$C75,"&lt;="&amp;$Q$1,'Form responses'!$G$2:$G75,$J$1,'Form responses'!$F$2:$F75,"=4")</f>
        <v>0</v>
      </c>
      <c r="W31" s="244">
        <f>sumifs('Form responses'!BW$2:BW75,'Form responses'!$C$2:$C75,"&gt;="&amp;Date(YEAR(DATE(YEAR($Q$1),MONTH($Q$1)+(-3),1)),4,1),'Form responses'!$C$2:$C75,"&lt;="&amp;$Q$1,'Form responses'!$G$2:$G75,$J$1,'Form responses'!$F$2:$F75,"=4")</f>
        <v>0</v>
      </c>
      <c r="X31" s="244">
        <f>sumifs('Form responses'!BX$2:BX75,'Form responses'!$C$2:$C75,"&gt;="&amp;Date(YEAR(DATE(YEAR($Q$1),MONTH($Q$1)+(-3),1)),4,1),'Form responses'!$C$2:$C75,"&lt;="&amp;$Q$1,'Form responses'!$G$2:$G75,$J$1,'Form responses'!$F$2:$F75,"=4")</f>
        <v>0</v>
      </c>
      <c r="Y31" s="252">
        <f>sumifs('Form responses'!BY$2:BY75,'Form responses'!$C$2:$C75,"&gt;="&amp;Date(YEAR(DATE(YEAR($Q$1),MONTH($Q$1)+(-3),1)),4,1),'Form responses'!$C$2:$C75,"&lt;="&amp;$Q$1,'Form responses'!$G$2:$G75,$J$1,'Form responses'!$F$2:$F75,"=4")</f>
        <v>0</v>
      </c>
      <c r="Z31" s="251">
        <f t="shared" si="11"/>
        <v>0</v>
      </c>
      <c r="AA31" s="249"/>
    </row>
    <row r="32" ht="24.75" customHeight="1">
      <c r="A32" s="253"/>
      <c r="B32" s="254" t="s">
        <v>595</v>
      </c>
      <c r="C32" s="255"/>
      <c r="D32" s="255"/>
      <c r="E32" s="255"/>
      <c r="F32" s="255"/>
      <c r="G32" s="255"/>
      <c r="H32" s="256"/>
      <c r="I32" s="256"/>
      <c r="J32" s="257"/>
      <c r="K32" s="256"/>
      <c r="L32" s="256"/>
      <c r="M32" s="256"/>
      <c r="N32" s="256"/>
      <c r="O32" s="257"/>
      <c r="P32" s="256"/>
      <c r="Q32" s="256"/>
      <c r="R32" s="256"/>
      <c r="S32" s="256"/>
      <c r="T32" s="256"/>
      <c r="U32" s="258"/>
      <c r="V32" s="259"/>
      <c r="W32" s="256"/>
      <c r="X32" s="257"/>
      <c r="Y32" s="257"/>
      <c r="Z32" s="257"/>
      <c r="AA32" s="249"/>
    </row>
    <row r="33" ht="54.0" customHeight="1">
      <c r="A33" s="260"/>
      <c r="B33" s="261" t="s">
        <v>596</v>
      </c>
      <c r="C33" s="261" t="s">
        <v>597</v>
      </c>
      <c r="D33" s="261" t="s">
        <v>598</v>
      </c>
      <c r="E33" s="261" t="s">
        <v>599</v>
      </c>
      <c r="F33" s="261" t="s">
        <v>600</v>
      </c>
      <c r="G33" s="261" t="s">
        <v>601</v>
      </c>
      <c r="H33" s="261" t="s">
        <v>397</v>
      </c>
      <c r="I33" s="261" t="s">
        <v>602</v>
      </c>
      <c r="J33" s="262"/>
      <c r="K33" s="261" t="s">
        <v>603</v>
      </c>
      <c r="L33" s="261" t="s">
        <v>604</v>
      </c>
      <c r="M33" s="261" t="s">
        <v>605</v>
      </c>
      <c r="N33" s="261" t="s">
        <v>606</v>
      </c>
      <c r="O33" s="262"/>
      <c r="P33" s="261" t="s">
        <v>607</v>
      </c>
      <c r="Q33" s="261" t="s">
        <v>608</v>
      </c>
      <c r="R33" s="261" t="s">
        <v>405</v>
      </c>
      <c r="S33" s="261" t="s">
        <v>406</v>
      </c>
      <c r="T33" s="261" t="s">
        <v>407</v>
      </c>
      <c r="U33" s="261" t="s">
        <v>408</v>
      </c>
      <c r="V33" s="261" t="s">
        <v>409</v>
      </c>
      <c r="W33" s="261" t="s">
        <v>410</v>
      </c>
      <c r="X33" s="263"/>
      <c r="Y33" s="263"/>
      <c r="Z33" s="263"/>
      <c r="AA33" s="264"/>
    </row>
    <row r="34" ht="24.75" customHeight="1">
      <c r="A34" s="265"/>
      <c r="B34" s="266">
        <f>sumifs('Form responses'!CH$2:CH75,'Form responses'!$C$2:$C75,"&gt;="&amp;$N$1,'Form responses'!$C$2:$C75,"&lt;="&amp;$Q$1,'Form responses'!$G$2:$G75,$J$1,'Form responses'!$F$2:$F75,"=4")</f>
        <v>0</v>
      </c>
      <c r="C34" s="266">
        <f>sumifs('Form responses'!CI$2:CI75,'Form responses'!$C$2:$C75,"&gt;="&amp;$N$1,'Form responses'!$C$2:$C75,"&lt;="&amp;$Q$1,'Form responses'!$G$2:$G75,$J$1,'Form responses'!$F$2:$F75,"=4")</f>
        <v>0</v>
      </c>
      <c r="D34" s="266">
        <f>sumifs('Form responses'!CJ$2:CJ75,'Form responses'!$C$2:$C75,"&gt;="&amp;$N$1,'Form responses'!$C$2:$C75,"&lt;="&amp;$Q$1,'Form responses'!$G$2:$G75,$J$1,'Form responses'!$F$2:$F75,"=4")</f>
        <v>0</v>
      </c>
      <c r="E34" s="266">
        <f>sumifs('Form responses'!CK$2:CK75,'Form responses'!$C$2:$C75,"&gt;="&amp;$N$1,'Form responses'!$C$2:$C75,"&lt;="&amp;$Q$1,'Form responses'!$G$2:$G75,$J$1,'Form responses'!$F$2:$F75,"=4")</f>
        <v>0</v>
      </c>
      <c r="F34" s="266">
        <f>sumifs('Form responses'!CL$2:CL75,'Form responses'!$C$2:$C75,"&gt;="&amp;$N$1,'Form responses'!$C$2:$C75,"&lt;="&amp;$Q$1,'Form responses'!$G$2:$G75,$J$1,'Form responses'!$F$2:$F75,"=4")</f>
        <v>0</v>
      </c>
      <c r="G34" s="266">
        <f>sumifs('Form responses'!CM$2:CM75,'Form responses'!$C$2:$C75,"&gt;="&amp;$N$1,'Form responses'!$C$2:$C75,"&lt;="&amp;$Q$1,'Form responses'!$G$2:$G75,$J$1,'Form responses'!$F$2:$F75,"=4")</f>
        <v>0</v>
      </c>
      <c r="H34" s="266">
        <f>sumifs('Form responses'!CN$2:CN75,'Form responses'!$C$2:$C75,"&gt;="&amp;$N$1,'Form responses'!$C$2:$C75,"&lt;="&amp;$Q$1,'Form responses'!$G$2:$G75,$J$1,'Form responses'!$F$2:$F75,"=4")</f>
        <v>0</v>
      </c>
      <c r="I34" s="244">
        <f>sumifs('Form responses'!CO$2:CO75,'Form responses'!$C$2:$C75,"&gt;="&amp;$N$1,'Form responses'!$C$2:$C75,"&lt;="&amp;$Q$1,'Form responses'!$G$2:$G75,$J$1,'Form responses'!$F$2:$F75,"=4")</f>
        <v>0</v>
      </c>
      <c r="J34" s="248"/>
      <c r="K34" s="244">
        <f>sumifs('Form responses'!CP$2:CP75,'Form responses'!$C$2:$C75,"&gt;="&amp;$N$1,'Form responses'!$C$2:$C75,"&lt;="&amp;$Q$1,'Form responses'!$G$2:$G75,$J$1,'Form responses'!$F$2:$F75,"=4")</f>
        <v>64</v>
      </c>
      <c r="L34" s="244">
        <f>sumifs('Form responses'!CQ$2:CQ75,'Form responses'!$C$2:$C75,"&gt;="&amp;$N$1,'Form responses'!$C$2:$C75,"&lt;="&amp;$Q$1,'Form responses'!$G$2:$G75,$J$1,'Form responses'!$F$2:$F75,"=4")</f>
        <v>34</v>
      </c>
      <c r="M34" s="244">
        <f>sumifs('Form responses'!CR$2:CR75,'Form responses'!$C$2:$C75,"&gt;="&amp;$N$1,'Form responses'!$C$2:$C75,"&lt;="&amp;$Q$1,'Form responses'!$G$2:$G75,$J$1,'Form responses'!$F$2:$F75,"=4")</f>
        <v>0</v>
      </c>
      <c r="N34" s="244">
        <f>sumifs('Form responses'!CS$2:CS75,'Form responses'!$C$2:$C75,"&gt;="&amp;$N$1,'Form responses'!$C$2:$C75,"&lt;="&amp;$Q$1,'Form responses'!$G$2:$G75,$J$1,'Form responses'!$F$2:$F75,"=4")</f>
        <v>0</v>
      </c>
      <c r="O34" s="248"/>
      <c r="P34" s="244">
        <f>sumifs('Form responses'!CT$2:CT75,'Form responses'!$C$2:$C75,"&gt;="&amp;$N$1,'Form responses'!$C$2:$C75,"&lt;="&amp;$Q$1,'Form responses'!$G$2:$G75,$J$1,'Form responses'!$F$2:$F75,"=4")</f>
        <v>0</v>
      </c>
      <c r="Q34" s="244">
        <f>sumifs('Form responses'!CU$2:CU75,'Form responses'!$C$2:$C75,"&gt;="&amp;$N$1,'Form responses'!$C$2:$C75,"&lt;="&amp;$Q$1,'Form responses'!$G$2:$G75,$J$1,'Form responses'!$F$2:$F75,"=4")</f>
        <v>0</v>
      </c>
      <c r="R34" s="244">
        <f>sumifs('Form responses'!CV$2:CV75,'Form responses'!$C$2:$C75,"&gt;="&amp;$N$1,'Form responses'!$C$2:$C75,"&lt;="&amp;$Q$1,'Form responses'!$G$2:$G75,$J$1,'Form responses'!$F$2:$F75,"=4")</f>
        <v>0</v>
      </c>
      <c r="S34" s="244">
        <f>sumifs('Form responses'!CW$2:CW75,'Form responses'!$C$2:$C75,"&gt;="&amp;$N$1,'Form responses'!$C$2:$C75,"&lt;="&amp;$Q$1,'Form responses'!$G$2:$G75,$J$1,'Form responses'!$F$2:$F75,"=4")</f>
        <v>0</v>
      </c>
      <c r="T34" s="244">
        <f>sumifs('Form responses'!CX$2:CX75,'Form responses'!$C$2:$C75,"&gt;="&amp;$N$1,'Form responses'!$C$2:$C75,"&lt;="&amp;$Q$1,'Form responses'!$G$2:$G75,$J$1,'Form responses'!$F$2:$F75,"=4")</f>
        <v>0</v>
      </c>
      <c r="U34" s="244">
        <f>sumifs('Form responses'!CY$2:CY75,'Form responses'!$C$2:$C75,"&gt;="&amp;$N$1,'Form responses'!$C$2:$C75,"&lt;="&amp;$Q$1,'Form responses'!$G$2:$G75,$J$1,'Form responses'!$F$2:$F75,"=4")</f>
        <v>0</v>
      </c>
      <c r="V34" s="244">
        <f>sumifs('Form responses'!CZ$2:CZ75,'Form responses'!$C$2:$C75,"&gt;="&amp;$N$1,'Form responses'!$C$2:$C75,"&lt;="&amp;$Q$1,'Form responses'!$G$2:$G75,$J$1,'Form responses'!$F$2:$F75,"=4")</f>
        <v>0</v>
      </c>
      <c r="W34" s="244">
        <f>sumifs('Form responses'!DA$2:DA75,'Form responses'!$C$2:$C75,"&gt;="&amp;$N$1,'Form responses'!$C$2:$C75,"&lt;="&amp;$Q$1,'Form responses'!$G$2:$G75,$J$1,'Form responses'!$F$2:$F75,"=4")</f>
        <v>0</v>
      </c>
      <c r="X34" s="257"/>
      <c r="Y34" s="257"/>
      <c r="Z34" s="257"/>
      <c r="AA34" s="249"/>
    </row>
    <row r="35" ht="24.75" customHeight="1">
      <c r="A35" s="267"/>
      <c r="B35" s="268">
        <f>sumifs('Form responses'!CH$2:CH75,'Form responses'!$C$2:$C75,"&gt;="&amp;Date(YEAR(DATE(YEAR($Q$1),MONTH($Q$1)+(-3),1)),4,1),'Form responses'!$C$2:$C75,"&lt;="&amp;$Q$1,'Form responses'!$G$2:$G75,$J$1,'Form responses'!$F$2:$F75,"=4")</f>
        <v>0</v>
      </c>
      <c r="C35" s="244">
        <f>sumifs('Form responses'!CI$2:CI75,'Form responses'!$C$2:$C75,"&gt;="&amp;Date(YEAR(DATE(YEAR($Q$1),MONTH($Q$1)+(-3),1)),4,1),'Form responses'!$C$2:$C75,"&lt;="&amp;$Q$1,'Form responses'!$G$2:$G75,$J$1,'Form responses'!$F$2:$F75,"=4")</f>
        <v>0</v>
      </c>
      <c r="D35" s="244">
        <f>sumifs('Form responses'!CJ$2:CJ75,'Form responses'!$C$2:$C75,"&gt;="&amp;Date(YEAR(DATE(YEAR($Q$1),MONTH($Q$1)+(-3),1)),4,1),'Form responses'!$C$2:$C75,"&lt;="&amp;$Q$1,'Form responses'!$G$2:$G75,$J$1,'Form responses'!$F$2:$F75,"=4")</f>
        <v>0</v>
      </c>
      <c r="E35" s="244">
        <f>sumifs('Form responses'!CK$2:CK75,'Form responses'!$C$2:$C75,"&gt;="&amp;Date(YEAR(DATE(YEAR($Q$1),MONTH($Q$1)+(-3),1)),4,1),'Form responses'!$C$2:$C75,"&lt;="&amp;$Q$1,'Form responses'!$G$2:$G75,$J$1,'Form responses'!$F$2:$F75,"=4")</f>
        <v>0</v>
      </c>
      <c r="F35" s="244">
        <f>sumifs('Form responses'!CL$2:CL75,'Form responses'!$C$2:$C75,"&gt;="&amp;Date(YEAR(DATE(YEAR($Q$1),MONTH($Q$1)+(-3),1)),4,1),'Form responses'!$C$2:$C75,"&lt;="&amp;$Q$1,'Form responses'!$G$2:$G75,$J$1,'Form responses'!$F$2:$F75,"=4")</f>
        <v>0</v>
      </c>
      <c r="G35" s="244">
        <f>sumifs('Form responses'!CM$2:CM75,'Form responses'!$C$2:$C75,"&gt;="&amp;Date(YEAR(DATE(YEAR($Q$1),MONTH($Q$1)+(-3),1)),4,1),'Form responses'!$C$2:$C75,"&lt;="&amp;$Q$1,'Form responses'!$G$2:$G75,$J$1,'Form responses'!$F$2:$F75,"=4")</f>
        <v>0</v>
      </c>
      <c r="H35" s="244">
        <f>sumifs('Form responses'!CN$2:CN75,'Form responses'!$C$2:$C75,"&gt;="&amp;Date(YEAR(DATE(YEAR($Q$1),MONTH($Q$1)+(-3),1)),4,1),'Form responses'!$C$2:$C75,"&lt;="&amp;$Q$1,'Form responses'!$G$2:$G75,$J$1,'Form responses'!$F$2:$F75,"=4")</f>
        <v>0</v>
      </c>
      <c r="I35" s="244">
        <f>sumifs('Form responses'!CO$2:CO75,'Form responses'!$C$2:$C75,"&gt;="&amp;Date(YEAR(DATE(YEAR($Q$1),MONTH($Q$1)+(-3),1)),4,1),'Form responses'!$C$2:$C75,"&lt;="&amp;$Q$1,'Form responses'!$G$2:$G75,$J$1,'Form responses'!$F$2:$F75,"=4")</f>
        <v>0</v>
      </c>
      <c r="J35" s="248"/>
      <c r="K35" s="244">
        <f>sumifs('Form responses'!CP$2:CP75,'Form responses'!$C$2:$C75,"&gt;="&amp;Date(YEAR(DATE(YEAR($Q$1),MONTH($Q$1)+(-3),1)),4,1),'Form responses'!$C$2:$C75,"&lt;="&amp;$Q$1,'Form responses'!$G$2:$G75,$J$1,'Form responses'!$F$2:$F75,"=4")</f>
        <v>64</v>
      </c>
      <c r="L35" s="244">
        <f>sumifs('Form responses'!CQ$2:CQ75,'Form responses'!$C$2:$C75,"&gt;="&amp;Date(YEAR(DATE(YEAR($Q$1),MONTH($Q$1)+(-3),1)),4,1),'Form responses'!$C$2:$C75,"&lt;="&amp;$Q$1,'Form responses'!$G$2:$G75,$J$1,'Form responses'!$F$2:$F75,"=4")</f>
        <v>34</v>
      </c>
      <c r="M35" s="244">
        <f>sumifs('Form responses'!CR$2:CR75,'Form responses'!$C$2:$C75,"&gt;="&amp;Date(YEAR(DATE(YEAR($Q$1),MONTH($Q$1)+(-3),1)),4,1),'Form responses'!$C$2:$C75,"&lt;="&amp;$Q$1,'Form responses'!$G$2:$G75,$J$1,'Form responses'!$F$2:$F75,"=4")</f>
        <v>0</v>
      </c>
      <c r="N35" s="244">
        <f>sumifs('Form responses'!CS$2:CS75,'Form responses'!$C$2:$C75,"&gt;="&amp;Date(YEAR(DATE(YEAR($Q$1),MONTH($Q$1)+(-3),1)),4,1),'Form responses'!$C$2:$C75,"&lt;="&amp;$Q$1,'Form responses'!$G$2:$G75,$J$1,'Form responses'!$F$2:$F75,"=4")</f>
        <v>0</v>
      </c>
      <c r="O35" s="248"/>
      <c r="P35" s="244">
        <f>sumifs('Form responses'!CT$2:CT75,'Form responses'!$C$2:$C75,"&gt;="&amp;Date(YEAR(DATE(YEAR($Q$1),MONTH($Q$1)+(-3),1)),4,1),'Form responses'!$C$2:$C75,"&lt;="&amp;$Q$1,'Form responses'!$G$2:$G75,$J$1,'Form responses'!$F$2:$F75,"=4")</f>
        <v>0</v>
      </c>
      <c r="Q35" s="244">
        <f>sumifs('Form responses'!CU$2:CU75,'Form responses'!$C$2:$C75,"&gt;="&amp;Date(YEAR(DATE(YEAR($Q$1),MONTH($Q$1)+(-3),1)),4,1),'Form responses'!$C$2:$C75,"&lt;="&amp;$Q$1,'Form responses'!$G$2:$G75,$J$1,'Form responses'!$F$2:$F75,"=4")</f>
        <v>0</v>
      </c>
      <c r="R35" s="244">
        <f>sumifs('Form responses'!CV$2:CV75,'Form responses'!$C$2:$C75,"&gt;="&amp;Date(YEAR(DATE(YEAR($Q$1),MONTH($Q$1)+(-3),1)),4,1),'Form responses'!$C$2:$C75,"&lt;="&amp;$Q$1,'Form responses'!$G$2:$G75,$J$1,'Form responses'!$F$2:$F75,"=4")</f>
        <v>0</v>
      </c>
      <c r="S35" s="244">
        <f>sumifs('Form responses'!CW$2:CW75,'Form responses'!$C$2:$C75,"&gt;="&amp;Date(YEAR(DATE(YEAR($Q$1),MONTH($Q$1)+(-3),1)),4,1),'Form responses'!$C$2:$C75,"&lt;="&amp;$Q$1,'Form responses'!$G$2:$G75,$J$1,'Form responses'!$F$2:$F75,"=4")</f>
        <v>0</v>
      </c>
      <c r="T35" s="244">
        <f>sumifs('Form responses'!CX$2:CX75,'Form responses'!$C$2:$C75,"&gt;="&amp;Date(YEAR(DATE(YEAR($Q$1),MONTH($Q$1)+(-3),1)),4,1),'Form responses'!$C$2:$C75,"&lt;="&amp;$Q$1,'Form responses'!$G$2:$G75,$J$1,'Form responses'!$F$2:$F75,"=4")</f>
        <v>0</v>
      </c>
      <c r="U35" s="244">
        <f>sumifs('Form responses'!CY$2:CY75,'Form responses'!$C$2:$C75,"&gt;="&amp;Date(YEAR(DATE(YEAR($Q$1),MONTH($Q$1)+(-3),1)),4,1),'Form responses'!$C$2:$C75,"&lt;="&amp;$Q$1,'Form responses'!$G$2:$G75,$J$1,'Form responses'!$F$2:$F75,"=4")</f>
        <v>0</v>
      </c>
      <c r="V35" s="244">
        <f>sumifs('Form responses'!CZ$2:CZ75,'Form responses'!$C$2:$C75,"&gt;="&amp;Date(YEAR(DATE(YEAR($Q$1),MONTH($Q$1)+(-3),1)),4,1),'Form responses'!$C$2:$C75,"&lt;="&amp;$Q$1,'Form responses'!$G$2:$G75,$J$1,'Form responses'!$F$2:$F75,"=4")</f>
        <v>0</v>
      </c>
      <c r="W35" s="244">
        <f>sumifs('Form responses'!DA$2:DA75,'Form responses'!$C$2:$C75,"&gt;="&amp;Date(YEAR(DATE(YEAR($Q$1),MONTH($Q$1)+(-3),1)),4,1),'Form responses'!$C$2:$C75,"&lt;="&amp;$Q$1,'Form responses'!$G$2:$G75,$J$1,'Form responses'!$F$2:$F75,"=4")</f>
        <v>0</v>
      </c>
      <c r="X35" s="257"/>
      <c r="Y35" s="257"/>
      <c r="Z35" s="257"/>
      <c r="AA35" s="249"/>
    </row>
    <row r="36" ht="16.5" customHeight="1">
      <c r="A36" s="253"/>
      <c r="B36" s="269" t="s">
        <v>609</v>
      </c>
      <c r="C36" s="256"/>
      <c r="D36" s="256"/>
      <c r="E36" s="256"/>
      <c r="F36" s="256"/>
      <c r="G36" s="256"/>
      <c r="H36" s="256"/>
      <c r="I36" s="256"/>
      <c r="J36" s="257"/>
      <c r="K36" s="256"/>
      <c r="L36" s="256"/>
      <c r="M36" s="256"/>
      <c r="N36" s="256"/>
      <c r="O36" s="257"/>
      <c r="P36" s="256"/>
      <c r="Q36" s="256"/>
      <c r="R36" s="256"/>
      <c r="S36" s="256"/>
      <c r="T36" s="256"/>
      <c r="U36" s="256"/>
      <c r="V36" s="256"/>
      <c r="W36" s="256"/>
      <c r="X36" s="257"/>
      <c r="Y36" s="257"/>
      <c r="Z36" s="257"/>
      <c r="AA36" s="249"/>
    </row>
    <row r="37" ht="54.75" customHeight="1">
      <c r="A37" s="270"/>
      <c r="B37" s="261" t="s">
        <v>421</v>
      </c>
      <c r="C37" s="261" t="s">
        <v>422</v>
      </c>
      <c r="D37" s="261" t="s">
        <v>423</v>
      </c>
      <c r="E37" s="261" t="s">
        <v>424</v>
      </c>
      <c r="F37" s="261" t="s">
        <v>425</v>
      </c>
      <c r="G37" s="261" t="s">
        <v>426</v>
      </c>
      <c r="H37" s="261" t="s">
        <v>427</v>
      </c>
      <c r="I37" s="261" t="s">
        <v>428</v>
      </c>
      <c r="J37" s="271"/>
      <c r="K37" s="261" t="s">
        <v>429</v>
      </c>
      <c r="L37" s="261" t="s">
        <v>430</v>
      </c>
      <c r="M37" s="261" t="s">
        <v>431</v>
      </c>
      <c r="N37" s="261" t="s">
        <v>432</v>
      </c>
      <c r="O37" s="271"/>
      <c r="P37" s="261" t="s">
        <v>610</v>
      </c>
      <c r="Q37" s="261" t="s">
        <v>611</v>
      </c>
      <c r="R37" s="261" t="s">
        <v>435</v>
      </c>
      <c r="S37" s="261" t="s">
        <v>436</v>
      </c>
      <c r="T37" s="261" t="s">
        <v>437</v>
      </c>
      <c r="U37" s="261" t="s">
        <v>438</v>
      </c>
      <c r="V37" s="261" t="s">
        <v>439</v>
      </c>
      <c r="W37" s="261" t="s">
        <v>440</v>
      </c>
      <c r="X37" s="272"/>
      <c r="Y37" s="272"/>
      <c r="Z37" s="272"/>
      <c r="AA37" s="273"/>
    </row>
    <row r="38" ht="24.75" customHeight="1">
      <c r="A38" s="243"/>
      <c r="B38" s="244">
        <f>sumifs('Form responses'!DL$2:DL75,'Form responses'!$C$2:$C75,"&gt;="&amp;$N$1,'Form responses'!$C$2:$C75,"&lt;="&amp;$Q$1,'Form responses'!$G$2:$G75,$J$1,'Form responses'!$F$2:$F75,"=4")</f>
        <v>2</v>
      </c>
      <c r="C38" s="244">
        <f>sumifs('Form responses'!DM$2:DM75,'Form responses'!$C$2:$C75,"&gt;="&amp;$N$1,'Form responses'!$C$2:$C75,"&lt;="&amp;$Q$1,'Form responses'!$G$2:$G75,$J$1,'Form responses'!$F$2:$F75,"=4")</f>
        <v>2</v>
      </c>
      <c r="D38" s="244">
        <f>sumifs('Form responses'!DN$2:DN75,'Form responses'!$C$2:$C75,"&gt;="&amp;$N$1,'Form responses'!$C$2:$C75,"&lt;="&amp;$Q$1,'Form responses'!$G$2:$G75,$J$1,'Form responses'!$F$2:$F75,"=4")</f>
        <v>0</v>
      </c>
      <c r="E38" s="244">
        <f>sumifs('Form responses'!DO$2:DO75,'Form responses'!$C$2:$C75,"&gt;="&amp;$N$1,'Form responses'!$C$2:$C75,"&lt;="&amp;$Q$1,'Form responses'!$G$2:$G75,$J$1,'Form responses'!$F$2:$F75,"=4")</f>
        <v>0</v>
      </c>
      <c r="F38" s="244">
        <f>sumifs('Form responses'!DP$2:DP75,'Form responses'!$C$2:$C75,"&gt;="&amp;$N$1,'Form responses'!$C$2:$C75,"&lt;="&amp;$Q$1,'Form responses'!$G$2:$G75,$J$1,'Form responses'!$F$2:$F75,"=4")</f>
        <v>0</v>
      </c>
      <c r="G38" s="244">
        <f>sumifs('Form responses'!DQ$2:DQ75,'Form responses'!$C$2:$C75,"&gt;="&amp;$N$1,'Form responses'!$C$2:$C75,"&lt;="&amp;$Q$1,'Form responses'!$G$2:$G75,$J$1,'Form responses'!$F$2:$F75,"=4")</f>
        <v>0</v>
      </c>
      <c r="H38" s="244">
        <f>sumifs('Form responses'!DR$2:DR75,'Form responses'!$C$2:$C75,"&gt;="&amp;$N$1,'Form responses'!$C$2:$C75,"&lt;="&amp;$Q$1,'Form responses'!$G$2:$G75,$J$1,'Form responses'!$F$2:$F75,"=4")</f>
        <v>0</v>
      </c>
      <c r="I38" s="244">
        <f>sumifs('Form responses'!DS$2:DS75,'Form responses'!$C$2:$C75,"&gt;="&amp;$N$1,'Form responses'!$C$2:$C75,"&lt;="&amp;$Q$1,'Form responses'!$G$2:$G75,$J$1,'Form responses'!$F$2:$F75,"=4")</f>
        <v>0</v>
      </c>
      <c r="J38" s="248"/>
      <c r="K38" s="244">
        <f>sumifs('Form responses'!DT$2:DT75,'Form responses'!$C$2:$C75,"&gt;="&amp;$N$1,'Form responses'!$C$2:$C75,"&lt;="&amp;$Q$1,'Form responses'!$G$2:$G75,$J$1,'Form responses'!$F$2:$F75,"=4")</f>
        <v>4</v>
      </c>
      <c r="L38" s="244">
        <f>sumifs('Form responses'!DU$2:DU75,'Form responses'!$C$2:$C75,"&gt;="&amp;$N$1,'Form responses'!$C$2:$C75,"&lt;="&amp;$Q$1,'Form responses'!$G$2:$G75,$J$1,'Form responses'!$F$2:$F75,"=4")</f>
        <v>2</v>
      </c>
      <c r="M38" s="244">
        <f>sumifs('Form responses'!DV$2:DV75,'Form responses'!$C$2:$C75,"&gt;="&amp;$N$1,'Form responses'!$C$2:$C75,"&lt;="&amp;$Q$1,'Form responses'!$G$2:$G75,$J$1,'Form responses'!$F$2:$F75,"=4")</f>
        <v>0</v>
      </c>
      <c r="N38" s="244">
        <f>sumifs('Form responses'!DW$2:DW75,'Form responses'!$C$2:$C75,"&gt;="&amp;$N$1,'Form responses'!$C$2:$C75,"&lt;="&amp;$Q$1,'Form responses'!$G$2:$G75,$J$1,'Form responses'!$F$2:$F75,"=4")</f>
        <v>0</v>
      </c>
      <c r="O38" s="248"/>
      <c r="P38" s="244">
        <f>sumifs('Form responses'!DX$2:DX75,'Form responses'!$C$2:$C75,"&gt;="&amp;$N$1,'Form responses'!$C$2:$C75,"&lt;="&amp;$Q$1,'Form responses'!$G$2:$G75,$J$1,'Form responses'!$F$2:$F75,"=4")</f>
        <v>0</v>
      </c>
      <c r="Q38" s="244">
        <f>sumifs('Form responses'!DY$2:DY75,'Form responses'!$C$2:$C75,"&gt;="&amp;$N$1,'Form responses'!$C$2:$C75,"&lt;="&amp;$Q$1,'Form responses'!$G$2:$G75,$J$1,'Form responses'!$F$2:$F75,"=4")</f>
        <v>0</v>
      </c>
      <c r="R38" s="244">
        <f>sumifs('Form responses'!DZ$2:DZ75,'Form responses'!$C$2:$C75,"&gt;="&amp;$N$1,'Form responses'!$C$2:$C75,"&lt;="&amp;$Q$1,'Form responses'!$G$2:$G75,$J$1,'Form responses'!$F$2:$F75,"=4")</f>
        <v>0</v>
      </c>
      <c r="S38" s="244">
        <f>sumifs('Form responses'!EA$2:EA75,'Form responses'!$C$2:$C75,"&gt;="&amp;$N$1,'Form responses'!$C$2:$C75,"&lt;="&amp;$Q$1,'Form responses'!$G$2:$G75,$J$1,'Form responses'!$F$2:$F75,"=4")</f>
        <v>0</v>
      </c>
      <c r="T38" s="244">
        <f>sumifs('Form responses'!EB$2:EB75,'Form responses'!$C$2:$C75,"&gt;="&amp;$N$1,'Form responses'!$C$2:$C75,"&lt;="&amp;$Q$1,'Form responses'!$G$2:$G75,$J$1,'Form responses'!$F$2:$F75,"=4")</f>
        <v>0</v>
      </c>
      <c r="U38" s="244">
        <f>sumifs('Form responses'!EC$2:EC75,'Form responses'!$C$2:$C75,"&gt;="&amp;$N$1,'Form responses'!$C$2:$C75,"&lt;="&amp;$Q$1,'Form responses'!$G$2:$G75,$J$1,'Form responses'!$F$2:$F75,"=4")</f>
        <v>0</v>
      </c>
      <c r="V38" s="244">
        <f>sumifs('Form responses'!ED$2:ED75,'Form responses'!$C$2:$C75,"&gt;="&amp;$N$1,'Form responses'!$C$2:$C75,"&lt;="&amp;$Q$1,'Form responses'!$G$2:$G75,$J$1,'Form responses'!$F$2:$F75,"=4")</f>
        <v>0</v>
      </c>
      <c r="W38" s="244">
        <f>sumifs('Form responses'!EE$2:EE75,'Form responses'!$C$2:$C75,"&gt;="&amp;$N$1,'Form responses'!$C$2:$C75,"&lt;="&amp;$Q$1,'Form responses'!$G$2:$G75,$J$1,'Form responses'!$F$2:$F75,"=4")</f>
        <v>0</v>
      </c>
      <c r="X38" s="257"/>
      <c r="Y38" s="257"/>
      <c r="Z38" s="257"/>
      <c r="AA38" s="249"/>
    </row>
    <row r="39" ht="24.75" customHeight="1">
      <c r="A39" s="250"/>
      <c r="B39" s="244">
        <f>sumifs('Form responses'!DL$2:DL75,'Form responses'!$C$2:$C75,"&gt;="&amp;Date(YEAR(DATE(YEAR($Q$1),MONTH($Q$1)+(-3),1)),4,1),'Form responses'!$C$2:$C75,"&lt;="&amp;$Q$1,'Form responses'!$G$2:$G75,$J$1,'Form responses'!$F$2:$F75,"=4")</f>
        <v>2</v>
      </c>
      <c r="C39" s="244">
        <f>sumifs('Form responses'!DM$2:DM75,'Form responses'!$C$2:$C75,"&gt;="&amp;Date(YEAR(DATE(YEAR($Q$1),MONTH($Q$1)+(-3),1)),4,1),'Form responses'!$C$2:$C75,"&lt;="&amp;$Q$1,'Form responses'!$G$2:$G75,$J$1,'Form responses'!$F$2:$F75,"=4")</f>
        <v>2</v>
      </c>
      <c r="D39" s="244">
        <f>sumifs('Form responses'!DN$2:DN75,'Form responses'!$C$2:$C75,"&gt;="&amp;Date(YEAR(DATE(YEAR($Q$1),MONTH($Q$1)+(-3),1)),4,1),'Form responses'!$C$2:$C75,"&lt;="&amp;$Q$1,'Form responses'!$G$2:$G75,$J$1,'Form responses'!$F$2:$F75,"=4")</f>
        <v>0</v>
      </c>
      <c r="E39" s="244">
        <f>sumifs('Form responses'!DO$2:DO75,'Form responses'!$C$2:$C75,"&gt;="&amp;Date(YEAR(DATE(YEAR($Q$1),MONTH($Q$1)+(-3),1)),4,1),'Form responses'!$C$2:$C75,"&lt;="&amp;$Q$1,'Form responses'!$G$2:$G75,$J$1,'Form responses'!$F$2:$F75,"=4")</f>
        <v>0</v>
      </c>
      <c r="F39" s="244">
        <f>sumifs('Form responses'!DP$2:DP75,'Form responses'!$C$2:$C75,"&gt;="&amp;Date(YEAR(DATE(YEAR($Q$1),MONTH($Q$1)+(-3),1)),4,1),'Form responses'!$C$2:$C75,"&lt;="&amp;$Q$1,'Form responses'!$G$2:$G75,$J$1,'Form responses'!$F$2:$F75,"=4")</f>
        <v>0</v>
      </c>
      <c r="G39" s="244">
        <f>sumifs('Form responses'!DQ$2:DQ75,'Form responses'!$C$2:$C75,"&gt;="&amp;Date(YEAR(DATE(YEAR($Q$1),MONTH($Q$1)+(-3),1)),4,1),'Form responses'!$C$2:$C75,"&lt;="&amp;$Q$1,'Form responses'!$G$2:$G75,$J$1,'Form responses'!$F$2:$F75,"=4")</f>
        <v>0</v>
      </c>
      <c r="H39" s="244">
        <f>sumifs('Form responses'!DR$2:DR75,'Form responses'!$C$2:$C75,"&gt;="&amp;Date(YEAR(DATE(YEAR($Q$1),MONTH($Q$1)+(-3),1)),4,1),'Form responses'!$C$2:$C75,"&lt;="&amp;$Q$1,'Form responses'!$G$2:$G75,$J$1,'Form responses'!$F$2:$F75,"=4")</f>
        <v>0</v>
      </c>
      <c r="I39" s="244">
        <f>sumifs('Form responses'!DS$2:DS75,'Form responses'!$C$2:$C75,"&gt;="&amp;Date(YEAR(DATE(YEAR($Q$1),MONTH($Q$1)+(-3),1)),4,1),'Form responses'!$C$2:$C75,"&lt;="&amp;$Q$1,'Form responses'!$G$2:$G75,$J$1,'Form responses'!$F$2:$F75,"=4")</f>
        <v>0</v>
      </c>
      <c r="J39" s="248"/>
      <c r="K39" s="244">
        <f>sumifs('Form responses'!DT$2:DT75,'Form responses'!$C$2:$C75,"&gt;="&amp;Date(YEAR(DATE(YEAR($Q$1),MONTH($Q$1)+(-3),1)),4,1),'Form responses'!$C$2:$C75,"&lt;="&amp;$Q$1,'Form responses'!$G$2:$G75,$J$1,'Form responses'!$F$2:$F75,"=4")</f>
        <v>4</v>
      </c>
      <c r="L39" s="244">
        <f>sumifs('Form responses'!DU$2:DU75,'Form responses'!$C$2:$C75,"&gt;="&amp;Date(YEAR(DATE(YEAR($Q$1),MONTH($Q$1)+(-3),1)),4,1),'Form responses'!$C$2:$C75,"&lt;="&amp;$Q$1,'Form responses'!$G$2:$G75,$J$1,'Form responses'!$F$2:$F75,"=4")</f>
        <v>2</v>
      </c>
      <c r="M39" s="244">
        <f>sumifs('Form responses'!DV$2:DV75,'Form responses'!$C$2:$C75,"&gt;="&amp;Date(YEAR(DATE(YEAR($Q$1),MONTH($Q$1)+(-3),1)),4,1),'Form responses'!$C$2:$C75,"&lt;="&amp;$Q$1,'Form responses'!$G$2:$G75,$J$1,'Form responses'!$F$2:$F75,"=4")</f>
        <v>0</v>
      </c>
      <c r="N39" s="244">
        <f>sumifs('Form responses'!DW$2:DW75,'Form responses'!$C$2:$C75,"&gt;="&amp;Date(YEAR(DATE(YEAR($Q$1),MONTH($Q$1)+(-3),1)),4,1),'Form responses'!$C$2:$C75,"&lt;="&amp;$Q$1,'Form responses'!$G$2:$G75,$J$1,'Form responses'!$F$2:$F75,"=4")</f>
        <v>0</v>
      </c>
      <c r="O39" s="248"/>
      <c r="P39" s="244">
        <f>sumifs('Form responses'!DX$2:DX75,'Form responses'!$C$2:$C75,"&gt;="&amp;Date(YEAR(DATE(YEAR($Q$1),MONTH($Q$1)+(-3),1)),4,1),'Form responses'!$C$2:$C75,"&lt;="&amp;$Q$1,'Form responses'!$G$2:$G75,$J$1,'Form responses'!$F$2:$F75,"=4")</f>
        <v>0</v>
      </c>
      <c r="Q39" s="244">
        <f>sumifs('Form responses'!DY$2:DY75,'Form responses'!$C$2:$C75,"&gt;="&amp;Date(YEAR(DATE(YEAR($Q$1),MONTH($Q$1)+(-3),1)),4,1),'Form responses'!$C$2:$C75,"&lt;="&amp;$Q$1,'Form responses'!$G$2:$G75,$J$1,'Form responses'!$F$2:$F75,"=4")</f>
        <v>0</v>
      </c>
      <c r="R39" s="244">
        <f>sumifs('Form responses'!DZ$2:DZ75,'Form responses'!$C$2:$C75,"&gt;="&amp;Date(YEAR(DATE(YEAR($Q$1),MONTH($Q$1)+(-3),1)),4,1),'Form responses'!$C$2:$C75,"&lt;="&amp;$Q$1,'Form responses'!$G$2:$G75,$J$1,'Form responses'!$F$2:$F75,"=4")</f>
        <v>0</v>
      </c>
      <c r="S39" s="244">
        <f>sumifs('Form responses'!EA$2:EA75,'Form responses'!$C$2:$C75,"&gt;="&amp;Date(YEAR(DATE(YEAR($Q$1),MONTH($Q$1)+(-3),1)),4,1),'Form responses'!$C$2:$C75,"&lt;="&amp;$Q$1,'Form responses'!$G$2:$G75,$J$1,'Form responses'!$F$2:$F75,"=4")</f>
        <v>0</v>
      </c>
      <c r="T39" s="244">
        <f>sumifs('Form responses'!EB$2:EB75,'Form responses'!$C$2:$C75,"&gt;="&amp;Date(YEAR(DATE(YEAR($Q$1),MONTH($Q$1)+(-3),1)),4,1),'Form responses'!$C$2:$C75,"&lt;="&amp;$Q$1,'Form responses'!$G$2:$G75,$J$1,'Form responses'!$F$2:$F75,"=4")</f>
        <v>0</v>
      </c>
      <c r="U39" s="244">
        <f>sumifs('Form responses'!EC$2:EC75,'Form responses'!$C$2:$C75,"&gt;="&amp;Date(YEAR(DATE(YEAR($Q$1),MONTH($Q$1)+(-3),1)),4,1),'Form responses'!$C$2:$C75,"&lt;="&amp;$Q$1,'Form responses'!$G$2:$G75,$J$1,'Form responses'!$F$2:$F75,"=4")</f>
        <v>0</v>
      </c>
      <c r="V39" s="244">
        <f>sumifs('Form responses'!ED$2:ED75,'Form responses'!$C$2:$C75,"&gt;="&amp;Date(YEAR(DATE(YEAR($Q$1),MONTH($Q$1)+(-3),1)),4,1),'Form responses'!$C$2:$C75,"&lt;="&amp;$Q$1,'Form responses'!$G$2:$G75,$J$1,'Form responses'!$F$2:$F75,"=4")</f>
        <v>0</v>
      </c>
      <c r="W39" s="244">
        <f>sumifs('Form responses'!EE$2:EE75,'Form responses'!$C$2:$C75,"&gt;="&amp;Date(YEAR(DATE(YEAR($Q$1),MONTH($Q$1)+(-3),1)),4,1),'Form responses'!$C$2:$C75,"&lt;="&amp;$Q$1,'Form responses'!$G$2:$G75,$J$1,'Form responses'!$F$2:$F75,"=4")</f>
        <v>0</v>
      </c>
      <c r="X39" s="257"/>
      <c r="Y39" s="257"/>
      <c r="Z39" s="257"/>
      <c r="AA39" s="249"/>
    </row>
    <row r="40" ht="21.75" customHeight="1">
      <c r="A40" s="253"/>
      <c r="B40" s="269" t="s">
        <v>612</v>
      </c>
      <c r="C40" s="274"/>
      <c r="D40" s="274"/>
      <c r="E40" s="274"/>
      <c r="F40" s="274"/>
      <c r="G40" s="274"/>
      <c r="H40" s="274"/>
      <c r="I40" s="275"/>
      <c r="J40" s="275"/>
      <c r="AA40" s="276"/>
    </row>
    <row r="41" ht="49.5" customHeight="1">
      <c r="A41" s="270"/>
      <c r="B41" s="261" t="s">
        <v>613</v>
      </c>
      <c r="C41" s="261" t="s">
        <v>614</v>
      </c>
      <c r="D41" s="261" t="s">
        <v>615</v>
      </c>
      <c r="E41" s="261" t="s">
        <v>616</v>
      </c>
      <c r="F41" s="277" t="s">
        <v>524</v>
      </c>
      <c r="G41" s="261" t="s">
        <v>617</v>
      </c>
      <c r="H41" s="261" t="s">
        <v>618</v>
      </c>
      <c r="I41" s="261" t="s">
        <v>389</v>
      </c>
      <c r="J41" s="278" t="s">
        <v>390</v>
      </c>
      <c r="K41" s="279" t="s">
        <v>525</v>
      </c>
      <c r="AA41" s="276"/>
    </row>
    <row r="42" ht="24.75" customHeight="1">
      <c r="A42" s="265"/>
      <c r="B42" s="266">
        <f>sumifs('Form responses'!BZ$2:BZ75,'Form responses'!$C$2:$C75,"&gt;="&amp;$N$1,'Form responses'!$C$2:$C75,"&lt;="&amp;$Q$1,'Form responses'!$G$2:$G75,$J$1,'Form responses'!$F$2:$F75,"=4")</f>
        <v>45</v>
      </c>
      <c r="C42" s="266">
        <f>sumifs('Form responses'!CA$2:CA75,'Form responses'!$C$2:$C75,"&gt;="&amp;$N$1,'Form responses'!$C$2:$C75,"&lt;="&amp;$Q$1,'Form responses'!$G$2:$G75,$J$1,'Form responses'!$F$2:$F75,"=4")</f>
        <v>29</v>
      </c>
      <c r="D42" s="266">
        <f>sumifs('Form responses'!CB$2:CB75,'Form responses'!$C$2:$C75,"&gt;="&amp;$N$1,'Form responses'!$C$2:$C75,"&lt;="&amp;$Q$1,'Form responses'!$G$2:$G75,$J$1,'Form responses'!$F$2:$F75,"=4")</f>
        <v>0</v>
      </c>
      <c r="E42" s="245">
        <f>sumifs('Form responses'!CC$2:CC75,'Form responses'!$C$2:$C75,"&gt;="&amp;$N$1,'Form responses'!$C$2:$C75,"&lt;="&amp;$Q$1,'Form responses'!$G$2:$G75,$J$1,'Form responses'!$F$2:$F75,"=4")</f>
        <v>0</v>
      </c>
      <c r="F42" s="246">
        <f t="shared" ref="F42:F43" si="12">B42+D42</f>
        <v>45</v>
      </c>
      <c r="G42" s="244">
        <f>sumifs('Form responses'!CD$2:CD75,'Form responses'!$C$2:$C75,"&gt;="&amp;$N$1,'Form responses'!$C$2:$C75,"&lt;="&amp;$Q$1,'Form responses'!$G$2:$G75,$J$1,'Form responses'!$F$2:$F75,"=4")</f>
        <v>0</v>
      </c>
      <c r="H42" s="244">
        <f>sumifs('Form responses'!CE$2:CE75,'Form responses'!$C$2:$C75,"&gt;="&amp;$N$1,'Form responses'!$C$2:$C75,"&lt;="&amp;$Q$1,'Form responses'!$G$2:$G75,$J$1,'Form responses'!$F$2:$F75,"=4")</f>
        <v>0</v>
      </c>
      <c r="I42" s="244">
        <f>sumifs('Form responses'!CF$2:CF75,'Form responses'!$C$2:$C75,"&gt;="&amp;$N$1,'Form responses'!$C$2:$C75,"&lt;="&amp;$Q$1,'Form responses'!$G$2:$G75,$J$1,'Form responses'!$F$2:$F75,"=4")</f>
        <v>0</v>
      </c>
      <c r="J42" s="280">
        <f>sumifs('Form responses'!CG$2:CG75,'Form responses'!$C$2:$C75,"&gt;="&amp;$N$1,'Form responses'!$C$2:$C75,"&lt;="&amp;$Q$1,'Form responses'!$G$2:$G75,$J$1,'Form responses'!$F$2:$F75,"=4")</f>
        <v>0</v>
      </c>
      <c r="K42" s="281">
        <f t="shared" ref="K42:K43" si="13">G42+I42</f>
        <v>0</v>
      </c>
      <c r="AA42" s="276"/>
    </row>
    <row r="43" ht="24.75" customHeight="1">
      <c r="A43" s="267"/>
      <c r="B43" s="268">
        <f>sumifs('Form responses'!BZ$2:BZ75,'Form responses'!$C$2:$C75,"&gt;="&amp;Date(YEAR(DATE(YEAR($Q$1),MONTH($Q$1)+(-3),1)),4,1),'Form responses'!$C$2:$C75,"&lt;="&amp;$Q$1,'Form responses'!$G$2:$G75,$J$1,'Form responses'!$F$2:$F75,"=4")</f>
        <v>45</v>
      </c>
      <c r="C43" s="268">
        <f>sumifs('Form responses'!CA$2:CA75,'Form responses'!$C$2:$C75,"&gt;="&amp;Date(YEAR(DATE(YEAR($Q$1),MONTH($Q$1)+(-3),1)),4,1),'Form responses'!$C$2:$C75,"&lt;="&amp;$Q$1,'Form responses'!$G$2:$G75,$J$1,'Form responses'!$F$2:$F75,"=4")</f>
        <v>29</v>
      </c>
      <c r="D43" s="268">
        <f>sumifs('Form responses'!CB$2:CB75,'Form responses'!$C$2:$C75,"&gt;="&amp;Date(YEAR(DATE(YEAR($Q$1),MONTH($Q$1)+(-3),1)),4,1),'Form responses'!$C$2:$C75,"&lt;="&amp;$Q$1,'Form responses'!$G$2:$G75,$J$1,'Form responses'!$F$2:$F75,"=4")</f>
        <v>0</v>
      </c>
      <c r="E43" s="282">
        <f>sumifs('Form responses'!CC$2:CC75,'Form responses'!$C$2:$C75,"&gt;="&amp;Date(YEAR(DATE(YEAR($Q$1),MONTH($Q$1)+(-3),1)),4,1),'Form responses'!$C$2:$C75,"&lt;="&amp;$Q$1,'Form responses'!$G$2:$G75,$J$1,'Form responses'!$F$2:$F75,"=4")</f>
        <v>0</v>
      </c>
      <c r="F43" s="283">
        <f t="shared" si="12"/>
        <v>45</v>
      </c>
      <c r="G43" s="268">
        <f>sumifs('Form responses'!CD$2:CD75,'Form responses'!$C$2:$C75,"&gt;="&amp;Date(YEAR(DATE(YEAR($Q$1),MONTH($Q$1)+(-3),1)),4,1),'Form responses'!$C$2:$C75,"&lt;="&amp;$Q$1,'Form responses'!$G$2:$G75,$J$1,'Form responses'!$F$2:$F75,"=4")</f>
        <v>0</v>
      </c>
      <c r="H43" s="268">
        <f>sumifs('Form responses'!CE$2:CE75,'Form responses'!$C$2:$C75,"&gt;="&amp;Date(YEAR(DATE(YEAR($Q$1),MONTH($Q$1)+(-3),1)),4,1),'Form responses'!$C$2:$C75,"&lt;="&amp;$Q$1,'Form responses'!$G$2:$G75,$J$1,'Form responses'!$F$2:$F75,"=4")</f>
        <v>0</v>
      </c>
      <c r="I43" s="268">
        <f>sumifs('Form responses'!CF$2:CF75,'Form responses'!$C$2:$C75,"&gt;="&amp;Date(YEAR(DATE(YEAR($Q$1),MONTH($Q$1)+(-3),1)),4,1),'Form responses'!$C$2:$C75,"&lt;="&amp;$Q$1,'Form responses'!$G$2:$G75,$J$1,'Form responses'!$F$2:$F75,"=4")</f>
        <v>0</v>
      </c>
      <c r="J43" s="284">
        <f>sumifs('Form responses'!CG$2:CG75,'Form responses'!$C$2:$C75,"&gt;="&amp;Date(YEAR(DATE(YEAR($Q$1),MONTH($Q$1)+(-3),1)),4,1),'Form responses'!$C$2:$C75,"&lt;="&amp;$Q$1,'Form responses'!$G$2:$G75,$J$1,'Form responses'!$F$2:$F75,"=4")</f>
        <v>0</v>
      </c>
      <c r="K43" s="285">
        <f t="shared" si="13"/>
        <v>0</v>
      </c>
      <c r="AA43" s="276"/>
    </row>
    <row r="44" ht="18.75" customHeight="1">
      <c r="A44" s="286"/>
      <c r="B44" s="287" t="s">
        <v>619</v>
      </c>
      <c r="C44" s="288"/>
      <c r="D44" s="288"/>
      <c r="E44" s="288"/>
      <c r="F44" s="275"/>
      <c r="G44" s="275"/>
      <c r="H44" s="275"/>
      <c r="I44" s="275"/>
      <c r="J44" s="289" t="s">
        <v>620</v>
      </c>
      <c r="K44" s="274"/>
      <c r="L44" s="274"/>
      <c r="M44" s="274"/>
      <c r="N44" s="274"/>
      <c r="O44" s="275"/>
      <c r="P44" s="274"/>
      <c r="Q44" s="274"/>
      <c r="R44" s="290"/>
      <c r="S44" s="290"/>
      <c r="T44" s="290"/>
      <c r="U44" s="290"/>
      <c r="V44" s="290"/>
      <c r="W44" s="290"/>
      <c r="X44" s="290"/>
      <c r="Y44" s="290"/>
      <c r="Z44" s="290"/>
      <c r="AA44" s="291"/>
    </row>
    <row r="45" ht="54.0" customHeight="1">
      <c r="A45" s="286"/>
      <c r="B45" s="292" t="s">
        <v>621</v>
      </c>
      <c r="C45" s="293" t="s">
        <v>622</v>
      </c>
      <c r="D45" s="293" t="s">
        <v>413</v>
      </c>
      <c r="E45" s="293" t="s">
        <v>623</v>
      </c>
      <c r="F45" s="293" t="s">
        <v>624</v>
      </c>
      <c r="G45" s="293" t="s">
        <v>625</v>
      </c>
      <c r="H45" s="293" t="s">
        <v>417</v>
      </c>
      <c r="I45" s="294" t="s">
        <v>418</v>
      </c>
      <c r="J45" s="293" t="s">
        <v>441</v>
      </c>
      <c r="K45" s="293" t="s">
        <v>442</v>
      </c>
      <c r="L45" s="293" t="s">
        <v>443</v>
      </c>
      <c r="M45" s="293" t="s">
        <v>444</v>
      </c>
      <c r="N45" s="293" t="s">
        <v>626</v>
      </c>
      <c r="O45" s="293" t="s">
        <v>627</v>
      </c>
      <c r="P45" s="293" t="s">
        <v>447</v>
      </c>
      <c r="Q45" s="294" t="s">
        <v>448</v>
      </c>
      <c r="R45" s="290"/>
      <c r="S45" s="290"/>
      <c r="T45" s="290"/>
      <c r="U45" s="290"/>
      <c r="V45" s="290"/>
      <c r="W45" s="290"/>
      <c r="X45" s="290"/>
      <c r="Y45" s="290"/>
      <c r="Z45" s="290"/>
      <c r="AA45" s="291"/>
    </row>
    <row r="46" ht="24.75" customHeight="1">
      <c r="A46" s="286"/>
      <c r="B46" s="295">
        <f>sumifs('Form responses'!DB$2:DB75,'Form responses'!$C$2:$C75,"&gt;="&amp;$N$1,'Form responses'!$C$2:$C75,"&lt;="&amp;$Q$1,'Form responses'!$G$2:$G75,$J$1,'Form responses'!$F$2:$F75,"=4")</f>
        <v>31</v>
      </c>
      <c r="C46" s="244">
        <f>sumifs('Form responses'!DC$2:DC75,'Form responses'!$C$2:$C75,"&gt;="&amp;$N$1,'Form responses'!$C$2:$C75,"&lt;="&amp;$Q$1,'Form responses'!$G$2:$G75,$J$1,'Form responses'!$F$2:$F75,"=4")</f>
        <v>16</v>
      </c>
      <c r="D46" s="244">
        <f>sumifs('Form responses'!DD$2:DD75,'Form responses'!$C$2:$C75,"&gt;="&amp;$N$1,'Form responses'!$C$2:$C75,"&lt;="&amp;$Q$1,'Form responses'!$G$2:$G75,$J$1,'Form responses'!$F$2:$F75,"=4")</f>
        <v>0</v>
      </c>
      <c r="E46" s="244">
        <f>sumifs('Form responses'!DE$2:DE75,'Form responses'!$C$2:$C75,"&gt;="&amp;$N$1,'Form responses'!$C$2:$C75,"&lt;="&amp;$Q$1,'Form responses'!$G$2:$G75,$J$1,'Form responses'!$F$2:$F75,"=4")</f>
        <v>0</v>
      </c>
      <c r="F46" s="244">
        <f>sumifs('Form responses'!DF$2:DF75,'Form responses'!$C$2:$C75,"&gt;="&amp;$N$1,'Form responses'!$C$2:$C75,"&lt;="&amp;$Q$1,'Form responses'!$G$2:$G75,$J$1,'Form responses'!$F$2:$F75,"=4")</f>
        <v>0</v>
      </c>
      <c r="G46" s="244">
        <f>sumifs('Form responses'!DG$2:DG75,'Form responses'!$C$2:$C75,"&gt;="&amp;$N$1,'Form responses'!$C$2:$C75,"&lt;="&amp;$Q$1,'Form responses'!$G$2:$G75,$J$1,'Form responses'!$F$2:$F75,"=4")</f>
        <v>0</v>
      </c>
      <c r="H46" s="244">
        <f>sumifs('Form responses'!DH$2:DH75,'Form responses'!$C$2:$C75,"&gt;="&amp;$N$1,'Form responses'!$C$2:$C75,"&lt;="&amp;$Q$1,'Form responses'!$G$2:$G75,$J$1,'Form responses'!$F$2:$F75,"=4")</f>
        <v>0</v>
      </c>
      <c r="I46" s="266">
        <f>sumifs('Form responses'!DI$2:DI75,'Form responses'!$C$2:$C75,"&gt;="&amp;$N$1,'Form responses'!$C$2:$C75,"&lt;="&amp;$Q$1,'Form responses'!$G$2:$G75,$J$1,'Form responses'!$F$2:$F75,"=4")</f>
        <v>0</v>
      </c>
      <c r="J46" s="244">
        <f>sumifs('Form responses'!EF$2:EF75,'Form responses'!$C$2:$C75,"&gt;="&amp;$N$1,'Form responses'!$C$2:$C75,"&lt;="&amp;$Q$1,'Form responses'!$G$2:$G75,$J$1,'Form responses'!$F$2:$F75,"=4")</f>
        <v>8</v>
      </c>
      <c r="K46" s="244">
        <f>sumifs('Form responses'!EG$2:EG75,'Form responses'!$C$2:$C75,"&gt;="&amp;$N$1,'Form responses'!$C$2:$C75,"&lt;="&amp;$Q$1,'Form responses'!$G$2:$G75,$J$1,'Form responses'!$F$2:$F75,"=4")</f>
        <v>8</v>
      </c>
      <c r="L46" s="244">
        <f>sumifs('Form responses'!EH$2:EH75,'Form responses'!$C$2:$C75,"&gt;="&amp;$N$1,'Form responses'!$C$2:$C75,"&lt;="&amp;$Q$1,'Form responses'!$G$2:$G75,$J$1,'Form responses'!$F$2:$F75,"=4")</f>
        <v>0</v>
      </c>
      <c r="M46" s="244">
        <f>sumifs('Form responses'!EI$2:EI75,'Form responses'!$C$2:$C75,"&gt;="&amp;$N$1,'Form responses'!$C$2:$C75,"&lt;="&amp;$Q$1,'Form responses'!$G$2:$G75,$J$1,'Form responses'!$F$2:$F75,"=4")</f>
        <v>0</v>
      </c>
      <c r="N46" s="244">
        <f>sumifs('Form responses'!EJ$2:EJ75,'Form responses'!$C$2:$C75,"&gt;="&amp;$N$1,'Form responses'!$C$2:$C75,"&lt;="&amp;$Q$1,'Form responses'!$G$2:$G75,$J$1,'Form responses'!$F$2:$F75,"=4")</f>
        <v>0</v>
      </c>
      <c r="O46" s="244">
        <f>sumifs('Form responses'!EK$2:EK75,'Form responses'!$C$2:$C75,"&gt;="&amp;$N$1,'Form responses'!$C$2:$C75,"&lt;="&amp;$Q$1,'Form responses'!$G$2:$G75,$J$1,'Form responses'!$F$2:$F75,"=4")</f>
        <v>0</v>
      </c>
      <c r="P46" s="244">
        <f>sumifs('Form responses'!EL$2:EL75,'Form responses'!$C$2:$C75,"&gt;="&amp;$N$1,'Form responses'!$C$2:$C75,"&lt;="&amp;$Q$1,'Form responses'!$G$2:$G75,$J$1,'Form responses'!$F$2:$F75,"=4")</f>
        <v>0</v>
      </c>
      <c r="Q46" s="266">
        <f>sumifs('Form responses'!EM$2:EM75,'Form responses'!$C$2:$C75,"&gt;="&amp;$N$1,'Form responses'!$C$2:$C75,"&lt;="&amp;$Q$1,'Form responses'!$G$2:$G75,$J$1,'Form responses'!$F$2:$F75,"=4")</f>
        <v>0</v>
      </c>
      <c r="R46" s="290"/>
      <c r="S46" s="290"/>
      <c r="T46" s="290"/>
      <c r="U46" s="290"/>
      <c r="V46" s="290"/>
      <c r="W46" s="290"/>
      <c r="X46" s="290"/>
      <c r="Y46" s="290"/>
      <c r="Z46" s="290"/>
      <c r="AA46" s="291"/>
    </row>
    <row r="47" ht="24.75" customHeight="1">
      <c r="A47" s="296"/>
      <c r="B47" s="297">
        <f>sumifs('Form responses'!DB$2:DB75,'Form responses'!$C$2:$C75,"&gt;="&amp;Date(YEAR(DATE(YEAR($Q$1),MONTH($Q$1)+(-3),1)),4,1),'Form responses'!$C$2:$C75,"&lt;="&amp;$Q$1,'Form responses'!$G$2:$G75,$J$1,'Form responses'!$F$2:$F75,"=4")</f>
        <v>31</v>
      </c>
      <c r="C47" s="268">
        <f>sumifs('Form responses'!DC$2:DC75,'Form responses'!$C$2:$C75,"&gt;="&amp;Date(YEAR(DATE(YEAR($Q$1),MONTH($Q$1)+(-3),1)),4,1),'Form responses'!$C$2:$C75,"&lt;="&amp;$Q$1,'Form responses'!$G$2:$G75,$J$1,'Form responses'!$F$2:$F75,"=4")</f>
        <v>16</v>
      </c>
      <c r="D47" s="268">
        <f>sumifs('Form responses'!DD$2:DD75,'Form responses'!$C$2:$C75,"&gt;="&amp;Date(YEAR(DATE(YEAR($Q$1),MONTH($Q$1)+(-3),1)),4,1),'Form responses'!$C$2:$C75,"&lt;="&amp;$Q$1,'Form responses'!$G$2:$G75,$J$1,'Form responses'!$F$2:$F75,"=4")</f>
        <v>0</v>
      </c>
      <c r="E47" s="268">
        <f>sumifs('Form responses'!DE$2:DE75,'Form responses'!$C$2:$C75,"&gt;="&amp;Date(YEAR(DATE(YEAR($Q$1),MONTH($Q$1)+(-3),1)),4,1),'Form responses'!$C$2:$C75,"&lt;="&amp;$Q$1,'Form responses'!$G$2:$G75,$J$1,'Form responses'!$F$2:$F75,"=4")</f>
        <v>0</v>
      </c>
      <c r="F47" s="268">
        <f>sumifs('Form responses'!DF$2:DF75,'Form responses'!$C$2:$C75,"&gt;="&amp;Date(YEAR(DATE(YEAR($Q$1),MONTH($Q$1)+(-3),1)),4,1),'Form responses'!$C$2:$C75,"&lt;="&amp;$Q$1,'Form responses'!$G$2:$G75,$J$1,'Form responses'!$F$2:$F75,"=4")</f>
        <v>0</v>
      </c>
      <c r="G47" s="268">
        <f>sumifs('Form responses'!DG$2:DG75,'Form responses'!$C$2:$C75,"&gt;="&amp;Date(YEAR(DATE(YEAR($Q$1),MONTH($Q$1)+(-3),1)),4,1),'Form responses'!$C$2:$C75,"&lt;="&amp;$Q$1,'Form responses'!$G$2:$G75,$J$1,'Form responses'!$F$2:$F75,"=4")</f>
        <v>0</v>
      </c>
      <c r="H47" s="268">
        <f>sumifs('Form responses'!DH$2:DH75,'Form responses'!$C$2:$C75,"&gt;="&amp;Date(YEAR(DATE(YEAR($Q$1),MONTH($Q$1)+(-3),1)),4,1),'Form responses'!$C$2:$C75,"&lt;="&amp;$Q$1,'Form responses'!$G$2:$G75,$J$1,'Form responses'!$F$2:$F75,"=4")</f>
        <v>0</v>
      </c>
      <c r="I47" s="298">
        <f>sumifs('Form responses'!DI$2:DI75,'Form responses'!$C$2:$C75,"&gt;="&amp;Date(YEAR(DATE(YEAR($Q$1),MONTH($Q$1)+(-3),1)),4,1),'Form responses'!$C$2:$C75,"&lt;="&amp;$Q$1,'Form responses'!$G$2:$G75,$J$1,'Form responses'!$F$2:$F75,"=4")</f>
        <v>0</v>
      </c>
      <c r="J47" s="268">
        <f>sumifs('Form responses'!EF$2:EF75,'Form responses'!$C$2:$C75,"&gt;="&amp;Date(YEAR(DATE(YEAR($Q$1),MONTH($Q$1)+(-3),1)),4,1),'Form responses'!$C$2:$C75,"&lt;="&amp;$Q$1,'Form responses'!$G$2:$G75,$J$1,'Form responses'!$F$2:$F75,"=4")</f>
        <v>8</v>
      </c>
      <c r="K47" s="268">
        <f>sumifs('Form responses'!EG$2:EG75,'Form responses'!$C$2:$C75,"&gt;="&amp;Date(YEAR(DATE(YEAR($Q$1),MONTH($Q$1)+(-3),1)),4,1),'Form responses'!$C$2:$C75,"&lt;="&amp;$Q$1,'Form responses'!$G$2:$G75,$J$1,'Form responses'!$F$2:$F75,"=4")</f>
        <v>8</v>
      </c>
      <c r="L47" s="268">
        <f>sumifs('Form responses'!EH$2:EH75,'Form responses'!$C$2:$C75,"&gt;="&amp;Date(YEAR(DATE(YEAR($Q$1),MONTH($Q$1)+(-3),1)),4,1),'Form responses'!$C$2:$C75,"&lt;="&amp;$Q$1,'Form responses'!$G$2:$G75,$J$1,'Form responses'!$F$2:$F75,"=4")</f>
        <v>0</v>
      </c>
      <c r="M47" s="268">
        <f>sumifs('Form responses'!EI$2:EI75,'Form responses'!$C$2:$C75,"&gt;="&amp;Date(YEAR(DATE(YEAR($Q$1),MONTH($Q$1)+(-3),1)),4,1),'Form responses'!$C$2:$C75,"&lt;="&amp;$Q$1,'Form responses'!$G$2:$G75,$J$1,'Form responses'!$F$2:$F75,"=4")</f>
        <v>0</v>
      </c>
      <c r="N47" s="268">
        <f>sumifs('Form responses'!EJ$2:EJ75,'Form responses'!$C$2:$C75,"&gt;="&amp;Date(YEAR(DATE(YEAR($Q$1),MONTH($Q$1)+(-3),1)),4,1),'Form responses'!$C$2:$C75,"&lt;="&amp;$Q$1,'Form responses'!$G$2:$G75,$J$1,'Form responses'!$F$2:$F75,"=4")</f>
        <v>0</v>
      </c>
      <c r="O47" s="268">
        <f>sumifs('Form responses'!EK$2:EK75,'Form responses'!$C$2:$C75,"&gt;="&amp;Date(YEAR(DATE(YEAR($Q$1),MONTH($Q$1)+(-3),1)),4,1),'Form responses'!$C$2:$C75,"&lt;="&amp;$Q$1,'Form responses'!$G$2:$G75,$J$1,'Form responses'!$F$2:$F75,"=4")</f>
        <v>0</v>
      </c>
      <c r="P47" s="268">
        <f>sumifs('Form responses'!EL$2:EL75,'Form responses'!$C$2:$C75,"&gt;="&amp;Date(YEAR(DATE(YEAR($Q$1),MONTH($Q$1)+(-3),1)),4,1),'Form responses'!$C$2:$C75,"&lt;="&amp;$Q$1,'Form responses'!$G$2:$G75,$J$1,'Form responses'!$F$2:$F75,"=4")</f>
        <v>0</v>
      </c>
      <c r="Q47" s="298">
        <f>sumifs('Form responses'!EM$2:EM75,'Form responses'!$C$2:$C75,"&gt;="&amp;Date(YEAR(DATE(YEAR($Q$1),MONTH($Q$1)+(-3),1)),4,1),'Form responses'!$C$2:$C75,"&lt;="&amp;$Q$1,'Form responses'!$G$2:$G75,$J$1,'Form responses'!$F$2:$F75,"=4")</f>
        <v>0</v>
      </c>
      <c r="R47" s="284"/>
      <c r="S47" s="284"/>
      <c r="T47" s="284"/>
      <c r="U47" s="284"/>
      <c r="V47" s="284"/>
      <c r="W47" s="284"/>
      <c r="X47" s="284"/>
      <c r="Y47" s="284"/>
      <c r="Z47" s="284"/>
      <c r="AA47" s="298"/>
    </row>
    <row r="48" ht="19.5" customHeight="1">
      <c r="C48" s="188"/>
      <c r="D48" s="118" t="s">
        <v>552</v>
      </c>
      <c r="E48" s="189"/>
      <c r="F48" s="189"/>
      <c r="G48" s="189"/>
      <c r="H48" s="190"/>
      <c r="I48" s="190"/>
      <c r="J48" s="190"/>
      <c r="K48" s="190"/>
      <c r="L48" s="190"/>
      <c r="M48" s="190"/>
      <c r="N48" s="102"/>
      <c r="O48" s="102"/>
      <c r="P48" s="102"/>
      <c r="Q48" s="102"/>
      <c r="R48" s="154"/>
      <c r="S48" s="154"/>
      <c r="T48" s="154"/>
      <c r="U48" s="154"/>
      <c r="V48" s="154"/>
      <c r="W48" s="154"/>
    </row>
    <row r="49" ht="36.0" customHeight="1">
      <c r="C49" s="299"/>
      <c r="D49" s="300" t="s">
        <v>553</v>
      </c>
      <c r="E49" s="300" t="s">
        <v>554</v>
      </c>
      <c r="F49" s="300" t="s">
        <v>502</v>
      </c>
      <c r="G49" s="300" t="s">
        <v>554</v>
      </c>
      <c r="H49" s="300" t="s">
        <v>503</v>
      </c>
      <c r="I49" s="300" t="s">
        <v>554</v>
      </c>
      <c r="J49" s="300" t="s">
        <v>504</v>
      </c>
      <c r="K49" s="300" t="s">
        <v>554</v>
      </c>
      <c r="L49" s="300" t="s">
        <v>555</v>
      </c>
      <c r="M49" s="191"/>
      <c r="N49" s="191"/>
      <c r="O49" s="191"/>
      <c r="P49" s="191"/>
      <c r="Q49" s="102"/>
      <c r="R49" s="154"/>
      <c r="S49" s="154"/>
      <c r="T49" s="154"/>
      <c r="U49" s="154"/>
      <c r="V49" s="154"/>
      <c r="W49" s="154"/>
      <c r="X49" s="154"/>
      <c r="Y49" s="154"/>
      <c r="Z49" s="154"/>
      <c r="AA49" s="154"/>
    </row>
    <row r="50" ht="24.75" customHeight="1">
      <c r="C50" s="301" t="str">
        <f>IFERROR(__xludf.DUMMYFUNCTION("FILTER(Credentials!$C:$C,Credentials!$U:$U=1)"),"Talwandi Sabo")</f>
        <v>Talwandi Sabo</v>
      </c>
      <c r="D50" s="302">
        <f>sumifs('Form responses'!$GN$2:$GN75,'Form responses'!$B$2:$B75,"&gt;="&amp;$N$1,'Form responses'!$C$2:$C75,"&lt;="&amp;$Q$1,'Form responses'!$D$2:$D75,$C50)</f>
        <v>0</v>
      </c>
      <c r="E50" s="302">
        <f>D50*Sum!$V$9</f>
        <v>0</v>
      </c>
      <c r="F50" s="302">
        <f>sumifs('Form responses'!$GO$2:$GO75,'Form responses'!$B$2:$B75,"&gt;="&amp;$N$1,'Form responses'!$C$2:$C75,"&lt;="&amp;$Q$1,'Form responses'!$D$2:$D75,$C50)</f>
        <v>0</v>
      </c>
      <c r="G50" s="302">
        <f>F50*Sum!$W$9</f>
        <v>0</v>
      </c>
      <c r="H50" s="302">
        <f>sumifs('Form responses'!$GP$2:$GP75,'Form responses'!$B$2:$B75,"&gt;="&amp;$N$1,'Form responses'!$C$2:$C75,"&lt;="&amp;$Q$1,'Form responses'!$D$2:$D75,$C50)</f>
        <v>0</v>
      </c>
      <c r="I50" s="302">
        <f>H50*Sum!$X$9</f>
        <v>0</v>
      </c>
      <c r="J50" s="302">
        <f>sumifs('Form responses'!$GQ$2:$GQ75,'Form responses'!$B$2:$B75,"&gt;="&amp;$N$1,'Form responses'!$C$2:$C75,"&lt;="&amp;$Q$1,'Form responses'!$D$2:$D75,$C50)</f>
        <v>0</v>
      </c>
      <c r="K50" s="302">
        <f>J50*Sum!$Y$9</f>
        <v>0</v>
      </c>
      <c r="L50" s="302">
        <f t="shared" ref="L50:L54" si="14">E50+G50+I50+K50</f>
        <v>0</v>
      </c>
      <c r="M50" s="194"/>
      <c r="N50" s="194"/>
      <c r="O50" s="194"/>
      <c r="P50" s="194"/>
      <c r="Q50" s="102"/>
      <c r="R50" s="154"/>
      <c r="S50" s="154"/>
      <c r="T50" s="154"/>
      <c r="U50" s="154"/>
      <c r="V50" s="154"/>
      <c r="W50" s="154"/>
      <c r="X50" s="154"/>
      <c r="Y50" s="154"/>
      <c r="Z50" s="154"/>
      <c r="AA50" s="154"/>
    </row>
    <row r="51" ht="24.75" customHeight="1">
      <c r="C51" s="303" t="str">
        <f>IFERROR(__xludf.DUMMYFUNCTION("""COMPUTED_VALUE"""),"CVH Talwandi Sabo")</f>
        <v>CVH Talwandi Sabo</v>
      </c>
      <c r="D51" s="302">
        <f>sumifs('Form responses'!$GN$2:$GN75,'Form responses'!$B$2:$B75,"&gt;="&amp;$N$1,'Form responses'!$C$2:$C75,"&lt;="&amp;$Q$1,'Form responses'!$D$2:$D75,$C51)</f>
        <v>2</v>
      </c>
      <c r="E51" s="302">
        <f>D51*Sum!$V$9</f>
        <v>80</v>
      </c>
      <c r="F51" s="302">
        <f>sumifs('Form responses'!$GO$2:$GO75,'Form responses'!$B$2:$B75,"&gt;="&amp;$N$1,'Form responses'!$C$2:$C75,"&lt;="&amp;$Q$1,'Form responses'!$D$2:$D75,$C51)</f>
        <v>2</v>
      </c>
      <c r="G51" s="302">
        <f>F51*Sum!$W$9</f>
        <v>80</v>
      </c>
      <c r="H51" s="302">
        <f>sumifs('Form responses'!$GP$2:$GP75,'Form responses'!$B$2:$B75,"&gt;="&amp;$N$1,'Form responses'!$C$2:$C75,"&lt;="&amp;$Q$1,'Form responses'!$D$2:$D75,$C51)</f>
        <v>0</v>
      </c>
      <c r="I51" s="302">
        <f>H51*Sum!$X$9</f>
        <v>0</v>
      </c>
      <c r="J51" s="302">
        <f>sumifs('Form responses'!$GQ$2:$GQ75,'Form responses'!$B$2:$B75,"&gt;="&amp;$N$1,'Form responses'!$C$2:$C75,"&lt;="&amp;$Q$1,'Form responses'!$D$2:$D75,$C51)</f>
        <v>20</v>
      </c>
      <c r="K51" s="302">
        <f>J51*Sum!$Y$9</f>
        <v>40</v>
      </c>
      <c r="L51" s="302">
        <f t="shared" si="14"/>
        <v>200</v>
      </c>
      <c r="M51" s="194"/>
      <c r="N51" s="194"/>
      <c r="O51" s="194"/>
      <c r="P51" s="194"/>
      <c r="Q51" s="102"/>
      <c r="R51" s="154"/>
      <c r="S51" s="154"/>
      <c r="T51" s="154"/>
      <c r="U51" s="154"/>
      <c r="V51" s="154"/>
      <c r="W51" s="154"/>
      <c r="X51" s="154"/>
      <c r="Y51" s="154"/>
      <c r="Z51" s="154"/>
      <c r="AA51" s="154"/>
    </row>
    <row r="52" ht="22.5" customHeight="1">
      <c r="C52" s="304" t="str">
        <f>IFERROR(__xludf.DUMMYFUNCTION("""COMPUTED_VALUE"""),"CVH Raman Mandi")</f>
        <v>CVH Raman Mandi</v>
      </c>
      <c r="D52" s="302">
        <f>sumifs('Form responses'!$GN$2:$GN75,'Form responses'!$B$2:$B75,"&gt;="&amp;$N$1,'Form responses'!$C$2:$C75,"&lt;="&amp;$Q$1,'Form responses'!$D$2:$D75,$C52)</f>
        <v>0</v>
      </c>
      <c r="E52" s="302">
        <f>D52*Sum!$V$9</f>
        <v>0</v>
      </c>
      <c r="F52" s="302">
        <f>sumifs('Form responses'!$GO$2:$GO75,'Form responses'!$B$2:$B75,"&gt;="&amp;$N$1,'Form responses'!$C$2:$C75,"&lt;="&amp;$Q$1,'Form responses'!$D$2:$D75,$C52)</f>
        <v>0</v>
      </c>
      <c r="G52" s="302">
        <f>F52*Sum!$W$9</f>
        <v>0</v>
      </c>
      <c r="H52" s="302">
        <f>sumifs('Form responses'!$GP$2:$GP75,'Form responses'!$B$2:$B75,"&gt;="&amp;$N$1,'Form responses'!$C$2:$C75,"&lt;="&amp;$Q$1,'Form responses'!$D$2:$D75,$C52)</f>
        <v>0</v>
      </c>
      <c r="I52" s="302">
        <f>H52*Sum!$X$9</f>
        <v>0</v>
      </c>
      <c r="J52" s="302">
        <f>sumifs('Form responses'!$GQ$2:$GQ75,'Form responses'!$B$2:$B75,"&gt;="&amp;$N$1,'Form responses'!$C$2:$C75,"&lt;="&amp;$Q$1,'Form responses'!$D$2:$D75,$C52)</f>
        <v>0</v>
      </c>
      <c r="K52" s="302">
        <f>J52*Sum!$Y$9</f>
        <v>0</v>
      </c>
      <c r="L52" s="302">
        <f t="shared" si="14"/>
        <v>0</v>
      </c>
      <c r="M52" s="194"/>
      <c r="N52" s="190" t="str">
        <f>TEXT(4690,"mmmm")</f>
        <v>November</v>
      </c>
      <c r="O52" s="190"/>
      <c r="P52" s="190"/>
      <c r="Q52" s="190"/>
      <c r="R52" s="190"/>
      <c r="S52" s="190"/>
      <c r="T52" s="190"/>
      <c r="U52" s="190"/>
      <c r="V52" s="190"/>
      <c r="W52" s="190"/>
      <c r="X52" s="131"/>
      <c r="Y52" s="194"/>
      <c r="Z52" s="194"/>
      <c r="AA52" s="194"/>
    </row>
    <row r="53" ht="22.5" customHeight="1">
      <c r="C53" s="184" t="s">
        <v>628</v>
      </c>
      <c r="D53" s="302">
        <f>Sum!B12</f>
        <v>2</v>
      </c>
      <c r="E53" s="302">
        <f>Sum!C12</f>
        <v>80</v>
      </c>
      <c r="F53" s="302">
        <f>Sum!D12</f>
        <v>2</v>
      </c>
      <c r="G53" s="302">
        <f>Sum!E12</f>
        <v>80</v>
      </c>
      <c r="H53" s="302">
        <f>Sum!F12</f>
        <v>0</v>
      </c>
      <c r="I53" s="302">
        <f>Sum!G12</f>
        <v>0</v>
      </c>
      <c r="J53" s="302">
        <f>Sum!H12</f>
        <v>20</v>
      </c>
      <c r="K53" s="302">
        <f>Sum!I12</f>
        <v>40</v>
      </c>
      <c r="L53" s="302">
        <f t="shared" si="14"/>
        <v>200</v>
      </c>
      <c r="M53" s="194"/>
      <c r="N53" s="190"/>
      <c r="O53" s="190"/>
      <c r="P53" s="190"/>
      <c r="Q53" s="190"/>
      <c r="R53" s="190"/>
      <c r="S53" s="190"/>
      <c r="T53" s="190"/>
      <c r="U53" s="190"/>
      <c r="V53" s="190"/>
      <c r="W53" s="190"/>
      <c r="X53" s="131"/>
      <c r="Y53" s="194"/>
      <c r="Z53" s="194"/>
      <c r="AA53" s="194"/>
    </row>
    <row r="54" ht="22.5" customHeight="1">
      <c r="C54" s="184" t="s">
        <v>629</v>
      </c>
      <c r="D54" s="302">
        <f>Sum!B13</f>
        <v>2</v>
      </c>
      <c r="E54" s="302">
        <f>Sum!C13</f>
        <v>80</v>
      </c>
      <c r="F54" s="302">
        <f>Sum!D13</f>
        <v>2</v>
      </c>
      <c r="G54" s="302">
        <f>Sum!E13</f>
        <v>80</v>
      </c>
      <c r="H54" s="302">
        <f>Sum!F13</f>
        <v>0</v>
      </c>
      <c r="I54" s="302">
        <f>Sum!G13</f>
        <v>0</v>
      </c>
      <c r="J54" s="302">
        <f>Sum!H13</f>
        <v>20</v>
      </c>
      <c r="K54" s="302">
        <f>Sum!I13</f>
        <v>40</v>
      </c>
      <c r="L54" s="302">
        <f t="shared" si="14"/>
        <v>200</v>
      </c>
      <c r="M54" s="194"/>
      <c r="N54" s="190"/>
      <c r="O54" s="190"/>
      <c r="P54" s="190"/>
      <c r="Q54" s="190"/>
      <c r="R54" s="190"/>
      <c r="S54" s="190"/>
      <c r="T54" s="190"/>
      <c r="U54" s="190"/>
      <c r="V54" s="190"/>
      <c r="W54" s="190"/>
      <c r="X54" s="131"/>
      <c r="Y54" s="194"/>
      <c r="Z54" s="194"/>
      <c r="AA54" s="194"/>
    </row>
    <row r="55" ht="22.5" customHeight="1">
      <c r="C55" s="192"/>
      <c r="D55" s="118" t="str">
        <f>"TOTAL FEE DEPOSITED BY ALL INSTITUTES OF TEHSIL "&amp;$J$1&amp;" INCLUDING PAIW"</f>
        <v>TOTAL FEE DEPOSITED BY ALL INSTITUTES OF TEHSIL Talwandi Sabo INCLUDING PAIW</v>
      </c>
      <c r="E55" s="149"/>
      <c r="F55" s="149"/>
      <c r="G55" s="194"/>
      <c r="H55" s="194"/>
      <c r="I55" s="194"/>
      <c r="J55" s="194"/>
      <c r="K55" s="195"/>
      <c r="L55" s="194"/>
      <c r="M55" s="194"/>
      <c r="N55" s="190"/>
      <c r="O55" s="190"/>
      <c r="P55" s="190"/>
      <c r="Q55" s="190"/>
      <c r="R55" s="190"/>
      <c r="S55" s="190"/>
      <c r="T55" s="190"/>
      <c r="U55" s="190"/>
      <c r="V55" s="190"/>
      <c r="W55" s="190"/>
      <c r="X55" s="131"/>
      <c r="Y55" s="194"/>
      <c r="Z55" s="194"/>
      <c r="AA55" s="194"/>
    </row>
    <row r="56" ht="24.75" customHeight="1">
      <c r="C56" s="192"/>
      <c r="D56" s="104" t="s">
        <v>559</v>
      </c>
      <c r="E56" s="107" t="s">
        <v>560</v>
      </c>
      <c r="F56" s="104" t="s">
        <v>561</v>
      </c>
      <c r="G56" s="104" t="s">
        <v>562</v>
      </c>
      <c r="H56" s="104" t="s">
        <v>563</v>
      </c>
      <c r="I56" s="104" t="s">
        <v>564</v>
      </c>
      <c r="J56" s="107" t="s">
        <v>565</v>
      </c>
      <c r="K56" s="104" t="s">
        <v>566</v>
      </c>
      <c r="L56" s="196" t="s">
        <v>567</v>
      </c>
      <c r="M56" s="197" t="s">
        <v>568</v>
      </c>
      <c r="N56" s="197" t="s">
        <v>569</v>
      </c>
      <c r="O56" s="197" t="s">
        <v>19</v>
      </c>
      <c r="P56" s="196" t="s">
        <v>566</v>
      </c>
      <c r="Q56" s="196" t="s">
        <v>570</v>
      </c>
      <c r="R56" s="197" t="s">
        <v>571</v>
      </c>
      <c r="S56" s="107" t="s">
        <v>572</v>
      </c>
      <c r="T56" s="104" t="s">
        <v>573</v>
      </c>
      <c r="U56" s="198"/>
      <c r="V56" s="142"/>
      <c r="W56" s="142"/>
      <c r="X56" s="142"/>
      <c r="Y56" s="142"/>
      <c r="Z56" s="142"/>
      <c r="AA56" s="142"/>
    </row>
    <row r="57" ht="24.75" customHeight="1">
      <c r="A57" s="199"/>
      <c r="B57" s="199"/>
      <c r="C57" s="184" t="s">
        <v>630</v>
      </c>
      <c r="D57" s="200">
        <f>((sumifs('Form responses'!$I$2:$I75,'Form responses'!$C$2:$C75,"&gt;="&amp;$N$1,'Form responses'!$C$2:$C75,"&lt;="&amp;$Q$1,'Form responses'!$G$2:$G75,$J$1)
+sumifs('Form responses'!$J$2:$J75,'Form responses'!$C$2:$C75,"&gt;="&amp;$N$1,'Form responses'!$C$2:$C75,"&lt;="&amp;$Q$1,'Form responses'!$G$2:$G75,$J$1)
+sumifs('Form responses'!$K$2:$K75,'Form responses'!$C$2:$C75,"&gt;="&amp;$N$1,'Form responses'!$C$2:$C75,"&lt;="&amp;$Q$1,'Form responses'!$G$2:$G75,$J$1)
)*Sum!$B$35)</f>
        <v>19540</v>
      </c>
      <c r="E57" s="201">
        <f>((sumifs('Form responses'!$L$2:$L75,'Form responses'!$C$2:$C75,"&gt;="&amp;$N$1,'Form responses'!$C$2:$C75,"&lt;="&amp;$Q$1,'Form responses'!$G$2:$G75,$J$1))*Sum!$C$35)</f>
        <v>1600</v>
      </c>
      <c r="F57" s="200">
        <f>((
sumifs('Form responses'!$U$2:$U75,'Form responses'!$C$2:$C75,"&gt;="&amp;$N$1,'Form responses'!$C$2:$C75,"&lt;="&amp;$Q$1,'Form responses'!$G$2:$G75,$J$1)
+
sumifs('Form responses'!$V$2:$V75,'Form responses'!$C$2:$C75,"&gt;="&amp;$N$1,'Form responses'!$C$2:$C75,"&lt;="&amp;$Q$1,'Form responses'!$G$2:$G75,$J$1)
)*Sum!$E$35
)</f>
        <v>0</v>
      </c>
      <c r="G57" s="200">
        <f>sumifs('Form responses'!$W$2:$W75,'Form responses'!$C$2:$C75,"&gt;="&amp;$N$1,'Form responses'!$C$2:$C75,"&lt;="&amp;$Q$1,'Form responses'!$G$2:$G75,$J$1)
*Sum!$D$35</f>
        <v>0</v>
      </c>
      <c r="H57" s="200">
        <f t="shared" ref="H57:H58" si="15">L53</f>
        <v>200</v>
      </c>
      <c r="I57" s="200">
        <f>((
sumifs('Form responses'!$X$2:$X75,'Form responses'!$C$2:$C75,"&gt;="&amp;$N$1,'Form responses'!$C$2:$C75,"&lt;="&amp;$Q$1,'Form responses'!$G$2:$G75,$J$1)
)*
Sum!$F$35
)+((
sumifs('Form responses'!$Y$2:$Y75,'Form responses'!$C$2:$C75,"&gt;="&amp;$N$1,'Form responses'!$C$2:$C75,"&lt;="&amp;$Q$1,'Form responses'!$G$2:$G75,$J$1)
)*
Sum!$G$35
)</f>
        <v>3400</v>
      </c>
      <c r="J57" s="200">
        <f>((
sumifs('Form responses'!$Z$2:$Z75,'Form responses'!$C$2:$C75,"&gt;="&amp;$N$1,'Form responses'!$C$2:$C75,"&lt;="&amp;$Q$1,'Form responses'!$G$2:$G75,$J$1)
)*Sum!$H$35)+((
sumifs('Form responses'!$AA$2:$AA75,'Form responses'!$C$2:$C75,"&gt;="&amp;$N$1,'Form responses'!$C$2:$C75,"&lt;="&amp;$Q$1,'Form responses'!$G$2:$G75,$J$1)
)*Sum!$I$35)+((
sumifs('Form responses'!$AB$2:$AB75,'Form responses'!$C$2:$C75,"&gt;="&amp;$N$1,'Form responses'!$C$2:$C75,"&lt;="&amp;$Q$1,'Form responses'!$G$2:$G75,$J$1)
)*Sum!$Z$35)+((
sumifs('Form responses'!$AC$2:$AC75,'Form responses'!$C$2:$C75,"&gt;="&amp;$N$1,'Form responses'!$C$2:$C75,"&lt;="&amp;$Q$1,'Form responses'!$G$2:$G75,$J$1)
)*Sum!$AA$35)+((
sumifs('Form responses'!$AD$2:$AD75,'Form responses'!$C$2:$C75,"&gt;="&amp;$N$1,'Form responses'!$C$2:$C75,"&lt;="&amp;$Q$1,'Form responses'!$G$2:$G75,$J$1)
)*Sum!$AB$35)</f>
        <v>100</v>
      </c>
      <c r="K57" s="200">
        <f t="shared" ref="K57:K58" si="16">SUM(D57:J57)</f>
        <v>24840</v>
      </c>
      <c r="L57" s="200">
        <f>(
sumifs('Form responses'!$BF$2:$BF75,'Form responses'!$C$2:$C75,"&gt;="&amp;$N$1,'Form responses'!$C$2:$C75,"&lt;="&amp;$Q$1,'Form responses'!$G$2:$G75,$J$1)
+
sumifs('Form responses'!$BH$2:$BH75,'Form responses'!$C$2:$C75,"&gt;="&amp;$N$1,'Form responses'!$C$2:$C75,"&lt;="&amp;$Q$1,'Form responses'!$G$2:$G75,$J$1)
+
sumifs('Form responses'!$BJ$2:$BJ75,'Form responses'!$C$2:$C75,"&gt;="&amp;$N$1,'Form responses'!$C$2:$C75,"&lt;="&amp;$Q$1,'Form responses'!$G$2:$G75,$J$1)
+
sumifs('Form responses'!$BL$2:$BL75,'Form responses'!$C$2:$C75,"&gt;="&amp;$N$1,'Form responses'!$C$2:$C75,"&lt;="&amp;$Q$1,'Form responses'!$G$2:$G75,$J$1)
)*Sum!$Q$35</f>
        <v>15525</v>
      </c>
      <c r="M57" s="200">
        <f>(
sumifs('Form responses'!$BN$2:$BN75,'Form responses'!$C$2:$C75,"&gt;="&amp;N$1,'Form responses'!$C$2:$C75,"&lt;="&amp;$Q$1,'Form responses'!$G$2:$G75,$J$1)
+
sumifs('Form responses'!$BP$2:$BP75,'Form responses'!$C$2:$C75,"&gt;="&amp;N$1,'Form responses'!$C$2:$C75,"&lt;="&amp;$Q$1,'Form responses'!$G$2:$G75,$J$1)
)*Sum!$R$35</f>
        <v>6160</v>
      </c>
      <c r="N57" s="200">
        <f>+sumifs('Form responses'!$BR$2:$BR75,'Form responses'!$C$2:$C75,"&gt;="&amp;$N$1,'Form responses'!$C$2:$C75,"&lt;="&amp;$Q$1,'Form responses'!$G$2:$G75,$J$1)*Sum!$S$35+sumifs('Form responses'!$BT$2:$BT75,'Form responses'!$C$2:$C75,"&gt;="&amp;$N$1,'Form responses'!$C$2:$C75,"&lt;="&amp;$Q$1,'Form responses'!$G$2:$G75,$J$1)*Sum!$S$35+sumifs('Form responses'!$BV$2:$BV75,'Form responses'!$C$2:$C75,"&gt;="&amp;$N$1,'Form responses'!$C$2:$C75,"&lt;="&amp;$Q$1,'Form responses'!$G$2:$G75,$J$1)*Sum!$S$35+sumifs('Form responses'!$BX$2:$BX75,'Form responses'!$C$2:$C75,"&gt;="&amp;$N$1,'Form responses'!$C$2:$C75,"&lt;="&amp;$Q$1,'Form responses'!$G$2:$G75,$J$1)*Sum!$S$35</f>
        <v>0</v>
      </c>
      <c r="O57" s="200"/>
      <c r="P57" s="200">
        <f t="shared" ref="P57:P58" si="17">SUM(L57:O57)</f>
        <v>21685</v>
      </c>
      <c r="Q57" s="200">
        <f>((sumifs('Form responses'!$BZ$2:$BZ75,'Form responses'!$C$2:$C75,"&gt;="&amp;$N$1,'Form responses'!$C$2:$C75,"&lt;="&amp;$Q$1,'Form responses'!$G$2:$G75,$J$1)+
sumifs('Form responses'!$CB$2:$CB75,'Form responses'!$C$2:$C75,"&gt;="&amp;$N$1,'Form responses'!$C$2:$C75,"&lt;="&amp;$Q$1,'Form responses'!$G$2:$G75,$J$1))*Sum!$U$35)</f>
        <v>15900</v>
      </c>
      <c r="R57" s="200">
        <f>+sumifs('Form responses'!$CD$2:$CD75,'Form responses'!$C$2:$C75,"&gt;="&amp;$N$1,'Form responses'!$C$2:$C75,"&lt;="&amp;$Q$1,'Form responses'!$G$2:$G75,$J$1)*Sum!$S$35+sumifs('Form responses'!$CF$2:$CF75,'Form responses'!$C$2:$C75,"&gt;="&amp;$N$1,'Form responses'!$C$2:$C75,"&lt;="&amp;$Q$1,'Form responses'!$G$2:$G75,$J$1)*Sum!$S$35</f>
        <v>0</v>
      </c>
      <c r="S57" s="200">
        <f t="shared" ref="S57:S58" si="18">P57+Q57+R57</f>
        <v>37585</v>
      </c>
      <c r="T57" s="200">
        <f t="shared" ref="T57:T58" si="19">K57+S57</f>
        <v>62425</v>
      </c>
      <c r="U57" s="199"/>
      <c r="V57" s="202"/>
      <c r="W57" s="202"/>
      <c r="X57" s="202"/>
      <c r="Y57" s="202"/>
      <c r="Z57" s="202"/>
      <c r="AA57" s="202"/>
    </row>
    <row r="58" ht="24.75" customHeight="1">
      <c r="A58" s="199"/>
      <c r="B58" s="199"/>
      <c r="C58" s="184" t="s">
        <v>631</v>
      </c>
      <c r="D58" s="200">
        <f>((sumifs('Form responses'!$I$2:$I75,'Form responses'!$C$2:$C75,"&gt;="&amp;Date(YEAR(DATE(YEAR($N$1),MONTH($N$1)+(-3),1)),4,1),'Form responses'!$C$2:$C75,"&lt;="&amp;$Q$1,'Form responses'!$G$2:$G75,$J$1)
+sumifs('Form responses'!$J$2:$J75,'Form responses'!$C$2:$C75,"&gt;="&amp;Date(YEAR(DATE(YEAR($N$1),MONTH($N$1)+(-3),1)),4,1),'Form responses'!$C$2:$C75,"&lt;="&amp;$Q$1,'Form responses'!$G$2:$G75,$J$1)
+sumifs('Form responses'!$K$2:$K75,'Form responses'!$C$2:$C75,"&gt;="&amp;Date(YEAR(DATE(YEAR($N$1),MONTH($N$1)+(-3),1)),4,1),'Form responses'!$C$2:$C75,"&lt;="&amp;$Q$1,'Form responses'!$G$2:$G75,$J$1)
)*Sum!$B$35)</f>
        <v>19540</v>
      </c>
      <c r="E58" s="201">
        <f>((sumifs('Form responses'!$L$2:$L75,'Form responses'!$C$2:$C75,"&gt;="&amp;Date(YEAR(DATE(YEAR($N$1),MONTH($N$1)+(-3),1)),4,1),'Form responses'!$C$2:$C75,"&lt;="&amp;$Q$1,'Form responses'!$G$2:$G75,$J$1))*Sum!$C$35)</f>
        <v>1600</v>
      </c>
      <c r="F58" s="200">
        <f>((
sumifs('Form responses'!$U$2:$U75,'Form responses'!$C$2:$C75,"&gt;="&amp;Date(YEAR(DATE(YEAR($N$1),MONTH($N$1)+(-3),1)),4,1),'Form responses'!$C$2:$C75,"&lt;="&amp;$Q$1,'Form responses'!$G$2:$G75,$J$1)
+
sumifs('Form responses'!$V$2:$V75,'Form responses'!$C$2:$C75,"&gt;="&amp;Date(YEAR(DATE(YEAR($N$1),MONTH($N$1)+(-3),1)),4,1),'Form responses'!$C$2:$C75,"&lt;="&amp;$Q$1,'Form responses'!$G$2:$G75,$J$1)
)*Sum!$E$35
)</f>
        <v>0</v>
      </c>
      <c r="G58" s="200">
        <f>sumifs('Form responses'!$W$2:$W75,'Form responses'!$C$2:$C75,"&gt;="&amp;Date(YEAR(DATE(YEAR($N$1),MONTH($N$1)+(-3),1)),4,1),'Form responses'!$C$2:$C75,"&lt;="&amp;$Q$1,'Form responses'!$G$2:$G75,$J$1)
*Sum!$D$35</f>
        <v>0</v>
      </c>
      <c r="H58" s="200">
        <f t="shared" si="15"/>
        <v>200</v>
      </c>
      <c r="I58" s="200">
        <f>((
sumifs('Form responses'!$X$2:$X75,'Form responses'!$C$2:$C75,"&gt;="&amp;Date(YEAR(DATE(YEAR($N$1),MONTH($N$1)+(-3),1)),4,1),'Form responses'!$C$2:$C75,"&lt;="&amp;$Q$1,'Form responses'!$G$2:$G75,$J$1)
)*
Sum!$F$35
)+((
sumifs('Form responses'!$Y$2:$Y75,'Form responses'!$C$2:$C75,"&gt;="&amp;Date(YEAR(DATE(YEAR($N$1),MONTH($N$1)+(-3),1)),4,1),'Form responses'!$C$2:$C75,"&lt;="&amp;$Q$1,'Form responses'!$G$2:$G75,$J$1)
)*
Sum!$G$35
)</f>
        <v>3400</v>
      </c>
      <c r="J58" s="200">
        <f>((
sumifs('Form responses'!$Z$2:$Z75,'Form responses'!$C$2:$C75,"&gt;="&amp;Date(YEAR(DATE(YEAR($N$1),MONTH($N$1)+(-3),1)),4,1),'Form responses'!$C$2:$C75,"&lt;="&amp;$Q$1,'Form responses'!$G$2:$G75,$J$1)
)*Sum!$H$35)+((
sumifs('Form responses'!$AA$2:$AA75,'Form responses'!$C$2:$C75,"&gt;="&amp;Date(YEAR(DATE(YEAR($N$1),MONTH($N$1)+(-3),1)),4,1),'Form responses'!$C$2:$C75,"&lt;="&amp;$Q$1,'Form responses'!$G$2:$G75,$J$1)
)*Sum!$I$35)+((
sumifs('Form responses'!$AB$2:$AB75,'Form responses'!$C$2:$C75,"&gt;="&amp;Date(YEAR(DATE(YEAR($N$1),MONTH($N$1)+(-3),1)),4,1),'Form responses'!$C$2:$C75,"&lt;="&amp;$Q$1,'Form responses'!$G$2:$G75,$J$1)
)*Sum!$Z$35)+((
sumifs('Form responses'!$AC$2:$AC75,'Form responses'!$C$2:$C75,"&gt;="&amp;Date(YEAR(DATE(YEAR($N$1),MONTH($N$1)+(-3),1)),4,1),'Form responses'!$C$2:$C75,"&lt;="&amp;$Q$1,'Form responses'!$G$2:$G75,$J$1)
)*Sum!$AA$35)+((
sumifs('Form responses'!$AD$2:$AD75,'Form responses'!$C$2:$C75,"&gt;="&amp;Date(YEAR(DATE(YEAR($N$1),MONTH($N$1)+(-3),1)),4,1),'Form responses'!$C$2:$C75,"&lt;="&amp;$Q$1,'Form responses'!$G$2:$G75,$J$1)
)*Sum!$AB$35)</f>
        <v>100</v>
      </c>
      <c r="K58" s="200">
        <f t="shared" si="16"/>
        <v>24840</v>
      </c>
      <c r="L58" s="200">
        <f>(
sumifs('Form responses'!$BF$2:$BF75,'Form responses'!$C$2:$C75,"&gt;="&amp;Date(YEAR(DATE(YEAR($N$1),MONTH($N$1)+(-3),1)),4,1),'Form responses'!$C$2:$C75,"&lt;="&amp;$Q$1,'Form responses'!$G$2:$G75,$J$1)
+
sumifs('Form responses'!$BH$2:$BH75,'Form responses'!$C$2:$C75,"&gt;="&amp;Date(YEAR(DATE(YEAR($N$1),MONTH($N$1)+(-3),1)),4,1),'Form responses'!$C$2:$C75,"&lt;="&amp;$Q$1,'Form responses'!$G$2:$G75,$J$1)
+
sumifs('Form responses'!$BJ$2:$BJ75,'Form responses'!$C$2:$C75,"&gt;="&amp;Date(YEAR(DATE(YEAR($N$1),MONTH($N$1)+(-3),1)),4,1),'Form responses'!$C$2:$C75,"&lt;="&amp;$Q$1,'Form responses'!$G$2:$G75,$J$1)
+
sumifs('Form responses'!$BL$2:$BL75,'Form responses'!$C$2:$C75,"&gt;="&amp;Date(YEAR(DATE(YEAR($N$1),MONTH($N$1)+(-3),1)),4,1),'Form responses'!$C$2:$C75,"&lt;="&amp;$Q$1,'Form responses'!$G$2:$G75,$J$1)
)*Sum!$Q$35</f>
        <v>15525</v>
      </c>
      <c r="M58" s="200">
        <f>(
sumifs('Form responses'!$BN$2:$BN75,'Form responses'!$C$2:$C75,"&gt;="&amp;Date(YEAR(DATE(YEAR($N$1),MONTH($N$1)+(-3),1)),4,1),'Form responses'!$C$2:$C75,"&lt;="&amp;$Q$1,'Form responses'!$G$2:$G75,$J$1)
+
sumifs('Form responses'!$BP$2:$BP75,'Form responses'!$C$2:$C75,"&gt;="&amp;Date(YEAR(DATE(YEAR($N$1),MONTH($N$1)+(-3),1)),4,1),'Form responses'!$C$2:$C75,"&lt;="&amp;$Q$1,'Form responses'!$G$2:$G75,$J$1)
)*Sum!$R$35</f>
        <v>6160</v>
      </c>
      <c r="N58" s="200">
        <f>+sumifs('Form responses'!$BR$2:$BR75,'Form responses'!$C$2:$C75,"&gt;="&amp;Date(YEAR(DATE(YEAR($N$1),MONTH($N$1)+(-3),1)),4,1),'Form responses'!$C$2:$C75,"&lt;="&amp;$Q$1,'Form responses'!$G$2:$G75,$J$1)*Sum!$S$35+sumifs('Form responses'!$BT$2:$BT75,'Form responses'!$C$2:$C75,"&gt;="&amp;Date(YEAR(DATE(YEAR($N$1),MONTH($N$1)+(-3),1)),4,1),'Form responses'!$C$2:$C75,"&lt;="&amp;$Q$1,'Form responses'!$G$2:$G75,$J$1)*Sum!$S$35+sumifs('Form responses'!$BV$2:$BV75,'Form responses'!$C$2:$C75,"&gt;="&amp;Date(YEAR(DATE(YEAR($N$1),MONTH($N$1)+(-3),1)),4,1),'Form responses'!$C$2:$C75,"&lt;="&amp;$Q$1,'Form responses'!$G$2:$G75,$J$1)*Sum!$S$35+sumifs('Form responses'!$BX$2:$BX75,'Form responses'!$C$2:$C75,"&gt;="&amp;Date(YEAR(DATE(YEAR($N$1),MONTH($N$1)+(-3),1)),4,1),'Form responses'!$C$2:$C75,"&lt;="&amp;$Q$1,'Form responses'!$G$2:$G75,$J$1)*Sum!$S$35</f>
        <v>0</v>
      </c>
      <c r="O58" s="200"/>
      <c r="P58" s="200">
        <f t="shared" si="17"/>
        <v>21685</v>
      </c>
      <c r="Q58" s="200">
        <f>((sumifs('Form responses'!$BZ$2:$BZ75,'Form responses'!$C$2:$C75,"&gt;="&amp;Date(YEAR(DATE(YEAR($N$1),MONTH($N$1)+(-3),1)),4,1),'Form responses'!$C$2:$C75,"&lt;="&amp;$Q$1,'Form responses'!$G$2:$G75,$J$1)+
sumifs('Form responses'!$CB$2:$CB75,'Form responses'!$C$2:$C75,"&gt;="&amp;Date(YEAR(DATE(YEAR($N$1),MONTH($N$1)+(-3),1)),4,1),'Form responses'!$C$2:$C75,"&lt;="&amp;$Q$1,'Form responses'!$G$2:$G75,$J$1))*Sum!$U$35)</f>
        <v>15900</v>
      </c>
      <c r="R58" s="200">
        <f>sumifs('Form responses'!$CD$2:$CD75,'Form responses'!$C$2:$C75,"&gt;="&amp;Date(YEAR(DATE(YEAR($N$1),MONTH($N$1)+(-3),1)),4,1),'Form responses'!$C$2:$C75,"&lt;="&amp;$Q$1,'Form responses'!$G$2:$G75,$J$1)*Sum!$S$35+sumifs('Form responses'!$CF$2:$CF75,'Form responses'!$C$2:$C75,"&gt;="&amp;Date(YEAR(DATE(YEAR($N$1),MONTH($N$1)+(-3),1)),4,1),'Form responses'!$C$2:$C75,"&lt;="&amp;$Q$1,'Form responses'!$G$2:$G75,$J$1)*Sum!$S$35</f>
        <v>0</v>
      </c>
      <c r="S58" s="200">
        <f t="shared" si="18"/>
        <v>37585</v>
      </c>
      <c r="T58" s="200">
        <f t="shared" si="19"/>
        <v>62425</v>
      </c>
      <c r="U58" s="199"/>
      <c r="V58" s="202"/>
      <c r="W58" s="202"/>
      <c r="X58" s="202"/>
      <c r="Y58" s="202"/>
      <c r="Z58" s="202"/>
      <c r="AA58" s="202"/>
    </row>
    <row r="59" ht="18.75" customHeight="1">
      <c r="A59" s="199"/>
      <c r="B59" s="199"/>
      <c r="C59" s="192"/>
      <c r="D59" s="118" t="str">
        <f>"TOTAL FEE DEPOSITED BY AI WORKERS OF TEHSIL "&amp;$J$1</f>
        <v>TOTAL FEE DEPOSITED BY AI WORKERS OF TEHSIL Talwandi Sabo</v>
      </c>
      <c r="E59" s="149"/>
      <c r="F59" s="149"/>
      <c r="G59" s="194"/>
      <c r="H59" s="194"/>
      <c r="I59" s="194"/>
      <c r="J59" s="194"/>
      <c r="K59" s="195"/>
      <c r="L59" s="194"/>
      <c r="M59" s="194"/>
      <c r="N59" s="190"/>
      <c r="O59" s="190"/>
      <c r="P59" s="190"/>
      <c r="Q59" s="190"/>
      <c r="R59" s="190"/>
      <c r="S59" s="190"/>
      <c r="T59" s="190"/>
      <c r="U59" s="199"/>
      <c r="V59" s="202"/>
      <c r="W59" s="202"/>
      <c r="X59" s="202"/>
      <c r="Y59" s="202"/>
      <c r="Z59" s="202"/>
      <c r="AA59" s="202"/>
    </row>
    <row r="60" ht="24.75" customHeight="1">
      <c r="A60" s="199"/>
      <c r="B60" s="199"/>
      <c r="C60" s="192"/>
      <c r="D60" s="196" t="s">
        <v>567</v>
      </c>
      <c r="E60" s="197" t="s">
        <v>568</v>
      </c>
      <c r="F60" s="197" t="s">
        <v>569</v>
      </c>
      <c r="G60" s="197" t="s">
        <v>19</v>
      </c>
      <c r="H60" s="196" t="s">
        <v>566</v>
      </c>
      <c r="I60" s="196" t="s">
        <v>570</v>
      </c>
      <c r="J60" s="197" t="s">
        <v>571</v>
      </c>
      <c r="K60" s="107" t="s">
        <v>572</v>
      </c>
      <c r="L60" s="199"/>
      <c r="M60" s="202"/>
      <c r="N60" s="202"/>
      <c r="O60" s="202"/>
      <c r="P60" s="202"/>
      <c r="Q60" s="202"/>
      <c r="R60" s="202"/>
    </row>
    <row r="61" ht="24.75" customHeight="1">
      <c r="A61" s="199"/>
      <c r="B61" s="199"/>
      <c r="C61" s="184" t="s">
        <v>632</v>
      </c>
      <c r="D61" s="200">
        <f>(
sumifs('Form responses'!$BF$2:$BF75,'Form responses'!$C$2:$C75,"&gt;="&amp;$N$1,'Form responses'!$C$2:$C75,"&lt;="&amp;$Q$1,'Form responses'!$G$2:$G75,$J$1,'Form responses'!$F$2:$F75,"=4")
+
sumifs('Form responses'!$BH$2:$BH75,'Form responses'!$C$2:$C75,"&gt;="&amp;$N$1,'Form responses'!$C$2:$C75,"&lt;="&amp;$Q$1,'Form responses'!$G$2:$G75,$J$1,'Form responses'!$F$2:$F75,"=4")
+
sumifs('Form responses'!$BJ$2:$BJ75,'Form responses'!$C$2:$C75,"&gt;="&amp;$N$1,'Form responses'!$C$2:$C75,"&lt;="&amp;$Q$1,'Form responses'!$G$2:$G75,$J$1,'Form responses'!$F$2:$F75,"=4")
+
sumifs('Form responses'!$BL$2:$BL75,'Form responses'!$C$2:$C75,"&gt;="&amp;$N$1,'Form responses'!$C$2:$C75,"&lt;="&amp;$Q$1,'Form responses'!$G$2:$G75,$J$1,'Form responses'!$F$2:$F75,"=4")
)*Sum!$Q$35</f>
        <v>2125</v>
      </c>
      <c r="E61" s="200">
        <f>(
sumifs('Form responses'!$BN$2:$BN75,'Form responses'!$C$2:$C75,"&gt;="&amp;N$1,'Form responses'!$C$2:$C75,"&lt;="&amp;$Q$1,'Form responses'!$G$2:$G75,$J$1,'Form responses'!$F$2:$F75,"=4")
+
sumifs('Form responses'!$BP$2:$BP75,'Form responses'!$C$2:$C75,"&gt;="&amp;N$1,'Form responses'!$C$2:$C75,"&lt;="&amp;$Q$1,'Form responses'!$G$2:$G75,$J$1,'Form responses'!$F$2:$F75,"=4")
)*Sum!$R$35</f>
        <v>0</v>
      </c>
      <c r="F61" s="200">
        <f>sumifs('Form responses'!$BR$2:$BR75,'Form responses'!$C$2:$C75,"&gt;="&amp;$N$1,'Form responses'!$C$2:$C75,"&lt;="&amp;$Q$1,'Form responses'!$G$2:$G75,$J$1,'Form responses'!$F$2:$F75,"=4")*Sum!$S$35</f>
        <v>0</v>
      </c>
      <c r="G61" s="200"/>
      <c r="H61" s="200">
        <f t="shared" ref="H61:H62" si="20">SUM(D61:G61)</f>
        <v>2125</v>
      </c>
      <c r="I61" s="200">
        <f>((sumifs('Form responses'!$BZ$2:$BZ75,'Form responses'!$C$2:$C75,"&gt;="&amp;$N$1,'Form responses'!$C$2:$C75,"&lt;="&amp;$Q$1,'Form responses'!$G$2:$G75,$J$1,'Form responses'!$F$2:$F75,"=4")+
sumifs('Form responses'!$CB$2:$CB75,'Form responses'!$C$2:$C75,"&gt;="&amp;$N$1,'Form responses'!$C$2:$C75,"&lt;="&amp;$Q$1,'Form responses'!$G$2:$G75,$J$1,'Form responses'!$F$2:$F75,"=4"))*Sum!$U$35)</f>
        <v>1125</v>
      </c>
      <c r="J61" s="200">
        <f>sumifs('Form responses'!$CD$2:$CD75,'Form responses'!$C$2:$C75,"&gt;="&amp;$N$1,'Form responses'!$C$2:$C75,"&lt;="&amp;$Q$1,'Form responses'!$G$2:$G75,$J$1,'Form responses'!$F$2:$F75,"=4")*Sum!$S$35</f>
        <v>0</v>
      </c>
      <c r="K61" s="200">
        <f t="shared" ref="K61:K62" si="21">H61+I61+J61</f>
        <v>3250</v>
      </c>
      <c r="L61" s="199"/>
      <c r="M61" s="202"/>
      <c r="N61" s="202"/>
      <c r="O61" s="202"/>
      <c r="P61" s="202"/>
      <c r="Q61" s="202"/>
      <c r="R61" s="202"/>
    </row>
    <row r="62" ht="24.75" customHeight="1">
      <c r="A62" s="199"/>
      <c r="B62" s="199"/>
      <c r="C62" s="184" t="s">
        <v>631</v>
      </c>
      <c r="D62" s="200">
        <f>(
sumifs('Form responses'!$BF$2:$BF75,'Form responses'!$C$2:$C75,"&gt;="&amp;Date(YEAR(DATE(YEAR($N$1),MONTH($N$1)+(-3),1)),4,1),'Form responses'!$C$2:$C75,"&lt;="&amp;$Q$1,'Form responses'!$G$2:$G75,$J$1,'Form responses'!$F$2:$F75,"=4")
+
sumifs('Form responses'!$BH$2:$BH75,'Form responses'!$C$2:$C75,"&gt;="&amp;Date(YEAR(DATE(YEAR($N$1),MONTH($N$1)+(-3),1)),4,1),'Form responses'!$C$2:$C75,"&lt;="&amp;$Q$1,'Form responses'!$G$2:$G75,$J$1,'Form responses'!$F$2:$F75,"=4")
+
sumifs('Form responses'!$BJ$2:$BJ75,'Form responses'!$C$2:$C75,"&gt;="&amp;Date(YEAR(DATE(YEAR($N$1),MONTH($N$1)+(-3),1)),4,1),'Form responses'!$C$2:$C75,"&lt;="&amp;$Q$1,'Form responses'!$G$2:$G75,$J$1,'Form responses'!$F$2:$F75,"=4")
+
sumifs('Form responses'!$BL$2:$BL75,'Form responses'!$C$2:$C75,"&gt;="&amp;Date(YEAR(DATE(YEAR($N$1),MONTH($N$1)+(-3),1)),4,1),'Form responses'!$C$2:$C75,"&lt;="&amp;$Q$1,'Form responses'!$G$2:$G75,$J$1,'Form responses'!$F$2:$F75,"=4")
)*Sum!$Q$35</f>
        <v>2125</v>
      </c>
      <c r="E62" s="200">
        <f>(
sumifs('Form responses'!$BN$2:$BN75,'Form responses'!$C$2:$C75,"&gt;="&amp;Date(YEAR(DATE(YEAR($N$1),MONTH($N$1)+(-3),1)),4,1),'Form responses'!$C$2:$C75,"&lt;="&amp;$Q$1,'Form responses'!$G$2:$G75,$J$1,'Form responses'!$F$2:$F75,"=4")
+
sumifs('Form responses'!$BP$2:$BP75,'Form responses'!$C$2:$C75,"&gt;="&amp;Date(YEAR(DATE(YEAR($N$1),MONTH($N$1)+(-3),1)),4,1),'Form responses'!$C$2:$C75,"&lt;="&amp;$Q$1,'Form responses'!$G$2:$G75,$J$1,'Form responses'!$F$2:$F75,"=4")
)*Sum!$R$35</f>
        <v>0</v>
      </c>
      <c r="F62" s="200">
        <f>sumifs('Form responses'!$BR$2:$BR75,'Form responses'!$C$2:$C75,"&gt;="&amp;Date(YEAR(DATE(YEAR($N$1),MONTH($N$1)+(-3),1)),4,1),'Form responses'!$C$2:$C75,"&lt;="&amp;$Q$1,'Form responses'!$G$2:$G75,$J$1,'Form responses'!$F$2:$F75,"=4")*Sum!$S$35</f>
        <v>0</v>
      </c>
      <c r="G62" s="200"/>
      <c r="H62" s="200">
        <f t="shared" si="20"/>
        <v>2125</v>
      </c>
      <c r="I62" s="200">
        <f>((sumifs('Form responses'!$BZ$2:$BZ75,'Form responses'!$C$2:$C75,"&gt;="&amp;Date(YEAR(DATE(YEAR($N$1),MONTH($N$1)+(-3),1)),4,1),'Form responses'!$C$2:$C75,"&lt;="&amp;$Q$1,'Form responses'!$G$2:$G75,$J$1,'Form responses'!$F$2:$F75,"=4")+
sumifs('Form responses'!$CB$2:$CB75,'Form responses'!$C$2:$C75,"&gt;="&amp;Date(YEAR(DATE(YEAR($N$1),MONTH($N$1)+(-3),1)),4,1),'Form responses'!$C$2:$C75,"&lt;="&amp;$Q$1,'Form responses'!$G$2:$G75,$J$1,'Form responses'!$F$2:$F75,"=4"))*Sum!$U$35)</f>
        <v>1125</v>
      </c>
      <c r="J62" s="200">
        <f>sumifs('Form responses'!$CD$2:$CD75,'Form responses'!$C$2:$C75,"&gt;="&amp;Date(YEAR(DATE(YEAR($N$1),MONTH($N$1)+(-3),1)),4,1),'Form responses'!$C$2:$C75,"&lt;="&amp;$Q$1,'Form responses'!$G$2:$G75,$J$1,'Form responses'!$F$2:$F75,"=4")*Sum!$S$35</f>
        <v>0</v>
      </c>
      <c r="K62" s="200">
        <f t="shared" si="21"/>
        <v>3250</v>
      </c>
      <c r="L62" s="199"/>
      <c r="M62" s="202"/>
      <c r="N62" s="202"/>
      <c r="O62" s="202"/>
      <c r="P62" s="202"/>
      <c r="Q62" s="202"/>
      <c r="R62" s="202"/>
    </row>
    <row r="63">
      <c r="C63" s="117"/>
      <c r="D63" s="118" t="s">
        <v>526</v>
      </c>
      <c r="E63" s="179"/>
      <c r="F63" s="179"/>
      <c r="G63" s="179"/>
      <c r="H63" s="179"/>
      <c r="I63" s="179"/>
      <c r="J63" s="179"/>
      <c r="K63" s="179"/>
      <c r="L63" s="179"/>
      <c r="M63" s="179"/>
      <c r="N63" s="179"/>
      <c r="O63" s="179"/>
      <c r="P63" s="179"/>
      <c r="Q63" s="179"/>
      <c r="R63" s="179"/>
      <c r="S63" s="179"/>
      <c r="T63" s="179"/>
      <c r="U63" s="179"/>
      <c r="V63" s="179"/>
      <c r="W63" s="179"/>
      <c r="X63" s="131"/>
      <c r="Y63" s="131"/>
      <c r="Z63" s="131"/>
      <c r="AA63" s="131"/>
    </row>
    <row r="64" ht="29.25" customHeight="1">
      <c r="A64" s="180"/>
      <c r="B64" s="180"/>
      <c r="C64" s="181"/>
      <c r="D64" s="107" t="s">
        <v>527</v>
      </c>
      <c r="E64" s="107" t="s">
        <v>528</v>
      </c>
      <c r="F64" s="107" t="s">
        <v>529</v>
      </c>
      <c r="G64" s="107" t="s">
        <v>530</v>
      </c>
      <c r="H64" s="107" t="s">
        <v>531</v>
      </c>
      <c r="I64" s="107" t="s">
        <v>532</v>
      </c>
      <c r="J64" s="107" t="s">
        <v>533</v>
      </c>
      <c r="K64" s="107" t="s">
        <v>534</v>
      </c>
      <c r="L64" s="107" t="s">
        <v>535</v>
      </c>
      <c r="M64" s="107" t="s">
        <v>536</v>
      </c>
      <c r="N64" s="107" t="s">
        <v>15</v>
      </c>
      <c r="O64" s="107" t="s">
        <v>537</v>
      </c>
      <c r="P64" s="107" t="s">
        <v>538</v>
      </c>
      <c r="Q64" s="107" t="s">
        <v>539</v>
      </c>
      <c r="R64" s="107" t="s">
        <v>540</v>
      </c>
      <c r="S64" s="180"/>
      <c r="T64" s="182"/>
      <c r="U64" s="182"/>
      <c r="V64" s="182"/>
      <c r="W64" s="182"/>
      <c r="X64" s="180"/>
      <c r="Y64" s="180"/>
      <c r="Z64" s="180"/>
      <c r="AA64" s="180"/>
    </row>
    <row r="65" ht="19.5" customHeight="1">
      <c r="B65" s="183"/>
      <c r="C65" s="305" t="s">
        <v>541</v>
      </c>
      <c r="D65" s="306">
        <f>sumifs('Form responses'!ER2:ER75,
'Form responses'!$C$2:$C75,
"&lt;="&amp;Date(YEAR(DATE(YEAR($N$1),MONTH($N$1)+(-3),1)),4,1),
'Form responses'!$G$2:$G75,$J$1,'Form responses'!F2:F75,"&lt;&gt;"&amp;4)
-sumifs('Form responses'!BF2:BF75, 'Form responses'!$C$2:$C75, "&lt;="&amp;Date(YEAR(DATE(YEAR($N$1),MONTH($N$1)+(-3),1)),4,1), 'Form responses'!$G$2:$G75, $J$1)</f>
        <v>25</v>
      </c>
      <c r="E65" s="185">
        <f>sumifs('Form responses'!ES2:ES75,
'Form responses'!$C$2:$C75,
"&lt;="&amp;Date(YEAR(DATE(YEAR($N$1),MONTH($N$1)+(-3),1)),4,1),
'Form responses'!$G$2:$G75,$J$1,'Form responses'!F2:F75,"&lt;&gt;"&amp;4)
-(sumifs('Form responses'!BH2:BH75, 'Form responses'!$C$2:$C75, "&lt;="&amp;Date(YEAR(DATE(YEAR($N$1),MONTH($N$1)+(-3),1)),4,1), 'Form responses'!$G$2:$G75, $J$1))</f>
        <v>30</v>
      </c>
      <c r="F65" s="185">
        <f>sumifs('Form responses'!ET2:ET75,
'Form responses'!$C$2:$C75,
"&lt;="&amp;Date(YEAR(DATE(YEAR($N$1),MONTH($N$1)+(-3),1)),4,1),
'Form responses'!$G$2:$G75,$J$1,'Form responses'!F2:F75,"&lt;&gt;"&amp;4)
-(sumifs('Form responses'!BJ2:BJ75, 'Form responses'!$C$2:$C75, "&lt;="&amp;Date(YEAR(DATE(YEAR($N$1),MONTH($N$1)+(-3),1)),4,1), 'Form responses'!$G$2:$G75, $J$1))</f>
        <v>45</v>
      </c>
      <c r="G65" s="185">
        <f>sumifs('Form responses'!EU2:EU75,
'Form responses'!$C$2:$C75,
"&lt;="&amp;Date(YEAR(DATE(YEAR($N$1),MONTH($N$1)+(-3),1)),4,1),
'Form responses'!$G$2:$G75,$J$1,'Form responses'!F2:F75,"&lt;&gt;"&amp;4)
-(sumifs('Form responses'!BL2:BL75, 'Form responses'!$C$2:$C75, "&lt;="&amp;Date(YEAR(DATE(YEAR($N$1),MONTH($N$1)+(-3),1)),4,1), 'Form responses'!$G$2:$G75, $J$1))</f>
        <v>0</v>
      </c>
      <c r="H65" s="185">
        <f>sumifs('Form responses'!EV2:EV75,
'Form responses'!$C$2:$C75,
"&lt;="&amp;Date(YEAR(DATE(YEAR($N$1),MONTH($N$1)+(-3),1)),4,1),
'Form responses'!$G$2:$G75,$J$1,'Form responses'!F2:F75,"&lt;&gt;"&amp;4)
-(sumifs('Form responses'!BN2:BN75, 'Form responses'!$C$2:$C75, "&lt;="&amp;Date(YEAR(DATE(YEAR($N$1),MONTH($N$1)+(-3),1)),4,1), 'Form responses'!$G$2:$G75, $J$1))</f>
        <v>70</v>
      </c>
      <c r="I65" s="185">
        <f>sumifs('Form responses'!EW2:EW75,
'Form responses'!$C$2:$C75,
"&lt;="&amp;Date(YEAR(DATE(YEAR($N$1),MONTH($N$1)+(-3),1)),4,1),
'Form responses'!$G$2:$G75,$J$1,'Form responses'!F2:F75,"&lt;&gt;"&amp;4)
-(sumifs('Form responses'!BP2:BP75, 'Form responses'!$C$2:$C75, "&lt;="&amp;Date(YEAR(DATE(YEAR($N$1),MONTH($N$1)+(-3),1)),4,1), 'Form responses'!$G$2:$G75, $J$1))</f>
        <v>0</v>
      </c>
      <c r="J65" s="185">
        <f>sumifs('Form responses'!EX2:EX75,
'Form responses'!$C$2:$C75,
"&lt;="&amp;Date(YEAR(DATE(YEAR($N$1),MONTH($N$1)+(-3),1)),4,1),
'Form responses'!$G$2:$G75,$J$1,'Form responses'!F2:F75,"&lt;&gt;"&amp;4)
-(sumifs('Form responses'!BR2:BR75, 'Form responses'!$C$2:$C75, "&lt;="&amp;Date(YEAR(DATE(YEAR($N$1),MONTH($N$1)+(-3),1)),4,1), 'Form responses'!$G$2:$G75, $J$1))</f>
        <v>0</v>
      </c>
      <c r="K65" s="185">
        <f>sumifs('Form responses'!EY2:EY75,
'Form responses'!$C$2:$C75,
"&lt;="&amp;Date(YEAR(DATE(YEAR($N$1),MONTH($N$1)+(-3),1)),4,1),
'Form responses'!$G$2:$G75,$J$1,'Form responses'!F2:F75,"&lt;&gt;"&amp;4)
-(sumifs('Form responses'!BT2:BT75, 'Form responses'!$C$2:$C75, "&lt;="&amp;Date(YEAR(DATE(YEAR($N$1),MONTH($N$1)+(-3),1)),4,1), 'Form responses'!$G$2:$G75, $J$1))</f>
        <v>0</v>
      </c>
      <c r="L65" s="185">
        <f>sumifs('Form responses'!EZ2:EZ75,
'Form responses'!$C$2:$C75,
"&lt;="&amp;Date(YEAR(DATE(YEAR($N$1),MONTH($N$1)+(-3),1)),4,1),
'Form responses'!$G$2:$G75,$J$1,'Form responses'!F2:F75,"&lt;&gt;"&amp;4)
-(sumifs('Form responses'!BV2:BV75, 'Form responses'!$C$2:$C75, "&lt;="&amp;Date(YEAR(DATE(YEAR($N$1),MONTH($N$1)+(-3),1)),4,1), 'Form responses'!$G$2:$G75, $J$1))</f>
        <v>0</v>
      </c>
      <c r="M65" s="185">
        <f>sumifs('Form responses'!FA2:FA75,
'Form responses'!$C$2:$C75,
"&lt;="&amp;Date(YEAR(DATE(YEAR($N$1),MONTH($N$1)+(-3),1)),4,1),
'Form responses'!$G$2:$G75,$J$1,'Form responses'!F2:F75,"&lt;&gt;"&amp;4)
-(sumifs('Form responses'!BX2:BX75, 'Form responses'!$C$2:$C75, "&lt;="&amp;Date(YEAR(DATE(YEAR($N$1),MONTH($N$1)+(-3),1)),4,1), 'Form responses'!$G$2:$G75, $J$1))</f>
        <v>0</v>
      </c>
      <c r="N65" s="185">
        <f>sumifs('Form responses'!FB2:FB75,
'Form responses'!$C$2:$C75,
"&lt;="&amp;Date(YEAR(DATE(YEAR($N$1),MONTH($N$1)+(-3),1)),4,1),
'Form responses'!$G$2:$G75,$J$1,'Form responses'!F2:F75,"&lt;&gt;"&amp;4)
-(sumifs('Form responses'!BZ2:BZ75, 'Form responses'!$C$2:$C75, "&lt;="&amp;Date(YEAR(DATE(YEAR($N$1),MONTH($N$1)+(-3),1)),4,1), 'Form responses'!$G$2:$G75, $J$1))</f>
        <v>0</v>
      </c>
      <c r="O65" s="185">
        <f>sumifs('Form responses'!FC2:FC75,
'Form responses'!$C$2:$C75,
"&lt;="&amp;Date(YEAR(DATE(YEAR($N$1),MONTH($N$1)+(-3),1)),4,1),
'Form responses'!$G$2:$G75,$J$1,'Form responses'!F2:F75,"&lt;&gt;"&amp;4)
-(sumifs('Form responses'!CB2:CB75, 'Form responses'!$C$2:$C75, "&lt;="&amp;Date(YEAR(DATE(YEAR($N$1),MONTH($N$1)+(-3),1)),4,1), 'Form responses'!$G$2:$G75, $J$1))</f>
        <v>90</v>
      </c>
      <c r="P65" s="185">
        <f>sumifs('Form responses'!FD2:FD75,
'Form responses'!$C$2:$C75,
"&lt;="&amp;Date(YEAR(DATE(YEAR($N$1),MONTH($N$1)+(-3),1)),4,1),
'Form responses'!$G$2:$G75,$J$1,'Form responses'!F2:F75,"&lt;&gt;"&amp;4)
-(sumifs('Form responses'!CD2:CD75, 'Form responses'!$C$2:$C75, "&lt;="&amp;Date(YEAR(DATE(YEAR($N$1),MONTH($N$1)+(-3),1)),4,1), 'Form responses'!$G$2:$G75, $J$1))</f>
        <v>0</v>
      </c>
      <c r="Q65" s="185">
        <f>sumifs('Form responses'!FE2:FE75,
'Form responses'!$C$2:$C75,
"&lt;="&amp;Date(YEAR(DATE(YEAR($N$1),MONTH($N$1)+(-3),1)),4,1),
'Form responses'!$G$2:$G75,$J$1,'Form responses'!F2:F75,"&lt;&gt;"&amp;4)
-(sumifs('Form responses'!CF2:CF75, 'Form responses'!$C$2:$C75, "&lt;="&amp;Date(YEAR(DATE(YEAR($N$1),MONTH($N$1)+(-3),1)),4,1), 'Form responses'!$G$2:$G75, $J$1))</f>
        <v>0</v>
      </c>
      <c r="R65" s="185"/>
      <c r="T65" s="154"/>
      <c r="U65" s="154"/>
      <c r="V65" s="154"/>
      <c r="W65" s="154"/>
    </row>
    <row r="66" ht="19.5" customHeight="1">
      <c r="B66" s="186"/>
      <c r="C66" s="305" t="s">
        <v>542</v>
      </c>
      <c r="D66" s="185">
        <f>sumifs('Form responses'!ER2:ER75,'Form responses'!$C$2:$C75,"&lt;="&amp;$N$1,'Form responses'!$G$2:$G75,$J$1,'Form responses'!F2:F75,"&lt;&gt;"&amp;4)-(sumifs('Form responses'!BF2:BF75,'Form responses'!$C$2:$C75,"&lt;="&amp;$N$1,'Form responses'!$G$2:$G75,$J$1))</f>
        <v>25</v>
      </c>
      <c r="E66" s="185">
        <f>sumifs('Form responses'!ES2:ES75,'Form responses'!$C$2:$C75,"&lt;="&amp;$N$1,'Form responses'!$G$2:$G75,$J$1,'Form responses'!F2:F75,"&lt;&gt;"&amp;4)-(sumifs('Form responses'!BH2:BH75,'Form responses'!$C$2:$C75,"&lt;="&amp;$N$1,'Form responses'!$G$2:$G75,$J$1))</f>
        <v>30</v>
      </c>
      <c r="F66" s="185">
        <f>sumifs('Form responses'!ET2:ET75,'Form responses'!$C$2:$C75,"&lt;="&amp;$N$1,'Form responses'!$G$2:$G75,$J$1,'Form responses'!F2:F75,"&lt;&gt;"&amp;4)-(sumifs('Form responses'!BJ2:BJ75,'Form responses'!$C$2:$C75,"&lt;="&amp;$N$1,'Form responses'!$G$2:$G75,$J$1))</f>
        <v>45</v>
      </c>
      <c r="G66" s="185">
        <f>sumifs('Form responses'!EU2:EU75,'Form responses'!$C$2:$C75,"&lt;="&amp;$N$1,'Form responses'!$G$2:$G75,$J$1,'Form responses'!F2:F75,"&lt;&gt;"&amp;4)-(sumifs('Form responses'!BL2:BL75,'Form responses'!$C$2:$C75,"&lt;="&amp;$N$1,'Form responses'!$G$2:$G75,$J$1))</f>
        <v>0</v>
      </c>
      <c r="H66" s="185">
        <f>sumifs('Form responses'!EV2:EV75,'Form responses'!$C$2:$C75,"&lt;="&amp;$N$1,'Form responses'!$G$2:$G75,$J$1,'Form responses'!F2:F75,"&lt;&gt;"&amp;4)-(sumifs('Form responses'!BN2:BN75,'Form responses'!$C$2:$C75,"&lt;="&amp;$N$1,'Form responses'!$G$2:$G75,$J$1))</f>
        <v>70</v>
      </c>
      <c r="I66" s="185">
        <f>sumifs('Form responses'!EW2:EW75,'Form responses'!$C$2:$C75,"&lt;="&amp;$N$1,'Form responses'!$G$2:$G75,$J$1)-(sumifs('Form responses'!BP2:BP75,'Form responses'!$C$2:$C75,"&lt;="&amp;$N$1,'Form responses'!$G$2:$G75,$J$1))</f>
        <v>0</v>
      </c>
      <c r="J66" s="185">
        <f>sumifs('Form responses'!EX2:EX75,'Form responses'!$C$2:$C75,"&lt;="&amp;$N$1,'Form responses'!$G$2:$G75,$J$1,'Form responses'!F2:F75,"&lt;&gt;"&amp;4)-(sumifs('Form responses'!BR2:BR75,'Form responses'!$C$2:$C75,"&lt;="&amp;$N$1,'Form responses'!$G$2:$G75,$J$1))</f>
        <v>0</v>
      </c>
      <c r="K66" s="185">
        <f>sumifs('Form responses'!EY2:EY75,'Form responses'!$C$2:$C75,"&lt;="&amp;$N$1,'Form responses'!$G$2:$G75,$J$1)-(sumifs('Form responses'!BT2:BT75,'Form responses'!$C$2:$C75,"&lt;="&amp;$N$1,'Form responses'!$G$2:$G75,$J$1))</f>
        <v>0</v>
      </c>
      <c r="L66" s="185">
        <f>sumifs('Form responses'!EZ2:EZ75,'Form responses'!$C$2:$C75,"&lt;="&amp;$N$1,'Form responses'!$G$2:$G75,$J$1)-(sumifs('Form responses'!BV2:BV75,'Form responses'!$C$2:$C75,"&lt;="&amp;$N$1,'Form responses'!$G$2:$G75,$J$1))</f>
        <v>0</v>
      </c>
      <c r="M66" s="185">
        <f>sumifs('Form responses'!FA2:FA75,'Form responses'!$C$2:$C75,"&lt;="&amp;$N$1,'Form responses'!$G$2:$G75,$J$1)-(sumifs('Form responses'!BX2:BX75,'Form responses'!$C$2:$C75,"&lt;="&amp;$N$1,'Form responses'!$G$2:$G75,$J$1))</f>
        <v>0</v>
      </c>
      <c r="N66" s="185">
        <f>sumifs('Form responses'!FB2:FB75,'Form responses'!$C$2:$C75,"&lt;="&amp;$N$1,'Form responses'!$G$2:$G75,$J$1,'Form responses'!F2:F75,"&lt;&gt;"&amp;4)-(sumifs('Form responses'!BZ2:BZ75,'Form responses'!$C$2:$C75,"&lt;="&amp;$N$1,'Form responses'!$G$2:$G75,$J$1))</f>
        <v>0</v>
      </c>
      <c r="O66" s="185">
        <f>sumifs('Form responses'!FC2:FC75,'Form responses'!$C$2:$C75,"&lt;="&amp;$N$1,'Form responses'!$G$2:$G75,$J$1,'Form responses'!F2:F75,"&lt;&gt;"&amp;4)-(sumifs('Form responses'!CB2:CB75,'Form responses'!$C$2:$C75,"&lt;="&amp;$N$1,'Form responses'!$G$2:$G75,$J$1))</f>
        <v>90</v>
      </c>
      <c r="P66" s="185">
        <f>sumifs('Form responses'!FD2:FD75,'Form responses'!$C$2:$C75,"&lt;="&amp;$N$1,'Form responses'!$G$2:$G75,$J$1,'Form responses'!F2:F75,"&lt;&gt;"&amp;4)-(sumifs('Form responses'!CD2:CD75,'Form responses'!$C$2:$C75,"&lt;="&amp;$N$1,'Form responses'!$G$2:$G75,$J$1))</f>
        <v>0</v>
      </c>
      <c r="Q66" s="185">
        <f>sumifs('Form responses'!FE2:FE75,'Form responses'!$C$2:$C75,"&lt;="&amp;$N$1,'Form responses'!$G$2:$G75,$J$1,'Form responses'!F2:F75,"&lt;&gt;"&amp;4)-(sumifs('Form responses'!CF2:CF75,'Form responses'!$C$2:$C75,"&lt;="&amp;$N$1,'Form responses'!$G$2:$G75,$J$1))</f>
        <v>0</v>
      </c>
      <c r="R66" s="185"/>
      <c r="T66" s="154"/>
      <c r="U66" s="154"/>
      <c r="V66" s="154"/>
      <c r="W66" s="154"/>
    </row>
    <row r="67" ht="19.5" customHeight="1">
      <c r="B67" s="186"/>
      <c r="C67" s="305" t="s">
        <v>633</v>
      </c>
      <c r="D67" s="187">
        <f>sumifs('Form responses'!ER$2:ER75,'Form responses'!$C$2:$C75,"&gt;="&amp;$N$1,'Form responses'!$C$2:$C75,"&lt;="&amp;$Q$1,'Form responses'!$G$2:$G75,$J$1,'Form responses'!F2:F75,"&lt;&gt;"&amp;4)</f>
        <v>360</v>
      </c>
      <c r="E67" s="187">
        <f>sumifs('Form responses'!ES$2:ES75,'Form responses'!$C$2:$C75,"&gt;="&amp;$N$1,'Form responses'!$C$2:$C75,"&lt;="&amp;$Q$1,'Form responses'!$G$2:$G75,$J$1,'Form responses'!F2:F75,"&lt;&gt;"&amp;4)</f>
        <v>0</v>
      </c>
      <c r="F67" s="187">
        <f>sumifs('Form responses'!ET$2:ET75,'Form responses'!$C$2:$C75,"&gt;="&amp;$N$1,'Form responses'!$C$2:$C75,"&lt;="&amp;$Q$1,'Form responses'!$G$2:$G75,$J$1,'Form responses'!F2:F75,"&lt;&gt;"&amp;4)</f>
        <v>0</v>
      </c>
      <c r="G67" s="187">
        <f>sumifs('Form responses'!EU$2:EU75,'Form responses'!$C$2:$C75,"&gt;="&amp;$N$1,'Form responses'!$C$2:$C75,"&lt;="&amp;$Q$1,'Form responses'!$G$2:$G75,$J$1,'Form responses'!F2:F75,"&lt;&gt;"&amp;4)</f>
        <v>195</v>
      </c>
      <c r="H67" s="187">
        <f>sumifs('Form responses'!EV$2:EV75,'Form responses'!$C$2:$C75,"&gt;="&amp;$N$1,'Form responses'!$C$2:$C75,"&lt;="&amp;$Q$1,'Form responses'!$G$2:$G75,$J$1,'Form responses'!F2:F75,"&lt;&gt;"&amp;4)</f>
        <v>180</v>
      </c>
      <c r="I67" s="187">
        <f>sumifs('Form responses'!EW$2:EW75,'Form responses'!$C$2:$C75,"&gt;="&amp;$N$1,'Form responses'!$C$2:$C75,"&lt;="&amp;$Q$1,'Form responses'!$G$2:$G75,$J$1,'Form responses'!F2:F75,"&lt;&gt;"&amp;4)</f>
        <v>0</v>
      </c>
      <c r="J67" s="187">
        <f>sumifs('Form responses'!EX$2:EX75,'Form responses'!$C$2:$C75,"&gt;="&amp;$N$1,'Form responses'!$C$2:$C75,"&lt;="&amp;$Q$1,'Form responses'!$G$2:$G75,$J$1,'Form responses'!F2:F75,"&lt;&gt;"&amp;4)</f>
        <v>0</v>
      </c>
      <c r="K67" s="187">
        <f>sumifs('Form responses'!EY$2:EY75,'Form responses'!$C$2:$C75,"&gt;="&amp;$N$1,'Form responses'!$C$2:$C75,"&lt;="&amp;$Q$1,'Form responses'!$G$2:$G75,$J$1,'Form responses'!F2:F75,"&lt;&gt;"&amp;4)</f>
        <v>0</v>
      </c>
      <c r="L67" s="187">
        <f>sumifs('Form responses'!EZ$2:EZ75,'Form responses'!$C$2:$C75,"&gt;="&amp;$N$1,'Form responses'!$C$2:$C75,"&lt;="&amp;$Q$1,'Form responses'!$G$2:$G75,$J$1,'Form responses'!F2:F75,"&lt;&gt;"&amp;4)</f>
        <v>0</v>
      </c>
      <c r="M67" s="187">
        <f>sumifs('Form responses'!FA$2:FA75,'Form responses'!$C$2:$C75,"&gt;="&amp;$N$1,'Form responses'!$C$2:$C75,"&lt;="&amp;$Q$1,'Form responses'!$G$2:$G75,$J$1,'Form responses'!F2:F75,"&lt;&gt;"&amp;4)</f>
        <v>0</v>
      </c>
      <c r="N67" s="187">
        <f>sumifs('Form responses'!FB$2:FB75,'Form responses'!$C$2:$C75,"&gt;="&amp;$N$1,'Form responses'!$C$2:$C75,"&lt;="&amp;$Q$1,'Form responses'!$G$2:$G75,$J$1,'Form responses'!F2:F75,"&lt;&gt;"&amp;4)</f>
        <v>510</v>
      </c>
      <c r="O67" s="187">
        <f>sumifs('Form responses'!FC$2:FC75,'Form responses'!$C$2:$C75,"&gt;="&amp;$N$1,'Form responses'!$C$2:$C75,"&lt;="&amp;$Q$1,'Form responses'!$G$2:$G75,$J$1,'Form responses'!F2:F75,"&lt;&gt;"&amp;4)</f>
        <v>210</v>
      </c>
      <c r="P67" s="187">
        <f>sumifs('Form responses'!FD$2:FD75,'Form responses'!$C$2:$C75,"&gt;="&amp;$N$1,'Form responses'!$C$2:$C75,"&lt;="&amp;$Q$1,'Form responses'!$G$2:$G75,$J$1)</f>
        <v>0</v>
      </c>
      <c r="Q67" s="187">
        <f>sumifs('Form responses'!FE$2:FE75,'Form responses'!$C$2:$C75,"&gt;="&amp;$N$1,'Form responses'!$C$2:$C75,"&lt;="&amp;$Q$1,'Form responses'!$G$2:$G75,$J$1)</f>
        <v>0</v>
      </c>
      <c r="R67" s="187"/>
      <c r="T67" s="154"/>
      <c r="U67" s="154"/>
      <c r="V67" s="154"/>
      <c r="W67" s="154"/>
    </row>
    <row r="68" ht="19.5" customHeight="1">
      <c r="B68" s="186"/>
      <c r="C68" s="305" t="s">
        <v>634</v>
      </c>
      <c r="D68" s="187">
        <f>sumifs('Form responses'!BF$2:BF75,'Form responses'!$C$2:$C75,"&gt;="&amp;$N$1,'Form responses'!$C$2:$C75,"&lt;="&amp;$Q$1,'Form responses'!$G$2:$G75,$J$1,'Form responses'!$F$2:$F75,"&lt;&gt;"&amp;4)</f>
        <v>291</v>
      </c>
      <c r="E68" s="187">
        <f>sumifs('Form responses'!BH$2:BH75,'Form responses'!$C$2:$C75,"&gt;="&amp;$N$1,'Form responses'!$C$2:$C75,"&lt;="&amp;$Q$1,'Form responses'!$G$2:$G75,$J$1,'Form responses'!$F$2:$F75,"&lt;&gt;"&amp;4)</f>
        <v>30</v>
      </c>
      <c r="F68" s="187">
        <f>sumifs('Form responses'!BJ$2:BJ75,'Form responses'!$C$2:$C75,"&gt;="&amp;$N$1,'Form responses'!$C$2:$C75,"&lt;="&amp;$Q$1,'Form responses'!$G$2:$G75,$J$1,'Form responses'!$F$2:$F75,"&lt;&gt;"&amp;4)</f>
        <v>45</v>
      </c>
      <c r="G68" s="187">
        <f>sumifs('Form responses'!BL$2:BL75,'Form responses'!$C$2:$C75,"&gt;="&amp;$N$1,'Form responses'!$C$2:$C75,"&lt;="&amp;$Q$1,'Form responses'!$G$2:$G75,$J$1,'Form responses'!$F$2:$F75,"&lt;&gt;"&amp;4)</f>
        <v>170</v>
      </c>
      <c r="H68" s="187">
        <f>sumifs('Form responses'!BN$2:BN75,'Form responses'!$C$2:$C75,"&gt;="&amp;$N$1,'Form responses'!$C$2:$C75,"&lt;="&amp;$Q$1,'Form responses'!$G$2:$G75,$J$1,'Form responses'!$F$2:$F75,"&lt;&gt;"&amp;4)</f>
        <v>176</v>
      </c>
      <c r="I68" s="187">
        <f>sumifs('Form responses'!BP$2:BP75,'Form responses'!$C$2:$C75,"&gt;="&amp;$N$1,'Form responses'!$C$2:$C75,"&lt;="&amp;$Q$1,'Form responses'!$G$2:$G75,$J$1,'Form responses'!$F$2:$F75,"&lt;&gt;"&amp;4)</f>
        <v>0</v>
      </c>
      <c r="J68" s="187">
        <f>sumifs('Form responses'!BR$2:BR75,'Form responses'!$C$2:$C75,"&gt;="&amp;$N$1,'Form responses'!$C$2:$C75,"&lt;="&amp;$Q$1,'Form responses'!$G$2:$G75,$J$1,'Form responses'!$F$2:$F75,"&lt;&gt;"&amp;4)</f>
        <v>0</v>
      </c>
      <c r="K68" s="187">
        <f>sumifs('Form responses'!BT$2:BT75,'Form responses'!$C$2:$C75,"&gt;="&amp;$N$1,'Form responses'!$C$2:$C75,"&lt;="&amp;$Q$1,'Form responses'!$G$2:$G75,$J$1,'Form responses'!$F$2:$F75,"&lt;&gt;"&amp;4)</f>
        <v>0</v>
      </c>
      <c r="L68" s="187">
        <f>sumifs('Form responses'!BV$2:BV75,'Form responses'!$C$2:$C75,"&gt;="&amp;$N$1,'Form responses'!$C$2:$C75,"&lt;="&amp;$Q$1,'Form responses'!$G$2:$G75,$J$1,'Form responses'!$F$2:$F75,"&lt;&gt;"&amp;4)</f>
        <v>0</v>
      </c>
      <c r="M68" s="187">
        <f>sumifs('Form responses'!BX$2:BX75,'Form responses'!$C$2:$C75,"&gt;="&amp;$N$1,'Form responses'!$C$2:$C75,"&lt;="&amp;$Q$1,'Form responses'!$G$2:$G75,$J$1,'Form responses'!$F$2:$F75,"&lt;&gt;"&amp;4)</f>
        <v>0</v>
      </c>
      <c r="N68" s="187">
        <f>sumifs('Form responses'!BZ$2:BZ75,'Form responses'!$C$2:$C75,"&gt;="&amp;$N$1,'Form responses'!$C$2:$C75,"&lt;="&amp;$Q$1,'Form responses'!$G$2:$G75,$J$1,'Form responses'!$F$2:$F75,"&lt;&gt;"&amp;4)</f>
        <v>319</v>
      </c>
      <c r="O68" s="187">
        <f>sumifs('Form responses'!CB$2:CB75,'Form responses'!$C$2:$C75,"&gt;="&amp;$N$1,'Form responses'!$C$2:$C75,"&lt;="&amp;$Q$1,'Form responses'!$G$2:$G75,$J$1,'Form responses'!$F$2:$F75,"&lt;&gt;"&amp;4)</f>
        <v>272</v>
      </c>
      <c r="P68" s="187">
        <f>sumifs('Form responses'!CD$2:CD75,'Form responses'!$C$2:$C75,"&gt;="&amp;$N$1,'Form responses'!$C$2:$C75,"&lt;="&amp;$Q$1,'Form responses'!$G$2:$G75,$J$1,'Form responses'!$F$2:$F75,"&lt;&gt;"&amp;4)</f>
        <v>0</v>
      </c>
      <c r="Q68" s="187">
        <f>sumifs('Form responses'!CF$2:CF75,'Form responses'!$C$2:$C75,"&gt;="&amp;$N$1,'Form responses'!$C$2:$C75,"&lt;="&amp;$Q$1,'Form responses'!$G$2:$G75,$J$1,'Form responses'!$F$2:$F75,"&lt;&gt;"&amp;4)</f>
        <v>0</v>
      </c>
      <c r="R68" s="187"/>
      <c r="T68" s="154"/>
      <c r="U68" s="154"/>
      <c r="V68" s="154"/>
      <c r="W68" s="154"/>
    </row>
    <row r="69" ht="19.5" customHeight="1">
      <c r="B69" s="186"/>
      <c r="C69" s="305" t="s">
        <v>635</v>
      </c>
      <c r="D69" s="187">
        <f>sumifs('Form responses'!BF$2:BF75,'Form responses'!$C$2:$C75,"&gt;="&amp;$N$1,'Form responses'!$C$2:$C75,"&lt;="&amp;$Q$1,'Form responses'!$G$2:$G75,$J$1,'Form responses'!$F$2:$F75,"="&amp;4)</f>
        <v>85</v>
      </c>
      <c r="E69" s="187">
        <f>sumifs('Form responses'!BH$2:BH75,'Form responses'!$C$2:$C75,"&gt;="&amp;$N$1,'Form responses'!$C$2:$C75,"&lt;="&amp;$Q$1,'Form responses'!$G$2:$G75,$J$1,'Form responses'!$F$2:$F75,"="&amp;4)</f>
        <v>0</v>
      </c>
      <c r="F69" s="187">
        <f>sumifs('Form responses'!BJ$2:BJ75,'Form responses'!$C$2:$C75,"&gt;="&amp;$N$1,'Form responses'!$C$2:$C75,"&lt;="&amp;$Q$1,'Form responses'!$G$2:$G75,$J$1,'Form responses'!$F$2:$F75,"="&amp;4)</f>
        <v>0</v>
      </c>
      <c r="G69" s="187">
        <f>sumifs('Form responses'!BL$2:BL75,'Form responses'!$C$2:$C75,"&gt;="&amp;$N$1,'Form responses'!$C$2:$C75,"&lt;="&amp;$Q$1,'Form responses'!$G$2:$G75,$J$1,'Form responses'!$F$2:$F75,"="&amp;4)</f>
        <v>0</v>
      </c>
      <c r="H69" s="187">
        <f>sumifs('Form responses'!BN$2:BN75,'Form responses'!$C$2:$C75,"&gt;="&amp;$N$1,'Form responses'!$C$2:$C75,"&lt;="&amp;$Q$1,'Form responses'!$G$2:$G75,$J$1,'Form responses'!$F$2:$F75,"="&amp;4)</f>
        <v>0</v>
      </c>
      <c r="I69" s="187">
        <f>sumifs('Form responses'!BP$2:BP75,'Form responses'!$C$2:$C75,"&gt;="&amp;$N$1,'Form responses'!$C$2:$C75,"&lt;="&amp;$Q$1,'Form responses'!$G$2:$G75,$J$1,'Form responses'!$F$2:$F75,"="&amp;4)</f>
        <v>0</v>
      </c>
      <c r="J69" s="187">
        <f>sumifs('Form responses'!BR$2:BR75,'Form responses'!$C$2:$C75,"&gt;="&amp;$N$1,'Form responses'!$C$2:$C75,"&lt;="&amp;$Q$1,'Form responses'!$G$2:$G75,$J$1,'Form responses'!$F$2:$F75,"="&amp;4)</f>
        <v>0</v>
      </c>
      <c r="K69" s="187">
        <f>sumifs('Form responses'!BT$2:BT75,'Form responses'!$C$2:$C75,"&gt;="&amp;$N$1,'Form responses'!$C$2:$C75,"&lt;="&amp;$Q$1,'Form responses'!$G$2:$G75,$J$1,'Form responses'!$F$2:$F75,"="&amp;4)</f>
        <v>0</v>
      </c>
      <c r="L69" s="187">
        <f>sumifs('Form responses'!BV$2:BV75,'Form responses'!$C$2:$C75,"&gt;="&amp;$N$1,'Form responses'!$C$2:$C75,"&lt;="&amp;$Q$1,'Form responses'!$G$2:$G75,$J$1,'Form responses'!$F$2:$F75,"="&amp;4)</f>
        <v>0</v>
      </c>
      <c r="M69" s="187">
        <f>sumifs('Form responses'!BX$2:BX75,'Form responses'!$C$2:$C75,"&gt;="&amp;$N$1,'Form responses'!$C$2:$C75,"&lt;="&amp;$Q$1,'Form responses'!$G$2:$G75,$J$1,'Form responses'!$F$2:$F75,"="&amp;4)</f>
        <v>0</v>
      </c>
      <c r="N69" s="187">
        <f>sumifs('Form responses'!BZ$2:BZ75,'Form responses'!$C$2:$C75,"&gt;="&amp;$N$1,'Form responses'!$C$2:$C75,"&lt;="&amp;$Q$1,'Form responses'!$G$2:$G75,$J$1,'Form responses'!$F$2:$F75,"="&amp;4)</f>
        <v>45</v>
      </c>
      <c r="O69" s="187">
        <f>sumifs('Form responses'!CB$2:CB75,'Form responses'!$C$2:$C75,"&gt;="&amp;$N$1,'Form responses'!$C$2:$C75,"&lt;="&amp;$Q$1,'Form responses'!$G$2:$G75,$J$1,'Form responses'!$F$2:$F75,"="&amp;4)</f>
        <v>0</v>
      </c>
      <c r="P69" s="187">
        <f>sumifs('Form responses'!CD$2:CD75,'Form responses'!$C$2:$C75,"&gt;="&amp;$N$1,'Form responses'!$C$2:$C75,"&lt;="&amp;$Q$1,'Form responses'!$G$2:$G75,$J$1,'Form responses'!$F$2:$F75,"="&amp;4)</f>
        <v>0</v>
      </c>
      <c r="Q69" s="187">
        <f>sumifs('Form responses'!CF$2:CF75,'Form responses'!$C$2:$C75,"&gt;="&amp;$N$1,'Form responses'!$C$2:$C75,"&lt;="&amp;$Q$1,'Form responses'!$G$2:$G75,$J$1,'Form responses'!$F$2:$F75,"="&amp;4)</f>
        <v>0</v>
      </c>
      <c r="R69" s="187"/>
      <c r="T69" s="154"/>
      <c r="U69" s="154"/>
      <c r="V69" s="154"/>
      <c r="W69" s="154"/>
    </row>
    <row r="70" ht="19.5" customHeight="1">
      <c r="B70" s="186"/>
      <c r="C70" s="305" t="s">
        <v>636</v>
      </c>
      <c r="D70" s="187">
        <f>sumifs('Form responses'!FH$2:FH75,'Form responses'!$C$2:$C75,"&gt;="&amp;$N$1,'Form responses'!$C$2:$C75,"&lt;="&amp;$Q$1,'Form responses'!$G$2:$G75,$J$1)</f>
        <v>85</v>
      </c>
      <c r="E70" s="187">
        <f>sumifs('Form responses'!FI$2:FI75,'Form responses'!$C$2:$C75,"&gt;="&amp;$N$1,'Form responses'!$C$2:$C75,"&lt;="&amp;$Q$1,'Form responses'!$G$2:$G75,$J$1)</f>
        <v>0</v>
      </c>
      <c r="F70" s="187">
        <f>sumifs('Form responses'!FJ$2:FJ75,'Form responses'!$C$2:$C75,"&gt;="&amp;$N$1,'Form responses'!$C$2:$C75,"&lt;="&amp;$Q$1,'Form responses'!$G$2:$G75,$J$1)</f>
        <v>0</v>
      </c>
      <c r="G70" s="187">
        <f>sumifs('Form responses'!FK$2:FK75,'Form responses'!$C$2:$C75,"&gt;="&amp;$N$1,'Form responses'!$C$2:$C75,"&lt;="&amp;$Q$1,'Form responses'!$G$2:$G75,$J$1)</f>
        <v>0</v>
      </c>
      <c r="H70" s="187">
        <f>sumifs('Form responses'!FL$2:FL75,'Form responses'!$C$2:$C75,"&gt;="&amp;$N$1,'Form responses'!$C$2:$C75,"&lt;="&amp;$Q$1,'Form responses'!$G$2:$G75,$J$1)</f>
        <v>0</v>
      </c>
      <c r="I70" s="187">
        <f>sumifs('Form responses'!FM$2:FM75,'Form responses'!$C$2:$C75,"&gt;="&amp;$N$1,'Form responses'!$C$2:$C75,"&lt;="&amp;$Q$1,'Form responses'!$G$2:$G75,$J$1)</f>
        <v>0</v>
      </c>
      <c r="J70" s="187">
        <f>sumifs('Form responses'!FN$2:FN75,'Form responses'!$C$2:$C75,"&gt;="&amp;$N$1,'Form responses'!$C$2:$C75,"&lt;="&amp;$Q$1,'Form responses'!$G$2:$G75,$J$1)</f>
        <v>0</v>
      </c>
      <c r="K70" s="187">
        <f>sumifs('Form responses'!FO$2:FO75,'Form responses'!$C$2:$C75,"&gt;="&amp;$N$1,'Form responses'!$C$2:$C75,"&lt;="&amp;$Q$1,'Form responses'!$G$2:$G75,$J$1)</f>
        <v>0</v>
      </c>
      <c r="L70" s="187">
        <f>sumifs('Form responses'!FP$2:FP75,'Form responses'!$C$2:$C75,"&gt;="&amp;$N$1,'Form responses'!$C$2:$C75,"&lt;="&amp;$Q$1,'Form responses'!$G$2:$G75,$J$1)</f>
        <v>0</v>
      </c>
      <c r="M70" s="187">
        <f>sumifs('Form responses'!FQ$2:FQ75,'Form responses'!$C$2:$C75,"&gt;="&amp;$N$1,'Form responses'!$C$2:$C75,"&lt;="&amp;$Q$1,'Form responses'!$G$2:$G75,$J$1)</f>
        <v>0</v>
      </c>
      <c r="N70" s="187">
        <f>sumifs('Form responses'!FR$2:FR75,'Form responses'!$C$2:$C75,"&gt;="&amp;$N$1,'Form responses'!$C$2:$C75,"&lt;="&amp;$Q$1,'Form responses'!$G$2:$G75,$J$1)</f>
        <v>45</v>
      </c>
      <c r="O70" s="187">
        <f>sumifs('Form responses'!FS$2:FS75,'Form responses'!$C$2:$C75,"&gt;="&amp;$N$1,'Form responses'!$C$2:$C75,"&lt;="&amp;$Q$1,'Form responses'!$G$2:$G75,$J$1)</f>
        <v>0</v>
      </c>
      <c r="P70" s="187">
        <f>sumifs('Form responses'!FT$2:FT75,'Form responses'!$C$2:$C75,"&gt;="&amp;$N$1,'Form responses'!$C$2:$C75,"&lt;="&amp;$Q$1,'Form responses'!$G$2:$G75,$J$1)</f>
        <v>0</v>
      </c>
      <c r="Q70" s="187">
        <f>sumifs('Form responses'!FU$2:FU75,'Form responses'!$C$2:$C75,"&gt;="&amp;$N$1,'Form responses'!$C$2:$C75,"&lt;="&amp;$Q$1,'Form responses'!$G$2:$G75,$J$1)</f>
        <v>0</v>
      </c>
      <c r="R70" s="187"/>
      <c r="T70" s="154"/>
      <c r="U70" s="154"/>
      <c r="V70" s="154"/>
      <c r="W70" s="154"/>
    </row>
    <row r="71" ht="19.5" customHeight="1">
      <c r="B71" s="186"/>
      <c r="C71" s="305" t="s">
        <v>637</v>
      </c>
      <c r="D71" s="187">
        <f>sumifs('Form responses'!ER$2:ER75,'Form responses'!$C$2:$C75,"&gt;="&amp;Date(YEAR(DATE(YEAR($Q$1),MONTH($Q$1)+(-3),1)),4,1),'Form responses'!$C$2:$C75,"&lt;="&amp;$Q$1,'Form responses'!$G$2:$G75,$J$1,'Form responses'!F2:F75,"&lt;&gt;"&amp;4)</f>
        <v>360</v>
      </c>
      <c r="E71" s="187">
        <f>sumifs('Form responses'!ES$2:ES75,'Form responses'!$C$2:$C75,"&gt;="&amp;Date(YEAR(DATE(YEAR($Q$1),MONTH($Q$1)+(-3),1)),4,1),'Form responses'!$C$2:$C75,"&lt;="&amp;$Q$1,'Form responses'!$G$2:$G75,$J$1,'Form responses'!F2:F75,"&lt;&gt;"&amp;4)</f>
        <v>0</v>
      </c>
      <c r="F71" s="187">
        <f>sumifs('Form responses'!ET$2:ET75,'Form responses'!$C$2:$C75,"&gt;="&amp;Date(YEAR(DATE(YEAR($Q$1),MONTH($Q$1)+(-3),1)),4,1),'Form responses'!$C$2:$C75,"&lt;="&amp;$Q$1,'Form responses'!$G$2:$G75,$J$1,'Form responses'!F2:F75,"&lt;&gt;"&amp;4)</f>
        <v>0</v>
      </c>
      <c r="G71" s="187">
        <f>sumifs('Form responses'!EU$2:EU75,'Form responses'!$C$2:$C75,"&gt;="&amp;Date(YEAR(DATE(YEAR($Q$1),MONTH($Q$1)+(-3),1)),4,1),'Form responses'!$C$2:$C75,"&lt;="&amp;$Q$1,'Form responses'!$G$2:$G75,$J$1,'Form responses'!F2:F75,"&lt;&gt;"&amp;4)</f>
        <v>195</v>
      </c>
      <c r="H71" s="187">
        <f>sumifs('Form responses'!EV$2:EV75,'Form responses'!$C$2:$C75,"&gt;="&amp;Date(YEAR(DATE(YEAR($Q$1),MONTH($Q$1)+(-3),1)),4,1),'Form responses'!$C$2:$C75,"&lt;="&amp;$Q$1,'Form responses'!$G$2:$G75,$J$1,'Form responses'!F2:F75,"&lt;&gt;"&amp;4)</f>
        <v>180</v>
      </c>
      <c r="I71" s="187">
        <f>sumifs('Form responses'!EW$2:EW75,'Form responses'!$C$2:$C75,"&gt;="&amp;Date(YEAR(DATE(YEAR($Q$1),MONTH($Q$1)+(-3),1)),4,1),'Form responses'!$C$2:$C75,"&lt;="&amp;$Q$1,'Form responses'!$G$2:$G75,$J$1,'Form responses'!F2:F75,"&lt;&gt;"&amp;4)</f>
        <v>0</v>
      </c>
      <c r="J71" s="187">
        <f>sumifs('Form responses'!EX$2:EX75,'Form responses'!$C$2:$C75,"&gt;="&amp;Date(YEAR(DATE(YEAR($Q$1),MONTH($Q$1)+(-3),1)),4,1),'Form responses'!$C$2:$C75,"&lt;="&amp;$Q$1,'Form responses'!$G$2:$G75,$J$1,'Form responses'!F2:F75,"&lt;&gt;"&amp;4)</f>
        <v>0</v>
      </c>
      <c r="K71" s="187">
        <f>sumifs('Form responses'!EY$2:EY75,'Form responses'!$C$2:$C75,"&gt;="&amp;Date(YEAR(DATE(YEAR($Q$1),MONTH($Q$1)+(-3),1)),4,1),'Form responses'!$C$2:$C75,"&lt;="&amp;$Q$1,'Form responses'!$G$2:$G75,$J$1,'Form responses'!F2:F75,"&lt;&gt;"&amp;4)</f>
        <v>0</v>
      </c>
      <c r="L71" s="187">
        <f>sumifs('Form responses'!EZ$2:EZ75,'Form responses'!$C$2:$C75,"&gt;="&amp;Date(YEAR(DATE(YEAR($Q$1),MONTH($Q$1)+(-3),1)),4,1),'Form responses'!$C$2:$C75,"&lt;="&amp;$Q$1,'Form responses'!$G$2:$G75,$J$1,'Form responses'!F2:F75,"&lt;&gt;"&amp;4)</f>
        <v>0</v>
      </c>
      <c r="M71" s="187">
        <f>sumifs('Form responses'!FA$2:FA75,'Form responses'!$C$2:$C75,"&gt;="&amp;Date(YEAR(DATE(YEAR($Q$1),MONTH($Q$1)+(-3),1)),4,1),'Form responses'!$C$2:$C75,"&lt;="&amp;$Q$1,'Form responses'!$G$2:$G75,$J$1,'Form responses'!F2:F75,"&lt;&gt;"&amp;4)</f>
        <v>0</v>
      </c>
      <c r="N71" s="187">
        <f>sumifs('Form responses'!FB$2:FB75,'Form responses'!$C$2:$C75,"&gt;="&amp;Date(YEAR(DATE(YEAR($Q$1),MONTH($Q$1)+(-3),1)),4,1),'Form responses'!$C$2:$C75,"&lt;="&amp;$Q$1,'Form responses'!$G$2:$G75,$J$1,'Form responses'!F2:F75,"&lt;&gt;"&amp;4)</f>
        <v>510</v>
      </c>
      <c r="O71" s="187">
        <f>sumifs('Form responses'!FC$2:FC75,'Form responses'!$C$2:$C75,"&gt;="&amp;Date(YEAR(DATE(YEAR($Q$1),MONTH($Q$1)+(-3),1)),4,1),'Form responses'!$C$2:$C75,"&lt;="&amp;$Q$1,'Form responses'!$G$2:$G75,$J$1,'Form responses'!F2:F75,"&lt;&gt;"&amp;4)</f>
        <v>210</v>
      </c>
      <c r="P71" s="187">
        <f>sumifs('Form responses'!FD$2:FD75,'Form responses'!$C$2:$C75,"&gt;="&amp;Date(YEAR(DATE(YEAR($Q$1),MONTH($Q$1)+(-3),1)),4,1),'Form responses'!$C$2:$C75,"&lt;="&amp;$Q$1,'Form responses'!$G$2:$G75,$J$1,'Form responses'!F2:F75,"&lt;&gt;"&amp;4)</f>
        <v>0</v>
      </c>
      <c r="Q71" s="187">
        <f>sumifs('Form responses'!FE$2:FE75,'Form responses'!$C$2:$C75,"&gt;="&amp;Date(YEAR(DATE(YEAR($Q$1),MONTH($Q$1)+(-3),1)),4,1),'Form responses'!$C$2:$C75,"&lt;="&amp;$Q$1,'Form responses'!$G$2:$G75,$J$1,'Form responses'!$F$2:$F75,"&lt;&gt;"&amp;4)</f>
        <v>0</v>
      </c>
      <c r="R71" s="187"/>
      <c r="T71" s="102"/>
      <c r="U71" s="102"/>
      <c r="V71" s="102"/>
      <c r="W71" s="102"/>
    </row>
    <row r="72" ht="19.5" customHeight="1">
      <c r="B72" s="186"/>
      <c r="C72" s="305" t="s">
        <v>638</v>
      </c>
      <c r="D72" s="187">
        <f>sumifs('Form responses'!BF$2:BF75,'Form responses'!$C$2:$C75,"&gt;="&amp;Date(YEAR(DATE(YEAR($Q$1),MONTH($Q$1)+(-3),1)),4,1),'Form responses'!$C$2:$C75,"&lt;="&amp;$Q$1,'Form responses'!$G$2:$G75,$J$1,'Form responses'!$F$2:$F75,"&lt;&gt;"&amp;4)</f>
        <v>291</v>
      </c>
      <c r="E72" s="187">
        <f>sumifs('Form responses'!BH$2:BH75,'Form responses'!$C$2:$C75,"&gt;="&amp;Date(YEAR(DATE(YEAR($Q$1),MONTH($Q$1)+(-3),1)),4,1),'Form responses'!$C$2:$C75,"&lt;="&amp;$Q$1,'Form responses'!$G$2:$G75,$J$1,'Form responses'!$F$2:$F75,"&lt;&gt;"&amp;4)</f>
        <v>30</v>
      </c>
      <c r="F72" s="187">
        <f>sumifs('Form responses'!BJ$2:BJ75,'Form responses'!$C$2:$C75,"&gt;="&amp;Date(YEAR(DATE(YEAR($Q$1),MONTH($Q$1)+(-3),1)),4,1),'Form responses'!$C$2:$C75,"&lt;="&amp;$Q$1,'Form responses'!$G$2:$G75,$J$1,'Form responses'!$F$2:$F75,"&lt;&gt;"&amp;4)</f>
        <v>45</v>
      </c>
      <c r="G72" s="187">
        <f>sumifs('Form responses'!BL$2:BL75,'Form responses'!$C$2:$C75,"&gt;="&amp;Date(YEAR(DATE(YEAR($Q$1),MONTH($Q$1)+(-3),1)),4,1),'Form responses'!$C$2:$C75,"&lt;="&amp;$Q$1,'Form responses'!$G$2:$G75,$J$1,'Form responses'!$F$2:$F75,"&lt;&gt;"&amp;4)</f>
        <v>170</v>
      </c>
      <c r="H72" s="187">
        <f>sumifs('Form responses'!BN$2:BN75,'Form responses'!$C$2:$C75,"&gt;="&amp;Date(YEAR(DATE(YEAR($Q$1),MONTH($Q$1)+(-3),1)),4,1),'Form responses'!$C$2:$C75,"&lt;="&amp;$Q$1,'Form responses'!$G$2:$G75,$J$1,'Form responses'!$F$2:$F75,"&lt;&gt;"&amp;4)</f>
        <v>176</v>
      </c>
      <c r="I72" s="187">
        <f>sumifs('Form responses'!BP$2:BP75,'Form responses'!$C$2:$C75,"&gt;="&amp;Date(YEAR(DATE(YEAR($Q$1),MONTH($Q$1)+(-3),1)),4,1),'Form responses'!$C$2:$C75,"&lt;="&amp;$Q$1,'Form responses'!$G$2:$G75,$J$1,'Form responses'!$F$2:$F75,"&lt;&gt;"&amp;4)</f>
        <v>0</v>
      </c>
      <c r="J72" s="187">
        <f>sumifs('Form responses'!BR$2:BR75,'Form responses'!$C$2:$C75,"&gt;="&amp;Date(YEAR(DATE(YEAR($Q$1),MONTH($Q$1)+(-3),1)),4,1),'Form responses'!$C$2:$C75,"&lt;="&amp;$Q$1,'Form responses'!$G$2:$G75,$J$1,'Form responses'!$F$2:$F75,"&lt;&gt;"&amp;4)</f>
        <v>0</v>
      </c>
      <c r="K72" s="187">
        <f>sumifs('Form responses'!BT$2:BT75,'Form responses'!$C$2:$C75,"&gt;="&amp;Date(YEAR(DATE(YEAR($Q$1),MONTH($Q$1)+(-3),1)),4,1),'Form responses'!$C$2:$C75,"&lt;="&amp;$Q$1,'Form responses'!$G$2:$G75,$J$1,'Form responses'!$F$2:$F75,"&lt;&gt;"&amp;4)</f>
        <v>0</v>
      </c>
      <c r="L72" s="187">
        <f>sumifs('Form responses'!BV$2:BV75,'Form responses'!$C$2:$C75,"&gt;="&amp;Date(YEAR(DATE(YEAR($Q$1),MONTH($Q$1)+(-3),1)),4,1),'Form responses'!$C$2:$C75,"&lt;="&amp;$Q$1,'Form responses'!$G$2:$G75,$J$1,'Form responses'!$F$2:$F75,"&lt;&gt;"&amp;4)</f>
        <v>0</v>
      </c>
      <c r="M72" s="187">
        <f>sumifs('Form responses'!BX$2:BX75,'Form responses'!$C$2:$C75,"&gt;="&amp;Date(YEAR(DATE(YEAR($Q$1),MONTH($Q$1)+(-3),1)),4,1),'Form responses'!$C$2:$C75,"&lt;="&amp;$Q$1,'Form responses'!$G$2:$G75,$J$1,'Form responses'!$F$2:$F75,"&lt;&gt;"&amp;4)</f>
        <v>0</v>
      </c>
      <c r="N72" s="187">
        <f>sumifs('Form responses'!BZ$2:BZ75,'Form responses'!$C$2:$C75,"&gt;="&amp;Date(YEAR(DATE(YEAR($Q$1),MONTH($Q$1)+(-3),1)),4,1),'Form responses'!$C$2:$C75,"&lt;="&amp;$Q$1,'Form responses'!$G$2:$G75,$J$1,'Form responses'!$F$2:$F75,"&lt;&gt;"&amp;4)</f>
        <v>319</v>
      </c>
      <c r="O72" s="187">
        <f>sumifs('Form responses'!CB$2:CB75,'Form responses'!$C$2:$C75,"&gt;="&amp;Date(YEAR(DATE(YEAR($Q$1),MONTH($Q$1)+(-3),1)),4,1),'Form responses'!$C$2:$C75,"&lt;="&amp;$Q$1,'Form responses'!$G$2:$G75,$J$1,'Form responses'!$F$2:$F75,"&lt;&gt;"&amp;4)</f>
        <v>272</v>
      </c>
      <c r="P72" s="187">
        <f>sumifs('Form responses'!CD$2:CD75,'Form responses'!$C$2:$C75,"&gt;="&amp;Date(YEAR(DATE(YEAR($Q$1),MONTH($Q$1)+(-3),1)),4,1),'Form responses'!$C$2:$C75,"&lt;="&amp;$Q$1,'Form responses'!$G$2:$G75,$J$1,'Form responses'!$F$2:$F75,"&lt;&gt;"&amp;4)</f>
        <v>0</v>
      </c>
      <c r="Q72" s="187">
        <f>sumifs('Form responses'!CF$2:CF75,'Form responses'!$C$2:$C75,"&gt;="&amp;Date(YEAR(DATE(YEAR($Q$1),MONTH($Q$1)+(-3),1)),4,1),'Form responses'!$C$2:$C75,"&lt;="&amp;$Q$1,'Form responses'!$G$2:$G75,$J$1,'Form responses'!$F$2:$F75,"&lt;&gt;"&amp;4)</f>
        <v>0</v>
      </c>
      <c r="R72" s="187"/>
      <c r="T72" s="102"/>
      <c r="U72" s="102"/>
      <c r="V72" s="102"/>
      <c r="W72" s="102"/>
    </row>
    <row r="73" ht="19.5" customHeight="1">
      <c r="B73" s="186"/>
      <c r="C73" s="305" t="s">
        <v>550</v>
      </c>
      <c r="D73" s="187">
        <f>sumifs('Form responses'!FH$2:FH75,'Form responses'!$C$2:$C75,"&gt;="&amp;Date(YEAR(DATE(YEAR($Q$1),MONTH($Q$1)+(-3),1)),4,1),'Form responses'!$C$2:$C75,"&lt;="&amp;$Q$1,'Form responses'!$G$2:$G75,$J$1)</f>
        <v>85</v>
      </c>
      <c r="E73" s="187">
        <f>sumifs('Form responses'!FI$2:FI75,'Form responses'!$C$2:$C75,"&gt;="&amp;Date(YEAR(DATE(YEAR($Q$1),MONTH($Q$1)+(-3),1)),4,1),'Form responses'!$C$2:$C75,"&lt;="&amp;$Q$1,'Form responses'!$G$2:$G75,$J$1)</f>
        <v>0</v>
      </c>
      <c r="F73" s="187">
        <f>sumifs('Form responses'!FJ$2:FJ75,'Form responses'!$C$2:$C75,"&gt;="&amp;Date(YEAR(DATE(YEAR($Q$1),MONTH($Q$1)+(-3),1)),4,1),'Form responses'!$C$2:$C75,"&lt;="&amp;$Q$1,'Form responses'!$G$2:$G75,$J$1)</f>
        <v>0</v>
      </c>
      <c r="G73" s="187">
        <f>sumifs('Form responses'!FK$2:FK75,'Form responses'!$C$2:$C75,"&gt;="&amp;Date(YEAR(DATE(YEAR($Q$1),MONTH($Q$1)+(-3),1)),4,1),'Form responses'!$C$2:$C75,"&lt;="&amp;$Q$1,'Form responses'!$G$2:$G75,$J$1)</f>
        <v>0</v>
      </c>
      <c r="H73" s="187">
        <f>sumifs('Form responses'!FL$2:FL75,'Form responses'!$C$2:$C75,"&gt;="&amp;Date(YEAR(DATE(YEAR($Q$1),MONTH($Q$1)+(-3),1)),4,1),'Form responses'!$C$2:$C75,"&lt;="&amp;$Q$1,'Form responses'!$G$2:$G75,$J$1)</f>
        <v>0</v>
      </c>
      <c r="I73" s="187">
        <f>sumifs('Form responses'!FM$2:FM75,'Form responses'!$C$2:$C75,"&gt;="&amp;Date(YEAR(DATE(YEAR($Q$1),MONTH($Q$1)+(-3),1)),4,1),'Form responses'!$C$2:$C75,"&lt;="&amp;$Q$1,'Form responses'!$G$2:$G75,$J$1)</f>
        <v>0</v>
      </c>
      <c r="J73" s="187">
        <f>sumifs('Form responses'!FN$2:FN75,'Form responses'!$C$2:$C75,"&gt;="&amp;Date(YEAR(DATE(YEAR($Q$1),MONTH($Q$1)+(-3),1)),4,1),'Form responses'!$C$2:$C75,"&lt;="&amp;$Q$1,'Form responses'!$G$2:$G75,$J$1)</f>
        <v>0</v>
      </c>
      <c r="K73" s="187">
        <f>sumifs('Form responses'!FO$2:FO75,'Form responses'!$C$2:$C75,"&gt;="&amp;Date(YEAR(DATE(YEAR($Q$1),MONTH($Q$1)+(-3),1)),4,1),'Form responses'!$C$2:$C75,"&lt;="&amp;$Q$1,'Form responses'!$G$2:$G75,$J$1)</f>
        <v>0</v>
      </c>
      <c r="L73" s="187">
        <f>sumifs('Form responses'!FP$2:FP75,'Form responses'!$C$2:$C75,"&gt;="&amp;Date(YEAR(DATE(YEAR($Q$1),MONTH($Q$1)+(-3),1)),4,1),'Form responses'!$C$2:$C75,"&lt;="&amp;$Q$1,'Form responses'!$G$2:$G75,$J$1)</f>
        <v>0</v>
      </c>
      <c r="M73" s="187">
        <f>sumifs('Form responses'!FQ$2:FQ75,'Form responses'!$C$2:$C75,"&gt;="&amp;Date(YEAR(DATE(YEAR($Q$1),MONTH($Q$1)+(-3),1)),4,1),'Form responses'!$C$2:$C75,"&lt;="&amp;$Q$1,'Form responses'!$G$2:$G75,$J$1)</f>
        <v>0</v>
      </c>
      <c r="N73" s="187">
        <f>sumifs('Form responses'!FR$2:FR75,'Form responses'!$C$2:$C75,"&gt;="&amp;Date(YEAR(DATE(YEAR($Q$1),MONTH($Q$1)+(-3),1)),4,1),'Form responses'!$C$2:$C75,"&lt;="&amp;$Q$1,'Form responses'!$G$2:$G75,$J$1)</f>
        <v>45</v>
      </c>
      <c r="O73" s="187">
        <f>sumifs('Form responses'!FS$2:FS75,'Form responses'!$C$2:$C75,"&gt;="&amp;Date(YEAR(DATE(YEAR($Q$1),MONTH($Q$1)+(-3),1)),4,1),'Form responses'!$C$2:$C75,"&lt;="&amp;$Q$1,'Form responses'!$G$2:$G75,$J$1)</f>
        <v>0</v>
      </c>
      <c r="P73" s="187">
        <f>sumifs('Form responses'!FT$2:FT75,'Form responses'!$C$2:$C75,"&gt;="&amp;Date(YEAR(DATE(YEAR($Q$1),MONTH($Q$1)+(-3),1)),4,1),'Form responses'!$C$2:$C75,"&lt;="&amp;$Q$1,'Form responses'!$G$2:$G75,$J$1)</f>
        <v>0</v>
      </c>
      <c r="Q73" s="187">
        <f>sumifs('Form responses'!FU$2:FU75,'Form responses'!$C$2:$C75,"&gt;="&amp;Date(YEAR(DATE(YEAR($Q$1),MONTH($Q$1)+(-3),1)),4,1),'Form responses'!$C$2:$C75,"&lt;="&amp;$Q$1,'Form responses'!$G$2:$G75,$J$1)</f>
        <v>0</v>
      </c>
      <c r="R73" s="187"/>
      <c r="T73" s="102"/>
      <c r="U73" s="102"/>
      <c r="V73" s="102"/>
      <c r="W73" s="102"/>
    </row>
    <row r="74" ht="19.5" customHeight="1">
      <c r="B74" s="186"/>
      <c r="C74" s="305" t="s">
        <v>639</v>
      </c>
      <c r="D74" s="187">
        <f>sumifs('Form responses'!BF$2:BF75,'Form responses'!$C$2:$C75,"&gt;="&amp;Date(YEAR(DATE(YEAR($Q$1),MONTH($Q$1)+(-3),1)),4,1),'Form responses'!$C$2:$C75,"&lt;="&amp;$Q$1,'Form responses'!$G$2:$G75,$J$1,'Form responses'!$F$2:$F75,"="&amp;4)</f>
        <v>85</v>
      </c>
      <c r="E74" s="187">
        <f>sumifs('Form responses'!BH$2:BH75,'Form responses'!$C$2:$C75,"&gt;="&amp;Date(YEAR(DATE(YEAR($Q$1),MONTH($Q$1)+(-3),1)),4,1),'Form responses'!$C$2:$C75,"&lt;="&amp;$Q$1,'Form responses'!$G$2:$G75,$J$1,'Form responses'!$F$2:$F75,"="&amp;4)</f>
        <v>0</v>
      </c>
      <c r="F74" s="187">
        <f>sumifs('Form responses'!BJ$2:BJ75,'Form responses'!$C$2:$C75,"&gt;="&amp;Date(YEAR(DATE(YEAR($Q$1),MONTH($Q$1)+(-3),1)),4,1),'Form responses'!$C$2:$C75,"&lt;="&amp;$Q$1,'Form responses'!$G$2:$G75,$J$1,'Form responses'!$F$2:$F75,"="&amp;4)</f>
        <v>0</v>
      </c>
      <c r="G74" s="187">
        <f>sumifs('Form responses'!BL$2:BL75,'Form responses'!$C$2:$C75,"&gt;="&amp;Date(YEAR(DATE(YEAR($Q$1),MONTH($Q$1)+(-3),1)),4,1),'Form responses'!$C$2:$C75,"&lt;="&amp;$Q$1,'Form responses'!$G$2:$G75,$J$1,'Form responses'!$F$2:$F75,"="&amp;4)</f>
        <v>0</v>
      </c>
      <c r="H74" s="187">
        <f>sumifs('Form responses'!BN$2:BN75,'Form responses'!$C$2:$C75,"&gt;="&amp;Date(YEAR(DATE(YEAR($Q$1),MONTH($Q$1)+(-3),1)),4,1),'Form responses'!$C$2:$C75,"&lt;="&amp;$Q$1,'Form responses'!$G$2:$G75,$J$1,'Form responses'!$F$2:$F75,"="&amp;4)</f>
        <v>0</v>
      </c>
      <c r="I74" s="187">
        <f>sumifs('Form responses'!BP$2:BP75,'Form responses'!$C$2:$C75,"&gt;="&amp;Date(YEAR(DATE(YEAR($Q$1),MONTH($Q$1)+(-3),1)),4,1),'Form responses'!$C$2:$C75,"&lt;="&amp;$Q$1,'Form responses'!$G$2:$G75,$J$1,'Form responses'!$F$2:$F75,"="&amp;4)</f>
        <v>0</v>
      </c>
      <c r="J74" s="187">
        <f>sumifs('Form responses'!BR$2:BR75,'Form responses'!$C$2:$C75,"&gt;="&amp;Date(YEAR(DATE(YEAR($Q$1),MONTH($Q$1)+(-3),1)),4,1),'Form responses'!$C$2:$C75,"&lt;="&amp;$Q$1,'Form responses'!$G$2:$G75,$J$1,'Form responses'!$F$2:$F75,"="&amp;4)</f>
        <v>0</v>
      </c>
      <c r="K74" s="187">
        <f>sumifs('Form responses'!BT$2:BT75,'Form responses'!$C$2:$C75,"&gt;="&amp;Date(YEAR(DATE(YEAR($Q$1),MONTH($Q$1)+(-3),1)),4,1),'Form responses'!$C$2:$C75,"&lt;="&amp;$Q$1,'Form responses'!$G$2:$G75,$J$1,'Form responses'!$F$2:$F75,"="&amp;4)</f>
        <v>0</v>
      </c>
      <c r="L74" s="187">
        <f>sumifs('Form responses'!BV$2:BV75,'Form responses'!$C$2:$C75,"&gt;="&amp;Date(YEAR(DATE(YEAR($Q$1),MONTH($Q$1)+(-3),1)),4,1),'Form responses'!$C$2:$C75,"&lt;="&amp;$Q$1,'Form responses'!$G$2:$G75,$J$1,'Form responses'!$F$2:$F75,"="&amp;4)</f>
        <v>0</v>
      </c>
      <c r="M74" s="187">
        <f>sumifs('Form responses'!BX$2:BX75,'Form responses'!$C$2:$C75,"&gt;="&amp;Date(YEAR(DATE(YEAR($Q$1),MONTH($Q$1)+(-3),1)),4,1),'Form responses'!$C$2:$C75,"&lt;="&amp;$Q$1,'Form responses'!$G$2:$G75,$J$1,'Form responses'!$F$2:$F75,"="&amp;4)</f>
        <v>0</v>
      </c>
      <c r="N74" s="187">
        <f>sumifs('Form responses'!BZ$2:BZ75,'Form responses'!$C$2:$C75,"&gt;="&amp;Date(YEAR(DATE(YEAR($Q$1),MONTH($Q$1)+(-3),1)),4,1),'Form responses'!$C$2:$C75,"&lt;="&amp;$Q$1,'Form responses'!$G$2:$G75,$J$1,'Form responses'!$F$2:$F75,"="&amp;4)</f>
        <v>45</v>
      </c>
      <c r="O74" s="187">
        <f>sumifs('Form responses'!CB$2:CB75,'Form responses'!$C$2:$C75,"&gt;="&amp;Date(YEAR(DATE(YEAR($Q$1),MONTH($Q$1)+(-3),1)),4,1),'Form responses'!$C$2:$C75,"&lt;="&amp;$Q$1,'Form responses'!$G$2:$G75,$J$1,'Form responses'!$F$2:$F75,"="&amp;4)</f>
        <v>0</v>
      </c>
      <c r="P74" s="187">
        <f>sumifs('Form responses'!CD$2:CD75,'Form responses'!$C$2:$C75,"&gt;="&amp;Date(YEAR(DATE(YEAR($Q$1),MONTH($Q$1)+(-3),1)),4,1),'Form responses'!$C$2:$C75,"&lt;="&amp;$Q$1,'Form responses'!$G$2:$G75,$J$1,'Form responses'!$F$2:$F75,"="&amp;4)</f>
        <v>0</v>
      </c>
      <c r="Q74" s="187">
        <f>sumifs('Form responses'!CF$2:CF75,'Form responses'!$C$2:$C75,"&gt;="&amp;Date(YEAR(DATE(YEAR($Q$1),MONTH($Q$1)+(-3),1)),4,1),'Form responses'!$C$2:$C75,"&lt;="&amp;$Q$1,'Form responses'!$G$2:$G75,$J$1,'Form responses'!$F$2:$F75,"="&amp;4)</f>
        <v>0</v>
      </c>
      <c r="R74" s="187"/>
      <c r="T74" s="102"/>
      <c r="U74" s="129"/>
      <c r="V74" s="129"/>
      <c r="W74" s="129"/>
    </row>
    <row r="75" ht="19.5" customHeight="1">
      <c r="B75" s="186"/>
      <c r="C75" s="305" t="s">
        <v>551</v>
      </c>
      <c r="D75" s="187">
        <f t="shared" ref="D75:Q75" si="22">(D65+D71)-(D72+D74)</f>
        <v>9</v>
      </c>
      <c r="E75" s="187">
        <f t="shared" si="22"/>
        <v>0</v>
      </c>
      <c r="F75" s="187">
        <f t="shared" si="22"/>
        <v>0</v>
      </c>
      <c r="G75" s="187">
        <f t="shared" si="22"/>
        <v>25</v>
      </c>
      <c r="H75" s="187">
        <f t="shared" si="22"/>
        <v>74</v>
      </c>
      <c r="I75" s="187">
        <f t="shared" si="22"/>
        <v>0</v>
      </c>
      <c r="J75" s="187">
        <f t="shared" si="22"/>
        <v>0</v>
      </c>
      <c r="K75" s="187">
        <f t="shared" si="22"/>
        <v>0</v>
      </c>
      <c r="L75" s="187">
        <f t="shared" si="22"/>
        <v>0</v>
      </c>
      <c r="M75" s="187">
        <f t="shared" si="22"/>
        <v>0</v>
      </c>
      <c r="N75" s="187">
        <f t="shared" si="22"/>
        <v>146</v>
      </c>
      <c r="O75" s="187">
        <f t="shared" si="22"/>
        <v>28</v>
      </c>
      <c r="P75" s="187">
        <f t="shared" si="22"/>
        <v>0</v>
      </c>
      <c r="Q75" s="187">
        <f t="shared" si="22"/>
        <v>0</v>
      </c>
      <c r="R75" s="187"/>
      <c r="T75" s="102"/>
      <c r="U75" s="102"/>
      <c r="V75" s="102"/>
      <c r="W75" s="102"/>
    </row>
  </sheetData>
  <mergeCells count="20">
    <mergeCell ref="N10:P10"/>
    <mergeCell ref="Q10:S10"/>
    <mergeCell ref="T10:V10"/>
    <mergeCell ref="W10:Y10"/>
    <mergeCell ref="Z10:AA10"/>
    <mergeCell ref="R11:S11"/>
    <mergeCell ref="U15:V15"/>
    <mergeCell ref="F27:H27"/>
    <mergeCell ref="I27:J27"/>
    <mergeCell ref="K27:L27"/>
    <mergeCell ref="N27:O27"/>
    <mergeCell ref="Q27:R27"/>
    <mergeCell ref="U32:V32"/>
    <mergeCell ref="J1:L1"/>
    <mergeCell ref="N1:O1"/>
    <mergeCell ref="Q1:R1"/>
    <mergeCell ref="B10:D10"/>
    <mergeCell ref="E10:G10"/>
    <mergeCell ref="H10:J10"/>
    <mergeCell ref="K10:M10"/>
  </mergeCells>
  <dataValidations>
    <dataValidation type="custom" allowBlank="1" showDropDown="1" showInputMessage="1" showErrorMessage="1" prompt="Enter a valid date" sqref="Q1 Q27">
      <formula1>OR(NOT(ISERROR(DATEVALUE(Q1))), AND(ISNUMBER(Q1), LEFT(CELL("format", Q1))="D"))</formula1>
    </dataValidation>
    <dataValidation type="custom" allowBlank="1" showDropDown="1" showInputMessage="1" prompt="Enter a valid date" sqref="N1 N27">
      <formula1>OR(NOT(ISERROR(DATEVALUE(N1))), AND(ISNUMBER(N1), LEFT(CELL("format", N1))="D"))</formula1>
    </dataValidation>
    <dataValidation type="list" allowBlank="1" showErrorMessage="1" sqref="J1">
      <formula1>Credentials!$W$3:$W75</formula1>
    </dataValidation>
  </dataValidations>
  <printOptions horizontalCentered="1" verticalCentered="1"/>
  <pageMargins bottom="0.15748031496062992" footer="0.0" header="0.0" left="0.15748031496062992" right="0.15748031496062992" top="0.15748031496062992"/>
  <pageSetup paperSize="9" orientation="landscape"/>
  <rowBreaks count="3" manualBreakCount="3">
    <brk man="1"/>
    <brk id="26" man="1"/>
    <brk id="47" man="1"/>
  </rowBreaks>
  <colBreaks count="2" manualBreakCount="2">
    <brk man="1"/>
    <brk id="27"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12.38"/>
    <col customWidth="1" min="2" max="2" width="6.75"/>
    <col customWidth="1" min="3" max="3" width="14.38"/>
    <col customWidth="1" min="4" max="12" width="9.0"/>
    <col customWidth="1" min="13" max="13" width="12.38"/>
    <col customWidth="1" min="14" max="14" width="9.0"/>
    <col customWidth="1" min="15" max="15" width="11.75"/>
    <col customWidth="1" min="16" max="16" width="9.0"/>
    <col customWidth="1" min="17" max="17" width="10.5"/>
    <col customWidth="1" min="18" max="18" width="9.0"/>
  </cols>
  <sheetData>
    <row r="1" ht="21.75" customHeight="1">
      <c r="A1" s="307"/>
      <c r="B1" s="308"/>
      <c r="C1" s="309"/>
      <c r="D1" s="309"/>
      <c r="E1" s="309"/>
      <c r="F1" s="309"/>
      <c r="G1" s="309"/>
      <c r="H1" s="309"/>
      <c r="I1" s="310" t="s">
        <v>640</v>
      </c>
      <c r="J1" s="311" t="s">
        <v>70</v>
      </c>
      <c r="K1" s="259"/>
      <c r="L1" s="259"/>
      <c r="M1" s="309" t="s">
        <v>641</v>
      </c>
      <c r="N1" s="312">
        <v>46113.0</v>
      </c>
      <c r="O1" s="259"/>
      <c r="P1" s="313" t="s">
        <v>509</v>
      </c>
      <c r="Q1" s="312">
        <v>46142.0</v>
      </c>
      <c r="R1" s="259"/>
    </row>
    <row r="2" ht="18.0" customHeight="1">
      <c r="A2" s="314" t="s">
        <v>642</v>
      </c>
      <c r="B2" s="315"/>
      <c r="C2" s="316" t="s">
        <v>643</v>
      </c>
      <c r="D2" s="259"/>
      <c r="E2" s="315"/>
      <c r="F2" s="317" t="s">
        <v>644</v>
      </c>
      <c r="G2" s="318" t="str">
        <f>J1</f>
        <v>Talwandi Sabo</v>
      </c>
      <c r="H2" s="315"/>
      <c r="I2" s="317" t="s">
        <v>645</v>
      </c>
      <c r="J2" s="318" t="str">
        <f>"SVO OFFICE "&amp;J1</f>
        <v>SVO OFFICE Talwandi Sabo</v>
      </c>
      <c r="K2" s="259"/>
      <c r="L2" s="315"/>
      <c r="M2" s="317" t="s">
        <v>646</v>
      </c>
      <c r="N2" s="318" t="str">
        <f>TEXT((Q1),"MMMM")</f>
        <v>April</v>
      </c>
      <c r="O2" s="315"/>
      <c r="P2" s="317" t="s">
        <v>647</v>
      </c>
      <c r="Q2" s="318" t="str">
        <f>TEXT((Q1),"YYYY")</f>
        <v>2026</v>
      </c>
      <c r="R2" s="315"/>
    </row>
    <row r="3" ht="30.0" customHeight="1">
      <c r="A3" s="319" t="s">
        <v>648</v>
      </c>
      <c r="B3" s="320" t="s">
        <v>649</v>
      </c>
      <c r="C3" s="320" t="s">
        <v>650</v>
      </c>
      <c r="D3" s="320" t="s">
        <v>651</v>
      </c>
      <c r="E3" s="320" t="s">
        <v>652</v>
      </c>
      <c r="F3" s="320" t="s">
        <v>653</v>
      </c>
      <c r="G3" s="321" t="s">
        <v>654</v>
      </c>
      <c r="H3" s="125"/>
      <c r="I3" s="126"/>
      <c r="J3" s="320" t="s">
        <v>655</v>
      </c>
      <c r="K3" s="320" t="s">
        <v>656</v>
      </c>
      <c r="L3" s="320" t="s">
        <v>657</v>
      </c>
      <c r="M3" s="321" t="s">
        <v>658</v>
      </c>
      <c r="N3" s="126"/>
      <c r="O3" s="320" t="s">
        <v>659</v>
      </c>
      <c r="P3" s="321" t="s">
        <v>660</v>
      </c>
      <c r="Q3" s="125"/>
      <c r="R3" s="126"/>
    </row>
    <row r="4" ht="30.0" customHeight="1">
      <c r="A4" s="322"/>
      <c r="B4" s="322"/>
      <c r="C4" s="322"/>
      <c r="D4" s="322"/>
      <c r="E4" s="322"/>
      <c r="F4" s="322"/>
      <c r="G4" s="323" t="s">
        <v>661</v>
      </c>
      <c r="H4" s="323" t="s">
        <v>662</v>
      </c>
      <c r="I4" s="323" t="s">
        <v>566</v>
      </c>
      <c r="J4" s="322"/>
      <c r="K4" s="322"/>
      <c r="L4" s="322"/>
      <c r="M4" s="323" t="s">
        <v>663</v>
      </c>
      <c r="N4" s="323" t="s">
        <v>664</v>
      </c>
      <c r="O4" s="322"/>
      <c r="P4" s="323" t="s">
        <v>665</v>
      </c>
      <c r="Q4" s="323" t="s">
        <v>666</v>
      </c>
      <c r="R4" s="324" t="s">
        <v>566</v>
      </c>
    </row>
    <row r="5" ht="32.25" customHeight="1">
      <c r="A5" s="325" t="s">
        <v>667</v>
      </c>
      <c r="B5" s="326" t="s">
        <v>668</v>
      </c>
      <c r="C5" s="327" t="s">
        <v>669</v>
      </c>
      <c r="D5" s="328">
        <f>sumifs('Form responses'!ER2:ER86,'Form responses'!$C$2:$C86,"&lt;"&amp;$N$1,'Form responses'!$G$2:$G86,$J$1,'Form responses'!F2:F86,"&lt;&gt;"&amp;4)-(sumifs('Form responses'!BF2:BF86,'Form responses'!$C$2:$C86,"&lt;"&amp;$N$1,'Form responses'!$G$2:$G86,$J$1))</f>
        <v>25</v>
      </c>
      <c r="E5" s="328">
        <f>sumifs('Form responses'!ER$2:ER86,'Form responses'!$C$2:$C86,"&gt;="&amp;$N$1,'Form responses'!$C$2:$C86,"&lt;="&amp;$Q$1,'Form responses'!$G$2:$G86,$J$1,'Form responses'!F2:F86,"&lt;&gt;"&amp;4)</f>
        <v>360</v>
      </c>
      <c r="F5" s="328">
        <f t="shared" ref="F5:F11" si="1">SUM(D5:E5)</f>
        <v>385</v>
      </c>
      <c r="G5" s="328">
        <f>sumifs('Form responses'!BF$2:BF86,'Form responses'!$C$2:$C86,"&gt;="&amp;$N$1,'Form responses'!$C$2:$C86,"&lt;="&amp;$Q$1,'Form responses'!$G$2:$G86,$J$1)-H5</f>
        <v>291</v>
      </c>
      <c r="H5" s="328">
        <f>sumifs('Form responses'!BF$2:BF86,'Form responses'!$C$2:$C86,"&gt;="&amp;$N$1,'Form responses'!$C$2:$C86,"&lt;="&amp;$Q$1,'Form responses'!$G$2:$G86,$J$1,'Form responses'!$F$2:$F86,"=4")</f>
        <v>85</v>
      </c>
      <c r="I5" s="328">
        <f t="shared" ref="I5:I11" si="2">G5+H5</f>
        <v>376</v>
      </c>
      <c r="J5" s="328">
        <f t="shared" ref="J5:J11" si="3">D5+E5-I5</f>
        <v>9</v>
      </c>
      <c r="K5" s="328">
        <f>sumifs('Form responses'!BG$2:BG86,'Form responses'!$C$2:$C86,"&gt;="&amp;$N$1,'Form responses'!$C$2:$C86,"&lt;="&amp;$Q$1,'Form responses'!$G$2:$G86,$J$1)</f>
        <v>292</v>
      </c>
      <c r="L5" s="329">
        <f>sumifs('Form responses'!BG$2:BG86,'Form responses'!$C$2:$C86,"&gt;="&amp; EDATE($N$1,-3),'Form responses'!$C$2:$C86,"&lt;="&amp;EOMONTH(EDATE($Q$1, -3), 0),'Form responses'!$G$2:$G86,$J$1)</f>
        <v>0</v>
      </c>
      <c r="M5" s="328">
        <f>sumifs('Form responses'!CH$2:CH86,'Form responses'!$C$2:$C86,"&gt;="&amp;$N$1,'Form responses'!$C$2:$C86,"&lt;="&amp;$Q$1,'Form responses'!$G$2:$G86,$J$1)</f>
        <v>0</v>
      </c>
      <c r="N5" s="328">
        <f>sumifs('Form responses'!CI$2:CI86,'Form responses'!$C$2:$C86,"&gt;="&amp;$N$1,'Form responses'!$C$2:$C86,"&lt;="&amp;$Q$1,'Form responses'!$G$2:$G86,$J$1)</f>
        <v>0</v>
      </c>
      <c r="O5" s="329">
        <f>sumifs('Form responses'!CI$2:CI86,'Form responses'!$C$2:$C86,"&gt;="&amp; EDATE($N$1,-7),'Form responses'!$C$2:$C86,"&lt;="&amp;EOMONTH(EDATE($Q$1, -7), 0),'Form responses'!$G$2:$G86,$J$1)</f>
        <v>8</v>
      </c>
      <c r="P5" s="328">
        <f>sumifs('Form responses'!DL$2:DL86,'Form responses'!$C$2:$C86,"&gt;="&amp;$N$1,'Form responses'!$C$2:$C86,"&lt;="&amp;$Q$1,'Form responses'!$G$2:$G86,$J$1)</f>
        <v>6</v>
      </c>
      <c r="Q5" s="328">
        <f>sumifs('Form responses'!DM$2:DM86,'Form responses'!$C$2:$C86,"&gt;="&amp;$N$1,'Form responses'!$C$2:$C86,"&lt;="&amp;$Q$1,'Form responses'!$G$2:$G86,$J$1)</f>
        <v>2</v>
      </c>
      <c r="R5" s="330">
        <f t="shared" ref="R5:R8" si="4">P5+Q5</f>
        <v>8</v>
      </c>
    </row>
    <row r="6" ht="32.25" customHeight="1">
      <c r="A6" s="331"/>
      <c r="B6" s="331"/>
      <c r="C6" s="327" t="s">
        <v>670</v>
      </c>
      <c r="D6" s="328">
        <f>sumifs('Form responses'!ES2:ES86,'Form responses'!$C$2:$C86,"&lt;"&amp;$N$1,'Form responses'!$G$2:$G86,$J$1,'Form responses'!F2:F86,"&lt;&gt;"&amp;4)-(sumifs('Form responses'!BH2:BH86,'Form responses'!$C$2:$C86,"&lt;"&amp;$N$1,'Form responses'!$G$2:$G86,$J$1))</f>
        <v>30</v>
      </c>
      <c r="E6" s="328">
        <f>sumifs('Form responses'!ES$2:ES86,'Form responses'!$C$2:$C86,"&gt;="&amp;$N$1,'Form responses'!$C$2:$C86,"&lt;="&amp;$Q$1,'Form responses'!$G$2:$G86,$J$1,'Form responses'!F2:F86,"&lt;&gt;"&amp;4)</f>
        <v>0</v>
      </c>
      <c r="F6" s="328">
        <f t="shared" si="1"/>
        <v>30</v>
      </c>
      <c r="G6" s="328">
        <f>sumifs('Form responses'!BH$2:BH86,'Form responses'!$C$2:$C86,"&gt;="&amp;$N$1,'Form responses'!$C$2:$C86,"&lt;="&amp;$Q$1,'Form responses'!$G$2:$G86,$J$1)-H6</f>
        <v>30</v>
      </c>
      <c r="H6" s="328">
        <f>sumifs('Form responses'!BH$2:BH86,'Form responses'!$C$2:$C86,"&gt;="&amp;$N$1,'Form responses'!$C$2:$C86,"&lt;="&amp;$Q$1,'Form responses'!$G$2:$G86,$J$1,'Form responses'!$F$2:$F86,"=4")</f>
        <v>0</v>
      </c>
      <c r="I6" s="328">
        <f t="shared" si="2"/>
        <v>30</v>
      </c>
      <c r="J6" s="328">
        <f t="shared" si="3"/>
        <v>0</v>
      </c>
      <c r="K6" s="328">
        <f>sumifs('Form responses'!BI$2:BI86,'Form responses'!$C$2:$C86,"&gt;="&amp;$N$1,'Form responses'!$C$2:$C86,"&lt;="&amp;$Q$1,'Form responses'!$G$2:$G86,$J$1)</f>
        <v>20</v>
      </c>
      <c r="L6" s="329">
        <f>sumifs('Form responses'!BI$2:BI86,'Form responses'!$C$2:$C86,"&gt;="&amp;EDATE($N$1,-3),'Form responses'!$C$2:$C86,"&lt;="&amp;EOMONTH(EDATE($Q$1, -3), 0),'Form responses'!$G$2:$G86,$J$1)</f>
        <v>0</v>
      </c>
      <c r="M6" s="328">
        <f>sumifs('Form responses'!CJ$2:CJ86,'Form responses'!$C$2:$C86,"&gt;="&amp;$N$1,'Form responses'!$C$2:$C86,"&lt;="&amp;$Q$1,'Form responses'!$G$2:$G86,$J$1)</f>
        <v>0</v>
      </c>
      <c r="N6" s="328">
        <f>sumifs('Form responses'!CK$2:CK86,'Form responses'!$C$2:$C86,"&gt;="&amp;$N$1,'Form responses'!$C$2:$C86,"&lt;="&amp;$Q$1,'Form responses'!$G$2:$G86,$J$1)</f>
        <v>0</v>
      </c>
      <c r="O6" s="329">
        <f>sumifs('Form responses'!CK$2:CK86,'Form responses'!$C$2:$C86,"&gt;="&amp;EDATE($N$1,-7),'Form responses'!$C$2:$C86,"&lt;="&amp;EOMONTH(EDATE($Q$1, -7), 0),'Form responses'!$G$2:$G86,$J$1)</f>
        <v>2</v>
      </c>
      <c r="P6" s="328">
        <f>sumifs('Form responses'!DN$2:DN86,'Form responses'!$C$2:$C86,"&gt;="&amp;$N$1,'Form responses'!$C$2:$C86,"&lt;="&amp;$Q$1,'Form responses'!$G$2:$G86,$J$1)</f>
        <v>1</v>
      </c>
      <c r="Q6" s="328">
        <f>sumifs('Form responses'!DO$2:DO86,'Form responses'!$C$2:$C86,"&gt;="&amp;$N$1,'Form responses'!$C$2:$C86,"&lt;="&amp;$Q$1,'Form responses'!$G$2:$G86,$J$1)</f>
        <v>1</v>
      </c>
      <c r="R6" s="330">
        <f t="shared" si="4"/>
        <v>2</v>
      </c>
    </row>
    <row r="7" ht="32.25" customHeight="1">
      <c r="A7" s="331"/>
      <c r="B7" s="331"/>
      <c r="C7" s="327" t="s">
        <v>671</v>
      </c>
      <c r="D7" s="328">
        <f>sumifs('Form responses'!ET2:ET86,'Form responses'!$C$2:$C86,"&lt;"&amp;$N$1,'Form responses'!$G$2:$G86,$J$1,'Form responses'!F2:F86,"&lt;&gt;"&amp;4)-(sumifs('Form responses'!BJ2:BJ86,'Form responses'!$C$2:$C86,"&lt;"&amp;$N$1,'Form responses'!$G$2:$G86,$J$1))</f>
        <v>45</v>
      </c>
      <c r="E7" s="328">
        <f>sumifs('Form responses'!ET$2:ET86,'Form responses'!$C$2:$C86,"&gt;="&amp;$N$1,'Form responses'!$C$2:$C86,"&lt;="&amp;$Q$1,'Form responses'!$G$2:$G86,$J$1,'Form responses'!F2:F86,"&lt;&gt;"&amp;4)</f>
        <v>0</v>
      </c>
      <c r="F7" s="328">
        <f t="shared" si="1"/>
        <v>45</v>
      </c>
      <c r="G7" s="328">
        <f>sumifs('Form responses'!BJ$2:BJ86,'Form responses'!$C$2:$C86,"&gt;="&amp;$N$1,'Form responses'!$C$2:$C86,"&lt;="&amp;$Q$1,'Form responses'!$G$2:$G86,$J$1)-H7</f>
        <v>45</v>
      </c>
      <c r="H7" s="328">
        <f>sumifs('Form responses'!BJ$2:BJ86,'Form responses'!$C$2:$C86,"&gt;="&amp;$N$1,'Form responses'!$C$2:$C86,"&lt;="&amp;$Q$1,'Form responses'!$G$2:$G86,$J$1,'Form responses'!$F$2:$F86,"=4")</f>
        <v>0</v>
      </c>
      <c r="I7" s="328">
        <f t="shared" si="2"/>
        <v>45</v>
      </c>
      <c r="J7" s="328">
        <f t="shared" si="3"/>
        <v>0</v>
      </c>
      <c r="K7" s="328">
        <f>sumifs('Form responses'!BK$2:BK86,'Form responses'!$C$2:$C86,"&gt;="&amp;$N$1,'Form responses'!$C$2:$C86,"&lt;="&amp;$Q$1,'Form responses'!$G$2:$G86,$J$1)</f>
        <v>35</v>
      </c>
      <c r="L7" s="329">
        <f>sumifs('Form responses'!BK$2:BK86,'Form responses'!$C$2:$C86,"&gt;="&amp;EDATE($N$1,-3),'Form responses'!$C$2:$C86,"&lt;="&amp;EOMONTH(EDATE($Q$1, -3), 0),'Form responses'!$G$2:$G86,$J$1)</f>
        <v>14</v>
      </c>
      <c r="M7" s="328">
        <f>sumifs('Form responses'!CL$2:CL86,'Form responses'!$C$2:$C86,"&gt;="&amp;$N$1,'Form responses'!$C$2:$C86,"&lt;="&amp;$Q$1,'Form responses'!$G$2:$G86,$J$1)</f>
        <v>14</v>
      </c>
      <c r="N7" s="328">
        <f>sumifs('Form responses'!CM$2:CM86,'Form responses'!$C$2:$C86,"&gt;="&amp;$N$1,'Form responses'!$C$2:$C86,"&lt;="&amp;$Q$1,'Form responses'!$G$2:$G86,$J$1)</f>
        <v>7</v>
      </c>
      <c r="O7" s="329">
        <f>sumifs('Form responses'!CM$2:CM86,'Form responses'!$C$2:$C86,"&gt;="&amp;EDATE($N$1,-7),'Form responses'!$C$2:$C86,"&lt;="&amp;EOMONTH(EDATE($Q$1, -7), 0),'Form responses'!$G$2:$G86,$J$1)</f>
        <v>12</v>
      </c>
      <c r="P7" s="328">
        <f>sumifs('Form responses'!DP$2:DP86,'Form responses'!$C$2:$C86,"&gt;="&amp;$N$1,'Form responses'!$C$2:$C86,"&lt;="&amp;$Q$1,'Form responses'!$G$2:$G86,$J$1)</f>
        <v>3</v>
      </c>
      <c r="Q7" s="328">
        <f>sumifs('Form responses'!DQ$2:DQ86,'Form responses'!$C$2:$C86,"&gt;="&amp;$N$1,'Form responses'!$C$2:$C86,"&lt;="&amp;$Q$1,'Form responses'!$G$2:$G86,$J$1)</f>
        <v>2</v>
      </c>
      <c r="R7" s="330">
        <f t="shared" si="4"/>
        <v>5</v>
      </c>
    </row>
    <row r="8" ht="32.25" customHeight="1">
      <c r="A8" s="331"/>
      <c r="B8" s="331"/>
      <c r="C8" s="327" t="s">
        <v>672</v>
      </c>
      <c r="D8" s="328">
        <f>sumifs('Form responses'!EU2:EU86,'Form responses'!$C$2:$C86,"&lt;"&amp;$N$1,'Form responses'!$G$2:$G86,$J$1,'Form responses'!F2:F86,"&lt;&gt;"&amp;4)-(sumifs('Form responses'!BL2:BL86,'Form responses'!$C$2:$C86,"&lt;"&amp;$N$1,'Form responses'!$G$2:$G86,$J$1))</f>
        <v>0</v>
      </c>
      <c r="E8" s="328">
        <f>sumifs('Form responses'!EU$2:EU86,'Form responses'!$C$2:$C86,"&gt;="&amp;$N$1,'Form responses'!$C$2:$C86,"&lt;="&amp;$Q$1,'Form responses'!$G$2:$G86,$J$1,'Form responses'!F2:F86,"&lt;&gt;"&amp;4)</f>
        <v>195</v>
      </c>
      <c r="F8" s="328">
        <f t="shared" si="1"/>
        <v>195</v>
      </c>
      <c r="G8" s="328">
        <f>sumifs('Form responses'!BL$2:BL86,'Form responses'!$C$2:$C86,"&gt;="&amp;$N$1,'Form responses'!$C$2:$C86,"&lt;="&amp;$Q$1,'Form responses'!$G$2:$G86,$J$1)-H8</f>
        <v>170</v>
      </c>
      <c r="H8" s="328">
        <f>sumifs('Form responses'!BL$2:BL86,'Form responses'!$C$2:$C86,"&gt;="&amp;$N$1,'Form responses'!$C$2:$C86,"&lt;="&amp;$Q$1,'Form responses'!$G$2:$G86,$J$1,'Form responses'!$F$2:$F86,"=4")</f>
        <v>0</v>
      </c>
      <c r="I8" s="328">
        <f t="shared" si="2"/>
        <v>170</v>
      </c>
      <c r="J8" s="328">
        <f t="shared" si="3"/>
        <v>25</v>
      </c>
      <c r="K8" s="328">
        <f>sumifs('Form responses'!BM$2:BM86,'Form responses'!$C$2:$C86,"&gt;="&amp;$N$1,'Form responses'!$C$2:$C86,"&lt;="&amp;$Q$1,'Form responses'!$G$2:$G86,$J$1)</f>
        <v>130</v>
      </c>
      <c r="L8" s="329">
        <f>sumifs('Form responses'!BM$2:BM86,'Form responses'!$C$2:$C86,"&gt;="&amp;EDATE($N$1,-3),'Form responses'!$C$2:$C86,"&lt;="&amp;EOMONTH(EDATE($Q$1, -3), 0),'Form responses'!$G$2:$G86,$J$1)</f>
        <v>78</v>
      </c>
      <c r="M8" s="328">
        <f>sumifs('Form responses'!CN$2:CN86,'Form responses'!$C$2:$C86,"&gt;="&amp;$N$1,'Form responses'!$C$2:$C86,"&lt;="&amp;$Q$1,'Form responses'!$G$2:$G86,$J$1)</f>
        <v>76</v>
      </c>
      <c r="N8" s="328">
        <f>sumifs('Form responses'!CO$2:CO86,'Form responses'!$C$2:$C86,"&gt;="&amp;$N$1,'Form responses'!$C$2:$C86,"&lt;="&amp;$Q$1,'Form responses'!$G$2:$G86,$J$1)</f>
        <v>43</v>
      </c>
      <c r="O8" s="329">
        <f>sumifs('Form responses'!CO$2:CO86,'Form responses'!$C$2:$C86,"&gt;="&amp;EDATE($N$1,-7),'Form responses'!$C$2:$C86,"&lt;="&amp;EOMONTH(EDATE($Q$1, -7), 0),'Form responses'!$G$2:$G86,$J$1)</f>
        <v>64</v>
      </c>
      <c r="P8" s="328">
        <f>sumifs('Form responses'!DR$2:DR86,'Form responses'!$C$2:$C86,"&gt;="&amp;$N$1,'Form responses'!$C$2:$C86,"&lt;="&amp;$Q$1,'Form responses'!$G$2:$G86,$J$1)</f>
        <v>25</v>
      </c>
      <c r="Q8" s="328">
        <f>sumifs('Form responses'!DS$2:DS86,'Form responses'!$C$2:$C86,"&gt;="&amp;$N$1,'Form responses'!$C$2:$C86,"&lt;="&amp;$Q$1,'Form responses'!$G$2:$G86,$J$1)</f>
        <v>28</v>
      </c>
      <c r="R8" s="330">
        <f t="shared" si="4"/>
        <v>53</v>
      </c>
    </row>
    <row r="9" ht="32.25" customHeight="1">
      <c r="A9" s="331"/>
      <c r="B9" s="331"/>
      <c r="C9" s="327" t="s">
        <v>673</v>
      </c>
      <c r="D9" s="328"/>
      <c r="E9" s="328"/>
      <c r="F9" s="328">
        <f t="shared" si="1"/>
        <v>0</v>
      </c>
      <c r="G9" s="328"/>
      <c r="H9" s="328"/>
      <c r="I9" s="328">
        <f t="shared" si="2"/>
        <v>0</v>
      </c>
      <c r="J9" s="328">
        <f t="shared" si="3"/>
        <v>0</v>
      </c>
      <c r="K9" s="328"/>
      <c r="L9" s="328"/>
      <c r="M9" s="328"/>
      <c r="N9" s="328"/>
      <c r="O9" s="328"/>
      <c r="P9" s="328"/>
      <c r="Q9" s="328"/>
      <c r="R9" s="330"/>
    </row>
    <row r="10" ht="32.25" customHeight="1">
      <c r="A10" s="331"/>
      <c r="B10" s="331"/>
      <c r="C10" s="332"/>
      <c r="D10" s="328"/>
      <c r="E10" s="328"/>
      <c r="F10" s="328">
        <f t="shared" si="1"/>
        <v>0</v>
      </c>
      <c r="G10" s="328"/>
      <c r="H10" s="328"/>
      <c r="I10" s="328">
        <f t="shared" si="2"/>
        <v>0</v>
      </c>
      <c r="J10" s="328">
        <f t="shared" si="3"/>
        <v>0</v>
      </c>
      <c r="K10" s="328"/>
      <c r="L10" s="328"/>
      <c r="M10" s="328"/>
      <c r="N10" s="328"/>
      <c r="O10" s="328"/>
      <c r="P10" s="328"/>
      <c r="Q10" s="328"/>
      <c r="R10" s="330"/>
    </row>
    <row r="11" ht="32.25" customHeight="1">
      <c r="A11" s="331"/>
      <c r="B11" s="331"/>
      <c r="C11" s="333" t="s">
        <v>674</v>
      </c>
      <c r="D11" s="328">
        <f t="shared" ref="D11:E11" si="5">SUM(D5:D10)</f>
        <v>100</v>
      </c>
      <c r="E11" s="328">
        <f t="shared" si="5"/>
        <v>555</v>
      </c>
      <c r="F11" s="328">
        <f t="shared" si="1"/>
        <v>655</v>
      </c>
      <c r="G11" s="328">
        <f t="shared" ref="G11:H11" si="6">SUM(G5:G10)</f>
        <v>536</v>
      </c>
      <c r="H11" s="328">
        <f t="shared" si="6"/>
        <v>85</v>
      </c>
      <c r="I11" s="328">
        <f t="shared" si="2"/>
        <v>621</v>
      </c>
      <c r="J11" s="328">
        <f t="shared" si="3"/>
        <v>34</v>
      </c>
      <c r="K11" s="328">
        <f t="shared" ref="K11:Q11" si="7">SUM(K5:K10)</f>
        <v>477</v>
      </c>
      <c r="L11" s="328">
        <f t="shared" si="7"/>
        <v>92</v>
      </c>
      <c r="M11" s="328">
        <f t="shared" si="7"/>
        <v>90</v>
      </c>
      <c r="N11" s="328">
        <f t="shared" si="7"/>
        <v>50</v>
      </c>
      <c r="O11" s="328">
        <f t="shared" si="7"/>
        <v>86</v>
      </c>
      <c r="P11" s="328">
        <f t="shared" si="7"/>
        <v>35</v>
      </c>
      <c r="Q11" s="328">
        <f t="shared" si="7"/>
        <v>33</v>
      </c>
      <c r="R11" s="330">
        <f t="shared" ref="R11:R12" si="8">P11+Q11</f>
        <v>68</v>
      </c>
    </row>
    <row r="12" ht="32.25" customHeight="1">
      <c r="A12" s="331"/>
      <c r="B12" s="331"/>
      <c r="C12" s="334" t="s">
        <v>631</v>
      </c>
      <c r="D12" s="335" t="s">
        <v>675</v>
      </c>
      <c r="E12" s="335">
        <f>sumifs('Form responses'!ER$2:ER86,'Form responses'!$C$2:$C86,"&gt;="&amp;Date(YEAR(DATE(YEAR($Q$1),MONTH($Q$1)+(-3),1)),4,1),'Form responses'!$C$2:$C86,"&lt;="&amp;$Q$1,'Form responses'!$G$2:$G86,$J$1,'Form responses'!F2:F86,"&lt;&gt;"&amp;4)
+
sumifs('Form responses'!ES$2:ES86,'Form responses'!$C$2:$C86,"&gt;="&amp;Date(YEAR(DATE(YEAR($Q$1),MONTH($Q$1)+(-3),1)),4,1),'Form responses'!$C$2:$C86,"&lt;="&amp;$Q$1,'Form responses'!$G$2:$G86,$J$1,'Form responses'!F2:F86,"&lt;&gt;"&amp;4)
+
sumifs('Form responses'!ET$2:ET86,'Form responses'!$C$2:$C86,"&gt;="&amp;Date(YEAR(DATE(YEAR($Q$1),MONTH($Q$1)+(-3),1)),4,1),'Form responses'!$C$2:$C86,"&lt;="&amp;$Q$1,'Form responses'!$G$2:$G86,$J$1,'Form responses'!F2:F86,"&lt;&gt;"&amp;4)
+
sumifs('Form responses'!EU$2:EU86,'Form responses'!$C$2:$C86,"&gt;="&amp;Date(YEAR(DATE(YEAR($Q$1),MONTH($Q$1)+(-3),1)),4,1),'Form responses'!$C$2:$C86,"&lt;="&amp;$Q$1,'Form responses'!$G$2:$G86,$J$1,'Form responses'!F2:F86,"&lt;&gt;"&amp;4)</f>
        <v>555</v>
      </c>
      <c r="F12" s="335">
        <f>F11</f>
        <v>655</v>
      </c>
      <c r="G12" s="335">
        <f>I12-H12</f>
        <v>536</v>
      </c>
      <c r="H12" s="336">
        <f>sumifs('Form responses'!BF$2:BF86,'Form responses'!$C$2:$C86,"&gt;="&amp;Date(YEAR(DATE(YEAR($Q$1),MONTH($Q$1)+(-3),1)),4,1),'Form responses'!$C$2:$C86,"&lt;="&amp;$Q$1,'Form responses'!$G$2:$G86,$J$1,'Form responses'!$F$2:$F86,"=4")
+
sumifs('Form responses'!BH$2:BH86,'Form responses'!$C$2:$C86,"&gt;="&amp;Date(YEAR(DATE(YEAR($Q$1),MONTH($Q$1)+(-3),1)),4,1),'Form responses'!$C$2:$C86,"&lt;="&amp;$Q$1,'Form responses'!$G$2:$G86,$J$1,'Form responses'!$F$2:$F86,"=4")
+
sumifs('Form responses'!BJ$2:BJ86,'Form responses'!$C$2:$C86,"&gt;="&amp;Date(YEAR(DATE(YEAR($Q$1),MONTH($Q$1)+(-3),1)),4,1),'Form responses'!$C$2:$C86,"&lt;="&amp;$Q$1,'Form responses'!$G$2:$G86,$J$1,'Form responses'!$F$2:$F86,"=4")
+
sumifs('Form responses'!BL$2:BL86,'Form responses'!$C$2:$C86,"&gt;="&amp;Date(YEAR(DATE(YEAR($Q$1),MONTH($Q$1)+(-3),1)),4,1),'Form responses'!$C$2:$C86,"&lt;="&amp;$Q$1,'Form responses'!$G$2:$G86,$J$1,'Form responses'!$F$2:$F86,"=4")</f>
        <v>85</v>
      </c>
      <c r="I12" s="336">
        <f>sumifs('Form responses'!BF$2:BF86,'Form responses'!$C$2:$C86,"&gt;="&amp;Date(YEAR(DATE(YEAR($Q$1),MONTH($Q$1)+(-3),1)),4,1),'Form responses'!$C$2:$C86,"&lt;="&amp;$Q$1,'Form responses'!$G$2:$G86,$J$1)
+
sumifs('Form responses'!BH$2:BH86,'Form responses'!$C$2:$C86,"&gt;="&amp;Date(YEAR(DATE(YEAR($Q$1),MONTH($Q$1)+(-3),1)),4,1),'Form responses'!$C$2:$C86,"&lt;="&amp;$Q$1,'Form responses'!$G$2:$G86,$J$1)
+
sumifs('Form responses'!BJ$2:BJ86,'Form responses'!$C$2:$C86,"&gt;="&amp;Date(YEAR(DATE(YEAR($Q$1),MONTH($Q$1)+(-3),1)),4,1),'Form responses'!$C$2:$C86,"&lt;="&amp;$Q$1,'Form responses'!$G$2:$G86,$J$1)
+
sumifs('Form responses'!BL$2:BL86,'Form responses'!$C$2:$C86,"&gt;="&amp;Date(YEAR(DATE(YEAR($Q$1),MONTH($Q$1)+(-3),1)),4,1),'Form responses'!$C$2:$C86,"&lt;="&amp;$Q$1,'Form responses'!$G$2:$G86,$J$1)</f>
        <v>621</v>
      </c>
      <c r="J12" s="335">
        <f>J11</f>
        <v>34</v>
      </c>
      <c r="K12" s="336">
        <f>sumifs('Form responses'!BG$2:BG86,'Form responses'!$C$2:$C86,"&gt;="&amp;Date(YEAR(DATE(YEAR($Q$1),MONTH($Q$1)+(-3),1)),4,1),'Form responses'!$C$2:$C86,"&lt;="&amp;$Q$1,'Form responses'!$G$2:$G86,$J$1)
+
sumifs('Form responses'!BI$2:BI86,'Form responses'!$C$2:$C86,"&gt;="&amp;Date(YEAR(DATE(YEAR($Q$1),MONTH($Q$1)+(-3),1)),4,1),'Form responses'!$C$2:$C86,"&lt;="&amp;$Q$1,'Form responses'!$G$2:$G86,$J$1)
+
sumifs('Form responses'!BK$2:BK86,'Form responses'!$C$2:$C86,"&gt;="&amp;Date(YEAR(DATE(YEAR($Q$1),MONTH($Q$1)+(-3),1)),4,1),'Form responses'!$C$2:$C86,"&lt;="&amp;$Q$1,'Form responses'!$G$2:$G86,$J$1)
+
sumifs('Form responses'!BM$2:BM86,'Form responses'!$C$2:$C86,"&gt;="&amp;Date(YEAR(DATE(YEAR($Q$1),MONTH($Q$1)+(-3),1)),4,1),'Form responses'!$C$2:$C86,"&lt;="&amp;$Q$1,'Form responses'!$G$2:$G86,$J$1)</f>
        <v>477</v>
      </c>
      <c r="L12" s="335" t="s">
        <v>675</v>
      </c>
      <c r="M12" s="336">
        <f>sumifs('Form responses'!CH$2:CH86,'Form responses'!$C$2:$C86,"&gt;="&amp;Date(YEAR(DATE(YEAR($Q$1),MONTH($Q$1)+(-3),1)),4,1),'Form responses'!$C$2:$C86,"&lt;="&amp;$Q$1,'Form responses'!$G$2:$G86,$J$1)
+
sumifs('Form responses'!CJ$2:CJ86,'Form responses'!$C$2:$C86,"&gt;="&amp;Date(YEAR(DATE(YEAR($Q$1),MONTH($Q$1)+(-3),1)),4,1),'Form responses'!$C$2:$C86,"&lt;="&amp;$Q$1,'Form responses'!$G$2:$G86,$J$1)
+
sumifs('Form responses'!CL$2:CL86,'Form responses'!$C$2:$C86,"&gt;="&amp;Date(YEAR(DATE(YEAR($Q$1),MONTH($Q$1)+(-3),1)),4,1),'Form responses'!$C$2:$C86,"&lt;="&amp;$Q$1,'Form responses'!$G$2:$G86,$J$1)
+
sumifs('Form responses'!CN$2:CN86,'Form responses'!$C$2:$C86,"&gt;="&amp;Date(YEAR(DATE(YEAR($Q$1),MONTH($Q$1)+(-3),1)),4,1),'Form responses'!$C$2:$C86,"&lt;="&amp;$Q$1,'Form responses'!$G$2:$G86,$J$1)</f>
        <v>90</v>
      </c>
      <c r="N12" s="336">
        <f>sumifs('Form responses'!CI$2:CI86,'Form responses'!$C$2:$C86,"&gt;="&amp;Date(YEAR(DATE(YEAR($Q$1),MONTH($Q$1)+(-3),1)),4,1),'Form responses'!$C$2:$C86,"&lt;="&amp;$Q$1,'Form responses'!$G$2:$G86,$J$1)
+
sumifs('Form responses'!CK$2:CK86,'Form responses'!$C$2:$C86,"&gt;="&amp;Date(YEAR(DATE(YEAR($Q$1),MONTH($Q$1)+(-3),1)),4,1),'Form responses'!$C$2:$C86,"&lt;="&amp;$Q$1,'Form responses'!$G$2:$G86,$J$1)
+
sumifs('Form responses'!CM$2:CM86,'Form responses'!$C$2:$C86,"&gt;="&amp;Date(YEAR(DATE(YEAR($Q$1),MONTH($Q$1)+(-3),1)),4,1),'Form responses'!$C$2:$C86,"&lt;="&amp;$Q$1,'Form responses'!$G$2:$G86,$J$1)
+
sumifs('Form responses'!CO$2:CO86,'Form responses'!$C$2:$C86,"&gt;="&amp;Date(YEAR(DATE(YEAR($Q$1),MONTH($Q$1)+(-3),1)),4,1),'Form responses'!$C$2:$C86,"&lt;="&amp;$Q$1,'Form responses'!$G$2:$G86,$J$1)</f>
        <v>50</v>
      </c>
      <c r="O12" s="335" t="s">
        <v>675</v>
      </c>
      <c r="P12" s="336">
        <f>sumifs('Form responses'!DL$2:DL86,'Form responses'!$C$2:$C86,"&gt;="&amp;Date(YEAR(DATE(YEAR($Q$1),MONTH($Q$1)+(-3),1)),4,1),'Form responses'!$C$2:$C86,"&lt;="&amp;$Q$1,'Form responses'!$G$2:$G86,$J$1)
+
sumifs('Form responses'!DN$2:DN86,'Form responses'!$C$2:$C86,"&gt;="&amp;Date(YEAR(DATE(YEAR($Q$1),MONTH($Q$1)+(-3),1)),4,1),'Form responses'!$C$2:$C86,"&lt;="&amp;$Q$1,'Form responses'!$G$2:$G86,$J$1)
+
sumifs('Form responses'!DP$2:DP86,'Form responses'!$C$2:$C86,"&gt;="&amp;Date(YEAR(DATE(YEAR($Q$1),MONTH($Q$1)+(-3),1)),4,1),'Form responses'!$C$2:$C86,"&lt;="&amp;$Q$1,'Form responses'!$G$2:$G86,$J$1)
+
sumifs('Form responses'!DR$2:DR86,'Form responses'!$C$2:$C86,"&gt;="&amp;Date(YEAR(DATE(YEAR($Q$1),MONTH($Q$1)+(-3),1)),4,1),'Form responses'!$C$2:$C86,"&lt;="&amp;$Q$1,'Form responses'!$G$2:$G86,$J$1)</f>
        <v>35</v>
      </c>
      <c r="Q12" s="336">
        <f>sumifs('Form responses'!DM$2:DM86,'Form responses'!$C$2:$C86,"&gt;="&amp;Date(YEAR(DATE(YEAR($Q$1),MONTH($Q$1)+(-3),1)),4,1),'Form responses'!$C$2:$C86,"&lt;="&amp;$Q$1,'Form responses'!$G$2:$G86,$J$1)
+
sumifs('Form responses'!DO$2:DO86,'Form responses'!$C$2:$C86,"&gt;="&amp;Date(YEAR(DATE(YEAR($Q$1),MONTH($Q$1)+(-3),1)),4,1),'Form responses'!$C$2:$C86,"&lt;="&amp;$Q$1,'Form responses'!$G$2:$G86,$J$1)
+
sumifs('Form responses'!DQ$2:DQ86,'Form responses'!$C$2:$C86,"&gt;="&amp;Date(YEAR(DATE(YEAR($Q$1),MONTH($Q$1)+(-3),1)),4,1),'Form responses'!$C$2:$C86,"&lt;="&amp;$Q$1,'Form responses'!$G$2:$G86,$J$1)
+
sumifs('Form responses'!DS$2:DS86,'Form responses'!$C$2:$C86,"&gt;="&amp;Date(YEAR(DATE(YEAR($Q$1),MONTH($Q$1)+(-3),1)),4,1),'Form responses'!$C$2:$C86,"&lt;="&amp;$Q$1,'Form responses'!$G$2:$G86,$J$1)</f>
        <v>33</v>
      </c>
      <c r="R12" s="337">
        <f t="shared" si="8"/>
        <v>68</v>
      </c>
    </row>
    <row r="13" ht="32.25" customHeight="1">
      <c r="A13" s="331"/>
      <c r="B13" s="331"/>
      <c r="C13" s="327" t="s">
        <v>676</v>
      </c>
      <c r="D13" s="328"/>
      <c r="E13" s="328"/>
      <c r="F13" s="328">
        <f t="shared" ref="F13:F19" si="9">SUM(D13:E13)</f>
        <v>0</v>
      </c>
      <c r="G13" s="328"/>
      <c r="H13" s="328"/>
      <c r="I13" s="328">
        <f t="shared" ref="I13:I17" si="10">G13+H13</f>
        <v>0</v>
      </c>
      <c r="J13" s="328">
        <f t="shared" ref="J13:J19" si="11">D13+E13-I13</f>
        <v>0</v>
      </c>
      <c r="K13" s="328"/>
      <c r="L13" s="328"/>
      <c r="M13" s="328"/>
      <c r="N13" s="328"/>
      <c r="O13" s="328"/>
      <c r="P13" s="328"/>
      <c r="Q13" s="328"/>
      <c r="R13" s="330"/>
    </row>
    <row r="14" ht="32.25" customHeight="1">
      <c r="A14" s="331"/>
      <c r="B14" s="331"/>
      <c r="C14" s="327" t="s">
        <v>677</v>
      </c>
      <c r="D14" s="328">
        <f>sumifs('Form responses'!EV2:EV86,'Form responses'!$C$2:$C86,"&lt;"&amp;$N$1,'Form responses'!$G$2:$G86,$J$1,'Form responses'!F2:F86,"&lt;&gt;"&amp;4)-(sumifs('Form responses'!BN2:BN86,'Form responses'!$C$2:$C86,"&lt;"&amp;$N$1,'Form responses'!$G$2:$G86,$J$1))</f>
        <v>70</v>
      </c>
      <c r="E14" s="328">
        <f>sumifs('Form responses'!EV$2:EV86,'Form responses'!$C$2:$C86,"&gt;="&amp;$N$1,'Form responses'!$C$2:$C86,"&lt;="&amp;$Q$1,'Form responses'!$G$2:$G86,$J$1,'Form responses'!F2:F86,"&lt;&gt;"&amp;4)</f>
        <v>180</v>
      </c>
      <c r="F14" s="328">
        <f t="shared" si="9"/>
        <v>250</v>
      </c>
      <c r="G14" s="328">
        <f>sumifs('Form responses'!BN$2:BN86,'Form responses'!$C$2:$C86,"&gt;="&amp;$N$1,'Form responses'!$C$2:$C86,"&lt;="&amp;$Q$1,'Form responses'!$G$2:$G86,$J$1)-H14</f>
        <v>176</v>
      </c>
      <c r="H14" s="328">
        <f>sumifs('Form responses'!BN$2:BN86,'Form responses'!$C$2:$C86,"&gt;="&amp;$N$1,'Form responses'!$C$2:$C86,"&lt;="&amp;$Q$1,'Form responses'!$G$2:$G86,$J$1,'Form responses'!$F$2:$F86,"=4")</f>
        <v>0</v>
      </c>
      <c r="I14" s="328">
        <f t="shared" si="10"/>
        <v>176</v>
      </c>
      <c r="J14" s="328">
        <f t="shared" si="11"/>
        <v>74</v>
      </c>
      <c r="K14" s="328">
        <f>sumifs('Form responses'!BO$2:BO86,'Form responses'!$C$2:$C86,"&gt;="&amp;$N$1,'Form responses'!$C$2:$C86,"&lt;="&amp;$Q$1,'Form responses'!$G$2:$G86,$J$1)</f>
        <v>125</v>
      </c>
      <c r="L14" s="329">
        <f>sumifs('Form responses'!BO$2:BO86,'Form responses'!$C$2:$C86,"&gt;="&amp;EDATE($N$1,-3),'Form responses'!$C$2:$C86,"&lt;="&amp;EOMONTH(EDATE($Q$1, -3), 0),'Form responses'!$G$2:$G86,$J$1)</f>
        <v>623</v>
      </c>
      <c r="M14" s="328">
        <f>sumifs('Form responses'!CP$2:CP86,'Form responses'!$C$2:$C86,"&gt;="&amp;$N$1,'Form responses'!$C$2:$C86,"&lt;="&amp;$Q$1,'Form responses'!$G$2:$G86,$J$1)</f>
        <v>588</v>
      </c>
      <c r="N14" s="328">
        <f>sumifs('Form responses'!CQ$2:CQ86,'Form responses'!$C$2:$C86,"&gt;="&amp;$N$1,'Form responses'!$C$2:$C86,"&lt;="&amp;$Q$1,'Form responses'!$G$2:$G86,$J$1)</f>
        <v>312</v>
      </c>
      <c r="O14" s="329">
        <f>sumifs('Form responses'!CQ$2:CQ86,'Form responses'!$C$2:$C86,"&gt;="&amp;EDATE($N$1,-7),'Form responses'!$C$2:$C86,"&lt;="&amp;EOMONTH(EDATE($Q$1, -7), 0),'Form responses'!$G$2:$G86,$J$1)</f>
        <v>239</v>
      </c>
      <c r="P14" s="328">
        <f>sumifs('Form responses'!DT$2:DT86,'Form responses'!$C$2:$C86,"&gt;="&amp;$N$1,'Form responses'!$C$2:$C86,"&lt;="&amp;$Q$1,'Form responses'!$G$2:$G86,$J$1)</f>
        <v>111</v>
      </c>
      <c r="Q14" s="328">
        <f>sumifs('Form responses'!DU$2:DU86,'Form responses'!$C$2:$C86,"&gt;="&amp;$N$1,'Form responses'!$C$2:$C86,"&lt;="&amp;$Q$1,'Form responses'!$G$2:$G86,$J$1)</f>
        <v>103</v>
      </c>
      <c r="R14" s="330">
        <f t="shared" ref="R14:R15" si="12">P14+Q14</f>
        <v>214</v>
      </c>
    </row>
    <row r="15" ht="32.25" customHeight="1">
      <c r="A15" s="331"/>
      <c r="B15" s="331"/>
      <c r="C15" s="327" t="s">
        <v>678</v>
      </c>
      <c r="D15" s="328">
        <f>sumifs('Form responses'!EW2:EW86,'Form responses'!$C$2:$C86,"&lt;"&amp;$N$1,'Form responses'!$G$2:$G86,$J$1,'Form responses'!F2:F86,"&lt;&gt;"&amp;4)-(sumifs('Form responses'!BP2:BP86,'Form responses'!$C$2:$C86,"&lt;"&amp;$N$1,'Form responses'!$G$2:$G86,$J$1))</f>
        <v>0</v>
      </c>
      <c r="E15" s="328">
        <f>sumifs('Form responses'!EW$2:EW86,'Form responses'!$C$2:$C86,"&gt;="&amp;$N$1,'Form responses'!$C$2:$C86,"&lt;="&amp;$Q$1,'Form responses'!$G$2:$G86,$J$1,'Form responses'!F2:F86,"&lt;&gt;"&amp;4)</f>
        <v>0</v>
      </c>
      <c r="F15" s="328">
        <f t="shared" si="9"/>
        <v>0</v>
      </c>
      <c r="G15" s="328">
        <f>sumifs('Form responses'!BP$2:BP86,'Form responses'!$C$2:$C86,"&gt;="&amp;$N$1,'Form responses'!$C$2:$C86,"&lt;="&amp;$Q$1,'Form responses'!$G$2:$G86,$J$1)</f>
        <v>0</v>
      </c>
      <c r="H15" s="328">
        <f>sumifs('Form responses'!BP$2:BP86,'Form responses'!$C$2:$C86,"&gt;="&amp;$N$1,'Form responses'!$C$2:$C86,"&lt;="&amp;$Q$1,'Form responses'!$G$2:$G86,$J$1,'Form responses'!$F$2:$F86,"=4")</f>
        <v>0</v>
      </c>
      <c r="I15" s="328">
        <f t="shared" si="10"/>
        <v>0</v>
      </c>
      <c r="J15" s="328">
        <f t="shared" si="11"/>
        <v>0</v>
      </c>
      <c r="K15" s="328">
        <f>sumifs('Form responses'!BQ$2:BQ86,'Form responses'!$C$2:$C86,"&gt;="&amp;$N$1,'Form responses'!$C$2:$C86,"&lt;="&amp;$Q$1,'Form responses'!$G$2:$G86,$J$1)</f>
        <v>0</v>
      </c>
      <c r="L15" s="329">
        <f>sumifs('Form responses'!BQ$2:BQ86,'Form responses'!$C$2:$C86,"&gt;="&amp;EDATE($N$1,-3),'Form responses'!$C$2:$C86,"&lt;="&amp;EOMONTH(EDATE($Q$1, -3), 0),'Form responses'!$G$2:$G86,$J$1)</f>
        <v>0</v>
      </c>
      <c r="M15" s="328">
        <f>sumifs('Form responses'!CR$2:CR86,'Form responses'!$C$2:$C86,"&gt;="&amp;$N$1,'Form responses'!$C$2:$C86,"&lt;="&amp;$Q$1,'Form responses'!$G$2:$G86,$J$1)</f>
        <v>0</v>
      </c>
      <c r="N15" s="328">
        <f>sumifs('Form responses'!CS$2:CS86,'Form responses'!$C$2:$C86,"&gt;="&amp;$N$1,'Form responses'!$C$2:$C86,"&lt;="&amp;$Q$1,'Form responses'!$G$2:$G86,$J$1)</f>
        <v>0</v>
      </c>
      <c r="O15" s="329">
        <f>sumifs('Form responses'!CS$2:CS86,'Form responses'!$C$2:$C86,"&gt;="&amp;EDATE($N$1,-7),'Form responses'!$C$2:$C86,"&lt;="&amp;EOMONTH(EDATE($Q$1, -7), 0),'Form responses'!$G$2:$G86,$J$1)</f>
        <v>0</v>
      </c>
      <c r="P15" s="328">
        <f>sumifs('Form responses'!DV$2:DV86,'Form responses'!$C$2:$C86,"&gt;="&amp;$N$1,'Form responses'!$C$2:$C86,"&lt;="&amp;$Q$1,'Form responses'!$G$2:$G86,$J$1)</f>
        <v>0</v>
      </c>
      <c r="Q15" s="328">
        <f>sumifs('Form responses'!DW$2:DW86,'Form responses'!$C$2:$C86,"&gt;="&amp;$N$1,'Form responses'!$C$2:$C86,"&lt;="&amp;$Q$1,'Form responses'!$G$2:$G86,$J$1)</f>
        <v>0</v>
      </c>
      <c r="R15" s="330">
        <f t="shared" si="12"/>
        <v>0</v>
      </c>
    </row>
    <row r="16" ht="32.25" customHeight="1">
      <c r="A16" s="331"/>
      <c r="B16" s="331"/>
      <c r="C16" s="327" t="s">
        <v>679</v>
      </c>
      <c r="D16" s="328"/>
      <c r="E16" s="328"/>
      <c r="F16" s="328">
        <f t="shared" si="9"/>
        <v>0</v>
      </c>
      <c r="G16" s="328"/>
      <c r="H16" s="328"/>
      <c r="I16" s="328">
        <f t="shared" si="10"/>
        <v>0</v>
      </c>
      <c r="J16" s="328">
        <f t="shared" si="11"/>
        <v>0</v>
      </c>
      <c r="K16" s="328"/>
      <c r="L16" s="328"/>
      <c r="M16" s="328"/>
      <c r="N16" s="328"/>
      <c r="O16" s="328"/>
      <c r="P16" s="328"/>
      <c r="Q16" s="328"/>
      <c r="R16" s="330"/>
    </row>
    <row r="17" ht="32.25" customHeight="1">
      <c r="A17" s="331"/>
      <c r="B17" s="331"/>
      <c r="C17" s="327" t="s">
        <v>680</v>
      </c>
      <c r="D17" s="328"/>
      <c r="E17" s="328"/>
      <c r="F17" s="328">
        <f t="shared" si="9"/>
        <v>0</v>
      </c>
      <c r="G17" s="328"/>
      <c r="H17" s="328"/>
      <c r="I17" s="328">
        <f t="shared" si="10"/>
        <v>0</v>
      </c>
      <c r="J17" s="328">
        <f t="shared" si="11"/>
        <v>0</v>
      </c>
      <c r="K17" s="328"/>
      <c r="L17" s="328"/>
      <c r="M17" s="328"/>
      <c r="N17" s="328"/>
      <c r="O17" s="328"/>
      <c r="P17" s="328"/>
      <c r="Q17" s="328"/>
      <c r="R17" s="330"/>
    </row>
    <row r="18" ht="32.25" customHeight="1">
      <c r="A18" s="331"/>
      <c r="B18" s="331"/>
      <c r="C18" s="338" t="s">
        <v>681</v>
      </c>
      <c r="D18" s="328"/>
      <c r="E18" s="328"/>
      <c r="F18" s="328">
        <f t="shared" si="9"/>
        <v>0</v>
      </c>
      <c r="G18" s="328"/>
      <c r="H18" s="328"/>
      <c r="I18" s="328"/>
      <c r="J18" s="328">
        <f t="shared" si="11"/>
        <v>0</v>
      </c>
      <c r="K18" s="328"/>
      <c r="L18" s="328"/>
      <c r="M18" s="328"/>
      <c r="N18" s="328"/>
      <c r="O18" s="328"/>
      <c r="P18" s="328"/>
      <c r="Q18" s="328"/>
      <c r="R18" s="330"/>
    </row>
    <row r="19" ht="32.25" customHeight="1">
      <c r="A19" s="331"/>
      <c r="B19" s="331"/>
      <c r="C19" s="339" t="s">
        <v>674</v>
      </c>
      <c r="D19" s="328">
        <f t="shared" ref="D19:E19" si="13">SUM(D13:D18)</f>
        <v>70</v>
      </c>
      <c r="E19" s="328">
        <f t="shared" si="13"/>
        <v>180</v>
      </c>
      <c r="F19" s="328">
        <f t="shared" si="9"/>
        <v>250</v>
      </c>
      <c r="G19" s="328">
        <f t="shared" ref="G19:I19" si="14">SUM(G13:G18)</f>
        <v>176</v>
      </c>
      <c r="H19" s="328">
        <f t="shared" si="14"/>
        <v>0</v>
      </c>
      <c r="I19" s="328">
        <f t="shared" si="14"/>
        <v>176</v>
      </c>
      <c r="J19" s="328">
        <f t="shared" si="11"/>
        <v>74</v>
      </c>
      <c r="K19" s="328">
        <f t="shared" ref="K19:Q19" si="15">SUM(K13:K18)</f>
        <v>125</v>
      </c>
      <c r="L19" s="328">
        <f t="shared" si="15"/>
        <v>623</v>
      </c>
      <c r="M19" s="328">
        <f t="shared" si="15"/>
        <v>588</v>
      </c>
      <c r="N19" s="328">
        <f t="shared" si="15"/>
        <v>312</v>
      </c>
      <c r="O19" s="328">
        <f t="shared" si="15"/>
        <v>239</v>
      </c>
      <c r="P19" s="328">
        <f t="shared" si="15"/>
        <v>111</v>
      </c>
      <c r="Q19" s="328">
        <f t="shared" si="15"/>
        <v>103</v>
      </c>
      <c r="R19" s="330">
        <f t="shared" ref="R19:R24" si="16">P19+Q19</f>
        <v>214</v>
      </c>
    </row>
    <row r="20" ht="32.25" customHeight="1">
      <c r="A20" s="331"/>
      <c r="B20" s="322"/>
      <c r="C20" s="334" t="s">
        <v>631</v>
      </c>
      <c r="D20" s="335" t="s">
        <v>675</v>
      </c>
      <c r="E20" s="335">
        <f>sumifs('Form responses'!EV$2:EV86,'Form responses'!$C$2:$C86,"&gt;="&amp;Date(YEAR(DATE(YEAR($Q$1),MONTH($Q$1)+(-3),1)),4,1),'Form responses'!$C$2:$C86,"&lt;="&amp;$Q$1,'Form responses'!$G$2:$G86,$J$1,'Form responses'!F2:F86,"&lt;&gt;"&amp;4)
+
sumifs('Form responses'!EW$2:EW86,'Form responses'!$C$2:$C86,"&gt;="&amp;Date(YEAR(DATE(YEAR($Q$1),MONTH($Q$1)+(-3),1)),4,1),'Form responses'!$C$2:$C86,"&lt;="&amp;$Q$1,'Form responses'!$G$2:$G86,$J$1,'Form responses'!F2:F86,"&lt;&gt;"&amp;4)</f>
        <v>180</v>
      </c>
      <c r="F20" s="335">
        <f>F19</f>
        <v>250</v>
      </c>
      <c r="G20" s="335">
        <f>I20-H20</f>
        <v>176</v>
      </c>
      <c r="H20" s="336">
        <f>sumifs('Form responses'!BN$2:BN86,'Form responses'!$C$2:$C86,"&gt;="&amp;Date(YEAR(DATE(YEAR($Q$1),MONTH($Q$1)+(-3),1)),4,1),'Form responses'!$C$2:$C86,"&lt;="&amp;$Q$1,'Form responses'!$G$2:$G86,$J$1,'Form responses'!$F$2:$F86,"=4")
+
sumifs('Form responses'!BP$2:BP86,'Form responses'!$C$2:$C86,"&gt;="&amp;Date(YEAR(DATE(YEAR($Q$1),MONTH($Q$1)+(-3),1)),4,1),'Form responses'!$C$2:$C86,"&lt;="&amp;$Q$1,'Form responses'!$G$2:$G86,$J$1,'Form responses'!$F$2:$F86,"=4")</f>
        <v>0</v>
      </c>
      <c r="I20" s="336">
        <f>sumifs('Form responses'!BN$2:BN86,'Form responses'!$C$2:$C86,"&gt;="&amp;Date(YEAR(DATE(YEAR($Q$1),MONTH($Q$1)+(-3),1)),4,1),'Form responses'!$C$2:$C86,"&lt;="&amp;$Q$1,'Form responses'!$G$2:$G86,$J$1)
+
sumifs('Form responses'!BP$2:BP86,'Form responses'!$C$2:$C86,"&gt;="&amp;Date(YEAR(DATE(YEAR($Q$1),MONTH($Q$1)+(-3),1)),4,1),'Form responses'!$C$2:$C86,"&lt;="&amp;$Q$1,'Form responses'!$G$2:$G86,$J$1)</f>
        <v>176</v>
      </c>
      <c r="J20" s="335">
        <f>J19</f>
        <v>74</v>
      </c>
      <c r="K20" s="336">
        <f>sumifs('Form responses'!BO$2:BO86,'Form responses'!$C$2:$C86,"&gt;="&amp;Date(YEAR(DATE(YEAR($Q$1),MONTH($Q$1)+(-3),1)),4,1),'Form responses'!$C$2:$C86,"&lt;="&amp;$Q$1,'Form responses'!$G$2:$G86,$J$1)
+
sumifs('Form responses'!BQ$2:BQ86,'Form responses'!$C$2:$C86,"&gt;="&amp;Date(YEAR(DATE(YEAR($Q$1),MONTH($Q$1)+(-3),1)),4,1),'Form responses'!$C$2:$C86,"&lt;="&amp;$Q$1,'Form responses'!$G$2:$G86,$J$1)</f>
        <v>125</v>
      </c>
      <c r="L20" s="335" t="s">
        <v>675</v>
      </c>
      <c r="M20" s="336">
        <f>sumifs('Form responses'!CP$2:CP86,'Form responses'!$C$2:$C86,"&gt;="&amp;Date(YEAR(DATE(YEAR($Q$1),MONTH($Q$1)+(-3),1)),4,1),'Form responses'!$C$2:$C86,"&lt;="&amp;$Q$1,'Form responses'!$G$2:$G86,$J$1)
+
sumifs('Form responses'!CR$2:CR86,'Form responses'!$C$2:$C86,"&gt;="&amp;Date(YEAR(DATE(YEAR($Q$1),MONTH($Q$1)+(-3),1)),4,1),'Form responses'!$C$2:$C86,"&lt;="&amp;$Q$1,'Form responses'!$G$2:$G86,$J$1)</f>
        <v>588</v>
      </c>
      <c r="N20" s="336">
        <f>sumifs('Form responses'!CQ$2:CQ86,'Form responses'!$C$2:$C86,"&gt;="&amp;Date(YEAR(DATE(YEAR($Q$1),MONTH($Q$1)+(-3),1)),4,1),'Form responses'!$C$2:$C86,"&lt;="&amp;$Q$1,'Form responses'!$G$2:$G86,$J$1)
+
sumifs('Form responses'!CS$2:CS86,'Form responses'!$C$2:$C86,"&gt;="&amp;Date(YEAR(DATE(YEAR($Q$1),MONTH($Q$1)+(-3),1)),4,1),'Form responses'!$C$2:$C86,"&lt;="&amp;$Q$1,'Form responses'!$G$2:$G86,$J$1)</f>
        <v>312</v>
      </c>
      <c r="O20" s="335" t="s">
        <v>675</v>
      </c>
      <c r="P20" s="336">
        <f>sumifs('Form responses'!DT$2:DT86,'Form responses'!$C$2:$C86,"&gt;="&amp;Date(YEAR(DATE(YEAR($Q$1),MONTH($Q$1)+(-3),1)),4,1),'Form responses'!$C$2:$C86,"&lt;="&amp;$Q$1,'Form responses'!$G$2:$G86,$J$1)
+
sumifs('Form responses'!DV$2:DV86,'Form responses'!$C$2:$C86,"&gt;="&amp;Date(YEAR(DATE(YEAR($Q$1),MONTH($Q$1)+(-3),1)),4,1),'Form responses'!$C$2:$C86,"&lt;="&amp;$Q$1,'Form responses'!$G$2:$G86,$J$1)</f>
        <v>111</v>
      </c>
      <c r="Q20" s="336">
        <f>sumifs('Form responses'!DU$2:DU86,'Form responses'!$C$2:$C86,"&gt;="&amp;Date(YEAR(DATE(YEAR($Q$1),MONTH($Q$1)+(-3),1)),4,1),'Form responses'!$C$2:$C86,"&lt;="&amp;$Q$1,'Form responses'!$G$2:$G86,$J$1)
+
sumifs('Form responses'!DW$2:DW86,'Form responses'!$C$2:$C86,"&gt;="&amp;Date(YEAR(DATE(YEAR($Q$1),MONTH($Q$1)+(-3),1)),4,1),'Form responses'!$C$2:$C86,"&lt;="&amp;$Q$1,'Form responses'!$G$2:$G86,$J$1)</f>
        <v>103</v>
      </c>
      <c r="R20" s="337">
        <f t="shared" si="16"/>
        <v>214</v>
      </c>
    </row>
    <row r="21" ht="32.25" customHeight="1">
      <c r="A21" s="331"/>
      <c r="B21" s="326" t="s">
        <v>682</v>
      </c>
      <c r="C21" s="327" t="s">
        <v>683</v>
      </c>
      <c r="D21" s="328">
        <f>sumifs('Form responses'!EX2:EX86,'Form responses'!$C$2:$C86,"&lt;"&amp;$N$1,'Form responses'!$G$2:$G86,$J$1,'Form responses'!F2:F86,"&lt;&gt;"&amp;4)-(sumifs('Form responses'!BR2:BR86,'Form responses'!$C$2:$C86,"&lt;"&amp;$N$1,'Form responses'!$G$2:$G86,$J$1))</f>
        <v>0</v>
      </c>
      <c r="E21" s="328">
        <f>sumifs('Form responses'!EX$2:EX86,'Form responses'!$C$2:$C86,"&gt;="&amp;$N$1,'Form responses'!$C$2:$C86,"&lt;="&amp;$Q$1,'Form responses'!$G$2:$G86,$J$1,'Form responses'!F2:F86,"&lt;&gt;"&amp;4)</f>
        <v>0</v>
      </c>
      <c r="F21" s="328">
        <f t="shared" ref="F21:F27" si="17">SUM(D21:E21)</f>
        <v>0</v>
      </c>
      <c r="G21" s="328">
        <f>sumifs('Form responses'!BR$2:BR86,'Form responses'!$C$2:$C86,"&gt;="&amp;$N$1,'Form responses'!$C$2:$C86,"&lt;="&amp;$Q$1,'Form responses'!$G$2:$G86,$J$1)-H21</f>
        <v>0</v>
      </c>
      <c r="H21" s="328">
        <f>sumifs('Form responses'!BR$2:BR86,'Form responses'!$C$2:$C86,"&gt;="&amp;$N$1,'Form responses'!$C$2:$C86,"&lt;="&amp;$Q$1,'Form responses'!$G$2:$G86,$J$1,'Form responses'!$F$2:$F86,"=4")</f>
        <v>0</v>
      </c>
      <c r="I21" s="328">
        <f t="shared" ref="I21:I26" si="18">G21+H21</f>
        <v>0</v>
      </c>
      <c r="J21" s="328">
        <f t="shared" ref="J21:J27" si="19">D21+E21-I21</f>
        <v>0</v>
      </c>
      <c r="K21" s="328">
        <f>sumifs('Form responses'!BS$2:BS86,'Form responses'!$C$2:$C86,"&gt;="&amp;$N$1,'Form responses'!$C$2:$C86,"&lt;="&amp;$Q$1,'Form responses'!$G$2:$G86,$J$1)</f>
        <v>0</v>
      </c>
      <c r="L21" s="329">
        <f>sumifs('Form responses'!BS$2:BS86,'Form responses'!$C$2:$C86,"&gt;="&amp;EDATE($N$1,-3),'Form responses'!$C$2:$C86,"&lt;="&amp;EOMONTH(EDATE($Q$1, -3), 0),'Form responses'!$G$2:$G86,$J$1)</f>
        <v>149</v>
      </c>
      <c r="M21" s="328">
        <f>sumifs('Form responses'!CT$2:CT86,'Form responses'!$C$2:$C86,"&gt;="&amp;$N$1,'Form responses'!$C$2:$C86,"&lt;="&amp;$Q$1,'Form responses'!$G$2:$G86,$J$1)</f>
        <v>144</v>
      </c>
      <c r="N21" s="328">
        <f>sumifs('Form responses'!CU$2:CU86,'Form responses'!$C$2:$C86,"&gt;="&amp;$N$1,'Form responses'!$C$2:$C86,"&lt;="&amp;$Q$1,'Form responses'!$G$2:$G86,$J$1)</f>
        <v>56</v>
      </c>
      <c r="O21" s="329">
        <f>sumifs('Form responses'!CU$2:CU86,'Form responses'!$C$2:$C86,"&gt;="&amp;EDATE($N$1,-7),'Form responses'!$C$2:$C86,"&lt;="&amp;EOMONTH(EDATE($Q$1, -7), 0),'Form responses'!$G$2:$G86,$J$1)</f>
        <v>15</v>
      </c>
      <c r="P21" s="328">
        <f>sumifs('Form responses'!DX$2:DX86,'Form responses'!$C$2:$C86,"&gt;="&amp;$N$1,'Form responses'!$C$2:$C86,"&lt;="&amp;$Q$1,'Form responses'!$G$2:$G86,$J$1)</f>
        <v>0</v>
      </c>
      <c r="Q21" s="328">
        <f>sumifs('Form responses'!DY$2:DY86,'Form responses'!$C$2:$C86,"&gt;="&amp;$N$1,'Form responses'!$C$2:$C86,"&lt;="&amp;$Q$1,'Form responses'!$G$2:$G86,$J$1)</f>
        <v>15</v>
      </c>
      <c r="R21" s="330">
        <f t="shared" si="16"/>
        <v>15</v>
      </c>
    </row>
    <row r="22" ht="32.25" customHeight="1">
      <c r="A22" s="331"/>
      <c r="B22" s="331"/>
      <c r="C22" s="327" t="s">
        <v>684</v>
      </c>
      <c r="D22" s="328">
        <f>sumifs('Form responses'!EY2:EY86,'Form responses'!$C$2:$C86,"&lt;"&amp;$N$1,'Form responses'!$G$2:$G86,$J$1,'Form responses'!F2:F86,"&lt;&gt;"&amp;4)-(sumifs('Form responses'!BT2:BT86,'Form responses'!$C$2:$C86,"&lt;"&amp;$N$1,'Form responses'!$G$2:$G86,$J$1))</f>
        <v>0</v>
      </c>
      <c r="E22" s="328">
        <f>sumifs('Form responses'!EY$2:EY86,'Form responses'!$C$2:$C86,"&gt;="&amp;$N$1,'Form responses'!$C$2:$C86,"&lt;="&amp;$Q$1,'Form responses'!$G$2:$G86,$J$1,'Form responses'!F2:F86,"&lt;&gt;"&amp;4)</f>
        <v>0</v>
      </c>
      <c r="F22" s="328">
        <f t="shared" si="17"/>
        <v>0</v>
      </c>
      <c r="G22" s="328">
        <f>sumifs('Form responses'!BT$2:BT86,'Form responses'!$C$2:$C86,"&gt;="&amp;$N$1,'Form responses'!$C$2:$C86,"&lt;="&amp;$Q$1,'Form responses'!$G$2:$G86,$J$1)-H22</f>
        <v>0</v>
      </c>
      <c r="H22" s="328">
        <f>sumifs('Form responses'!BT$2:BT86,'Form responses'!$C$2:$C86,"&gt;="&amp;$N$1,'Form responses'!$C$2:$C86,"&lt;="&amp;$Q$1,'Form responses'!$G$2:$G86,$J$1,'Form responses'!$F$2:$F86,"=4")</f>
        <v>0</v>
      </c>
      <c r="I22" s="328">
        <f t="shared" si="18"/>
        <v>0</v>
      </c>
      <c r="J22" s="328">
        <f t="shared" si="19"/>
        <v>0</v>
      </c>
      <c r="K22" s="328">
        <f>sumifs('Form responses'!BU$2:BU86,'Form responses'!$C$2:$C86,"&gt;="&amp;$N$1,'Form responses'!$C$2:$C86,"&lt;="&amp;$Q$1,'Form responses'!$G$2:$G86,$J$1)</f>
        <v>0</v>
      </c>
      <c r="L22" s="328">
        <f>sumifs('Form responses'!BU$2:BU86,'Form responses'!$C$2:$C86,"&gt;="&amp;EDATE($N$1,-3),'Form responses'!$C$2:$C86,"&lt;\="&amp;EOMONTH(EDATE($Q$1, -3), 0),'Form responses'!$G$2:$G86,$J$1)</f>
        <v>0</v>
      </c>
      <c r="M22" s="328">
        <f>sumifs('Form responses'!CV$2:CV86,'Form responses'!$C$2:$C86,"&gt;="&amp;$N$1,'Form responses'!$C$2:$C86,"&lt;="&amp;$Q$1,'Form responses'!$G$2:$G86,$J$1)</f>
        <v>0</v>
      </c>
      <c r="N22" s="328">
        <f>sumifs('Form responses'!CW$2:CW86,'Form responses'!$C$2:$C86,"&gt;="&amp;$N$1,'Form responses'!$C$2:$C86,"&lt;="&amp;$Q$1,'Form responses'!$G$2:$G86,$J$1)</f>
        <v>0</v>
      </c>
      <c r="O22" s="328">
        <f>sumifs('Form responses'!CW$2:CW86,'Form responses'!$C$2:$C86,"&gt;="&amp;EDATE($N$1,-7),'Form responses'!$C$2:$C86,"&lt;\="&amp;EOMONTH(EDATE($Q$1, -7), 0),'Form responses'!$G$2:$G86,$J$1)</f>
        <v>0</v>
      </c>
      <c r="P22" s="328">
        <f>sumifs('Form responses'!DZ$2:DZ86,'Form responses'!$C$2:$C86,"&gt;="&amp;$N$1,'Form responses'!$C$2:$C86,"&lt;="&amp;$Q$1,'Form responses'!$G$2:$G86,$J$1)</f>
        <v>0</v>
      </c>
      <c r="Q22" s="328">
        <f>sumifs('Form responses'!EA$2:EA86,'Form responses'!$C$2:$C86,"&gt;="&amp;$N$1,'Form responses'!$C$2:$C86,"&lt;="&amp;$Q$1,'Form responses'!$G$2:$G86,$J$1)</f>
        <v>0</v>
      </c>
      <c r="R22" s="330">
        <f t="shared" si="16"/>
        <v>0</v>
      </c>
    </row>
    <row r="23" ht="32.25" customHeight="1">
      <c r="A23" s="331"/>
      <c r="B23" s="331"/>
      <c r="C23" s="327" t="s">
        <v>685</v>
      </c>
      <c r="D23" s="328">
        <f>sumifs('Form responses'!EZ2:EZ86,'Form responses'!$C$2:$C86,"&lt;"&amp;$N$1,'Form responses'!$G$2:$G86,$J$1,'Form responses'!F2:F86,"&lt;&gt;"&amp;4)-(sumifs('Form responses'!BV2:BV86,'Form responses'!$C$2:$C86,"&lt;"&amp;$N$1,'Form responses'!$G$2:$G86,$J$1))</f>
        <v>0</v>
      </c>
      <c r="E23" s="328">
        <f>sumifs('Form responses'!EZ$2:EZ86,'Form responses'!$C$2:$C86,"&gt;="&amp;$N$1,'Form responses'!$C$2:$C86,"&lt;="&amp;$Q$1,'Form responses'!$G$2:$G86,$J$1,'Form responses'!F2:F86,"&lt;&gt;"&amp;4)</f>
        <v>0</v>
      </c>
      <c r="F23" s="328">
        <f t="shared" si="17"/>
        <v>0</v>
      </c>
      <c r="G23" s="328">
        <f>sumifs('Form responses'!BV$2:BV86,'Form responses'!$C$2:$C86,"&gt;="&amp;$N$1,'Form responses'!$C$2:$C86,"&lt;="&amp;$Q$1,'Form responses'!$G$2:$G86,$J$1)-H23</f>
        <v>0</v>
      </c>
      <c r="H23" s="328">
        <f>sumifs('Form responses'!BV$2:BV86,'Form responses'!$C$2:$C86,"&gt;="&amp;$N$1,'Form responses'!$C$2:$C86,"&lt;="&amp;$Q$1,'Form responses'!$G$2:$G86,$J$1,'Form responses'!$F$2:$F86,"=4")</f>
        <v>0</v>
      </c>
      <c r="I23" s="328">
        <f t="shared" si="18"/>
        <v>0</v>
      </c>
      <c r="J23" s="328">
        <f t="shared" si="19"/>
        <v>0</v>
      </c>
      <c r="K23" s="328">
        <f>sumifs('Form responses'!BV$2:BV86,'Form responses'!$C$2:$C86,"&gt;="&amp;$N$1,'Form responses'!$C$2:$C86,"&lt;="&amp;$Q$1,'Form responses'!$G$2:$G86,$J$1)</f>
        <v>0</v>
      </c>
      <c r="L23" s="328">
        <f>sumifs('Form responses'!BV$2:BV86,'Form responses'!$C$2:$C86,"&gt;="&amp;EDATE($N$1,-3),'Form responses'!$C$2:$C86,"&lt;="&amp;EOMONTH(EDATE($Q$1, -3), 0),'Form responses'!$G$2:$G86,$J$1)</f>
        <v>0</v>
      </c>
      <c r="M23" s="328">
        <f>sumifs('Form responses'!CX$2:CX86,'Form responses'!$C$2:$C86,"&gt;="&amp;$N$1,'Form responses'!$C$2:$C86,"&lt;="&amp;$Q$1,'Form responses'!$G$2:$G86,$J$1)</f>
        <v>0</v>
      </c>
      <c r="N23" s="328">
        <f>sumifs('Form responses'!CY$2:CY86,'Form responses'!$C$2:$C86,"&gt;="&amp;$N$1,'Form responses'!$C$2:$C86,"&lt;="&amp;$Q$1,'Form responses'!$G$2:$G86,$J$1)</f>
        <v>0</v>
      </c>
      <c r="O23" s="328">
        <f>sumifs('Form responses'!CY$2:CY86,'Form responses'!$C$2:$C86,"&gt;="&amp;EDATE($N$1,-7),'Form responses'!$C$2:$C86,"&lt;="&amp;EOMONTH(EDATE($Q$1, -7), 0),'Form responses'!$G$2:$G86,$J$1)</f>
        <v>0</v>
      </c>
      <c r="P23" s="328">
        <f>sumifs('Form responses'!EB$2:EB86,'Form responses'!$C$2:$C86,"&gt;="&amp;$N$1,'Form responses'!$C$2:$C86,"&lt;="&amp;$Q$1,'Form responses'!$G$2:$G86,$J$1)</f>
        <v>0</v>
      </c>
      <c r="Q23" s="328">
        <f>sumifs('Form responses'!EC$2:EC86,'Form responses'!$C$2:$C86,"&gt;="&amp;$N$1,'Form responses'!$C$2:$C86,"&lt;="&amp;$Q$1,'Form responses'!$G$2:$G86,$J$1)</f>
        <v>0</v>
      </c>
      <c r="R23" s="330">
        <f t="shared" si="16"/>
        <v>0</v>
      </c>
    </row>
    <row r="24" ht="32.25" customHeight="1">
      <c r="A24" s="331"/>
      <c r="B24" s="331"/>
      <c r="C24" s="327" t="s">
        <v>686</v>
      </c>
      <c r="D24" s="328">
        <f>sumifs('Form responses'!FA2:FA86,'Form responses'!$C$2:$C86,"&lt;"&amp;$N$1,'Form responses'!$G$2:$G86,$J$1,'Form responses'!F2:F86,"&lt;&gt;"&amp;4)-(sumifs('Form responses'!BX2:BX86,'Form responses'!$C$2:$C86,"&lt;"&amp;$N$1,'Form responses'!$G$2:$G86,$J$1))</f>
        <v>0</v>
      </c>
      <c r="E24" s="328">
        <f>sumifs('Form responses'!FA$2:FA86,'Form responses'!$C$2:$C86,"&gt;="&amp;$N$1,'Form responses'!$C$2:$C86,"&lt;="&amp;$Q$1,'Form responses'!$G$2:$G86,$J$1,'Form responses'!F2:F86,"&lt;&gt;"&amp;4)</f>
        <v>0</v>
      </c>
      <c r="F24" s="328">
        <f t="shared" si="17"/>
        <v>0</v>
      </c>
      <c r="G24" s="328">
        <f>sumifs('Form responses'!BX$2:BX86,'Form responses'!$C$2:$C86,"&gt;="&amp;$N$1,'Form responses'!$C$2:$C86,"&lt;="&amp;$Q$1,'Form responses'!$G$2:$G86,$J$1)-H24</f>
        <v>0</v>
      </c>
      <c r="H24" s="328">
        <f>sumifs('Form responses'!BX$2:BX86,'Form responses'!$C$2:$C86,"&gt;="&amp;$N$1,'Form responses'!$C$2:$C86,"&lt;="&amp;$Q$1,'Form responses'!$G$2:$G86,$J$1,'Form responses'!$F$2:$F86,"=4")</f>
        <v>0</v>
      </c>
      <c r="I24" s="328">
        <f t="shared" si="18"/>
        <v>0</v>
      </c>
      <c r="J24" s="328">
        <f t="shared" si="19"/>
        <v>0</v>
      </c>
      <c r="K24" s="328">
        <f>sumifs('Form responses'!BY$2:BY86,'Form responses'!$C$2:$C86,"&gt;="&amp;$N$1,'Form responses'!$C$2:$C86,"&lt;="&amp;$Q$1,'Form responses'!$G$2:$G86,$J$1)</f>
        <v>0</v>
      </c>
      <c r="L24" s="329">
        <f>sumifs('Form responses'!BY$2:BY86,'Form responses'!$C$2:$C86,"&gt;="&amp;EDATE($N$1,-3),'Form responses'!$C$2:$C86,"&lt;="&amp;EOMONTH(EDATE($Q$1, -3), 0),'Form responses'!$G$2:$G86,$J$1)</f>
        <v>0</v>
      </c>
      <c r="M24" s="328">
        <f>sumifs('Form responses'!CZ$2:CZ86,'Form responses'!$C$2:$C86,"&gt;="&amp;$N$1,'Form responses'!$C$2:$C86,"&lt;="&amp;$Q$1,'Form responses'!$G$2:$G86,$J$1)</f>
        <v>0</v>
      </c>
      <c r="N24" s="328">
        <f>sumifs('Form responses'!DA$2:DA86,'Form responses'!$C$2:$C86,"&gt;="&amp;$N$1,'Form responses'!$C$2:$C86,"&lt;="&amp;$Q$1,'Form responses'!$G$2:$G86,$J$1)</f>
        <v>0</v>
      </c>
      <c r="O24" s="329">
        <f>sumifs('Form responses'!DA$2:DA86,'Form responses'!$C$2:$C86,"&gt;="&amp;EDATE($N$1,-7),'Form responses'!$C$2:$C86,"&lt;="&amp;EOMONTH(EDATE($Q$1, -7), 0),'Form responses'!$G$2:$G86,$J$1)</f>
        <v>0</v>
      </c>
      <c r="P24" s="328">
        <f>sumifs('Form responses'!ED$2:ED86,'Form responses'!$C$2:$C86,"&gt;="&amp;$N$1,'Form responses'!$C$2:$C86,"&lt;="&amp;$Q$1,'Form responses'!$G$2:$G86,$J$1)</f>
        <v>0</v>
      </c>
      <c r="Q24" s="328">
        <f>sumifs('Form responses'!EE$2:EE86,'Form responses'!$C$2:$C86,"&gt;="&amp;$N$1,'Form responses'!$C$2:$C86,"&lt;="&amp;$Q$1,'Form responses'!$G$2:$G86,$J$1)</f>
        <v>0</v>
      </c>
      <c r="R24" s="330">
        <f t="shared" si="16"/>
        <v>0</v>
      </c>
    </row>
    <row r="25" ht="32.25" customHeight="1">
      <c r="A25" s="331"/>
      <c r="B25" s="331"/>
      <c r="C25" s="332"/>
      <c r="D25" s="328"/>
      <c r="E25" s="328"/>
      <c r="F25" s="328">
        <f t="shared" si="17"/>
        <v>0</v>
      </c>
      <c r="G25" s="328"/>
      <c r="H25" s="328"/>
      <c r="I25" s="328">
        <f t="shared" si="18"/>
        <v>0</v>
      </c>
      <c r="J25" s="328">
        <f t="shared" si="19"/>
        <v>0</v>
      </c>
      <c r="K25" s="328"/>
      <c r="L25" s="328"/>
      <c r="M25" s="328"/>
      <c r="N25" s="328"/>
      <c r="O25" s="328"/>
      <c r="P25" s="328"/>
      <c r="Q25" s="328"/>
      <c r="R25" s="330"/>
    </row>
    <row r="26" ht="32.25" customHeight="1">
      <c r="A26" s="331"/>
      <c r="B26" s="331"/>
      <c r="C26" s="332"/>
      <c r="D26" s="328"/>
      <c r="E26" s="328"/>
      <c r="F26" s="328">
        <f t="shared" si="17"/>
        <v>0</v>
      </c>
      <c r="G26" s="328"/>
      <c r="H26" s="328"/>
      <c r="I26" s="328">
        <f t="shared" si="18"/>
        <v>0</v>
      </c>
      <c r="J26" s="328">
        <f t="shared" si="19"/>
        <v>0</v>
      </c>
      <c r="K26" s="328"/>
      <c r="L26" s="328"/>
      <c r="M26" s="328"/>
      <c r="N26" s="328"/>
      <c r="O26" s="328"/>
      <c r="P26" s="328"/>
      <c r="Q26" s="328"/>
      <c r="R26" s="330"/>
    </row>
    <row r="27" ht="32.25" customHeight="1">
      <c r="A27" s="331"/>
      <c r="B27" s="331"/>
      <c r="C27" s="339" t="s">
        <v>674</v>
      </c>
      <c r="D27" s="328">
        <f t="shared" ref="D27:E27" si="20">SUM(D21:D26)</f>
        <v>0</v>
      </c>
      <c r="E27" s="328">
        <f t="shared" si="20"/>
        <v>0</v>
      </c>
      <c r="F27" s="328">
        <f t="shared" si="17"/>
        <v>0</v>
      </c>
      <c r="G27" s="328">
        <f t="shared" ref="G27:I27" si="21">SUM(G21:G26)</f>
        <v>0</v>
      </c>
      <c r="H27" s="328">
        <f t="shared" si="21"/>
        <v>0</v>
      </c>
      <c r="I27" s="328">
        <f t="shared" si="21"/>
        <v>0</v>
      </c>
      <c r="J27" s="328">
        <f t="shared" si="19"/>
        <v>0</v>
      </c>
      <c r="K27" s="328">
        <f t="shared" ref="K27:Q27" si="22">SUM(K21:K26)</f>
        <v>0</v>
      </c>
      <c r="L27" s="328">
        <f t="shared" si="22"/>
        <v>149</v>
      </c>
      <c r="M27" s="328">
        <f t="shared" si="22"/>
        <v>144</v>
      </c>
      <c r="N27" s="328">
        <f t="shared" si="22"/>
        <v>56</v>
      </c>
      <c r="O27" s="328">
        <f t="shared" si="22"/>
        <v>15</v>
      </c>
      <c r="P27" s="328">
        <f t="shared" si="22"/>
        <v>0</v>
      </c>
      <c r="Q27" s="328">
        <f t="shared" si="22"/>
        <v>15</v>
      </c>
      <c r="R27" s="330">
        <f t="shared" ref="R27:R29" si="23">P27+Q27</f>
        <v>15</v>
      </c>
    </row>
    <row r="28" ht="32.25" customHeight="1">
      <c r="A28" s="331"/>
      <c r="B28" s="322"/>
      <c r="C28" s="334" t="s">
        <v>631</v>
      </c>
      <c r="D28" s="335" t="s">
        <v>675</v>
      </c>
      <c r="E28" s="335">
        <f>sumifs('Form responses'!EX$2:EX86,'Form responses'!$C$2:$C86,"&gt;="&amp;Date(YEAR(DATE(YEAR($Q$1),MONTH($Q$1)+(-3),1)),4,1),'Form responses'!$C$2:$C86,"&lt;="&amp;$Q$1,'Form responses'!$G$2:$G86,$J$1,'Form responses'!F2:F86,"&lt;&gt;"&amp;4)
+
sumifs('Form responses'!EY$2:EY86,'Form responses'!$C$2:$C86,"&gt;="&amp;Date(YEAR(DATE(YEAR($Q$1),MONTH($Q$1)+(-3),1)),4,1),'Form responses'!$C$2:$C86,"&lt;="&amp;$Q$1,'Form responses'!$G$2:$G86,$J$1,'Form responses'!F2:F86,"&lt;&gt;"&amp;4)
+
sumifs('Form responses'!EZ$2:EZ86,'Form responses'!$C$2:$C86,"&gt;="&amp;Date(YEAR(DATE(YEAR($Q$1),MONTH($Q$1)+(-3),1)),4,1),'Form responses'!$C$2:$C86,"&lt;="&amp;$Q$1,'Form responses'!$G$2:$G86,$J$1,'Form responses'!F2:F86,"&lt;&gt;"&amp;4)
+
sumifs('Form responses'!FA$2:FA86,'Form responses'!$C$2:$C86,"&gt;="&amp;Date(YEAR(DATE(YEAR($Q$1),MONTH($Q$1)+(-3),1)),4,1),'Form responses'!$C$2:$C86,"&lt;="&amp;$Q$1,'Form responses'!$G$2:$G86,$J$1,'Form responses'!F2:F86,"&lt;&gt;"&amp;4)</f>
        <v>0</v>
      </c>
      <c r="F28" s="335">
        <f>F27</f>
        <v>0</v>
      </c>
      <c r="G28" s="335">
        <f>I28-H28</f>
        <v>0</v>
      </c>
      <c r="H28" s="336">
        <f>sumifs('Form responses'!BR$2:BR86,'Form responses'!$C$2:$C86,"&gt;="&amp;Date(YEAR(DATE(YEAR($Q$1),MONTH($Q$1)+(-3),1)),4,1),'Form responses'!$C$2:$C86,"&lt;="&amp;$Q$1,'Form responses'!$G$2:$G86,$J$1,'Form responses'!$F$2:$F86,"=4")
+
sumifs('Form responses'!BT$2:BT86,'Form responses'!$C$2:$C86,"&gt;="&amp;Date(YEAR(DATE(YEAR($Q$1),MONTH($Q$1)+(-3),1)),4,1),'Form responses'!$C$2:$C86,"&lt;="&amp;$Q$1,'Form responses'!$G$2:$G86,$J$1,'Form responses'!$F$2:$F86,"=4")
+
sumifs('Form responses'!BV$2:BV86,'Form responses'!$C$2:$C86,"&gt;="&amp;Date(YEAR(DATE(YEAR($Q$1),MONTH($Q$1)+(-3),1)),4,1),'Form responses'!$C$2:$C86,"&lt;="&amp;$Q$1,'Form responses'!$G$2:$G86,$J$1,'Form responses'!$F$2:$F86,"=4")
+
sumifs('Form responses'!BX$2:BX86,'Form responses'!$C$2:$C86,"&gt;="&amp;Date(YEAR(DATE(YEAR($Q$1),MONTH($Q$1)+(-3),1)),4,1),'Form responses'!$C$2:$C86,"&lt;="&amp;$Q$1,'Form responses'!$G$2:$G86,$J$1,'Form responses'!$F$2:$F86,"=4")</f>
        <v>0</v>
      </c>
      <c r="I28" s="336">
        <f>sumifs('Form responses'!BR$2:BR86,'Form responses'!$C$2:$C86,"&gt;="&amp;Date(YEAR(DATE(YEAR($Q$1),MONTH($Q$1)+(-3),1)),4,1),'Form responses'!$C$2:$C86,"&lt;="&amp;$Q$1,'Form responses'!$G$2:$G86,$J$1)
+
sumifs('Form responses'!BT$2:BT86,'Form responses'!$C$2:$C86,"&gt;="&amp;Date(YEAR(DATE(YEAR($Q$1),MONTH($Q$1)+(-3),1)),4,1),'Form responses'!$C$2:$C86,"&lt;="&amp;$Q$1,'Form responses'!$G$2:$G86,$J$1)
+
sumifs('Form responses'!BV$2:BV86,'Form responses'!$C$2:$C86,"&gt;="&amp;Date(YEAR(DATE(YEAR($Q$1),MONTH($Q$1)+(-3),1)),4,1),'Form responses'!$C$2:$C86,"&lt;="&amp;$Q$1,'Form responses'!$G$2:$G86,$J$1)
+
sumifs('Form responses'!BX$2:BX86,'Form responses'!$C$2:$C86,"&gt;="&amp;Date(YEAR(DATE(YEAR($Q$1),MONTH($Q$1)+(-3),1)),4,1),'Form responses'!$C$2:$C86,"&lt;="&amp;$Q$1,'Form responses'!$G$2:$G86,$J$1)</f>
        <v>0</v>
      </c>
      <c r="J28" s="335">
        <f>J27</f>
        <v>0</v>
      </c>
      <c r="K28" s="336">
        <f>sumifs('Form responses'!BS$2:BS86,'Form responses'!$C$2:$C86,"&gt;="&amp;Date(YEAR(DATE(YEAR($Q$1),MONTH($Q$1)+(-3),1)),4,1),'Form responses'!$C$2:$C86,"&lt;="&amp;$Q$1,'Form responses'!$G$2:$G86,$J$1)
+
sumifs('Form responses'!BU$2:BU86,'Form responses'!$C$2:$C86,"&gt;="&amp;Date(YEAR(DATE(YEAR($Q$1),MONTH($Q$1)+(-3),1)),4,1),'Form responses'!$C$2:$C86,"&lt;="&amp;$Q$1,'Form responses'!$G$2:$G86,$J$1)
+
sumifs('Form responses'!BW$2:BW86,'Form responses'!$C$2:$C86,"&gt;="&amp;Date(YEAR(DATE(YEAR($Q$1),MONTH($Q$1)+(-3),1)),4,1),'Form responses'!$C$2:$C86,"&lt;="&amp;$Q$1,'Form responses'!$G$2:$G86,$J$1)
+
sumifs('Form responses'!BY$2:BY86,'Form responses'!$C$2:$C86,"&gt;="&amp;Date(YEAR(DATE(YEAR($Q$1),MONTH($Q$1)+(-3),1)),4,1),'Form responses'!$C$2:$C86,"&lt;="&amp;$Q$1,'Form responses'!$G$2:$G86,$J$1)</f>
        <v>0</v>
      </c>
      <c r="L28" s="335" t="s">
        <v>675</v>
      </c>
      <c r="M28" s="335">
        <f>sumifs('Form responses'!CT$2:CT86,'Form responses'!$C$2:$C86,"&gt;="&amp;Date(YEAR(DATE(YEAR($Q$1),MONTH($Q$1)+(-3),1)),4,1),'Form responses'!$C$2:$C86,"&lt;="&amp;$Q$1,'Form responses'!$G$2:$G86,$J$1)
+
sumifs('Form responses'!CV$2:CV86,'Form responses'!$C$2:$C86,"&gt;="&amp;Date(YEAR(DATE(YEAR($Q$1),MONTH($Q$1)+(-3),1)),4,1),'Form responses'!$C$2:$C86,"&lt;="&amp;$Q$1,'Form responses'!$G$2:$G86,$J$1)
+
sumifs('Form responses'!CX$2:CX86,'Form responses'!$C$2:$C86,"&gt;="&amp;Date(YEAR(DATE(YEAR($Q$1),MONTH($Q$1)+(-3),1)),4,1),'Form responses'!$C$2:$C86,"&lt;="&amp;$Q$1,'Form responses'!$G$2:$G86,$J$1)
+
sumifs('Form responses'!CZ$2:CZ86,'Form responses'!$C$2:$C86,"&gt;="&amp;Date(YEAR(DATE(YEAR($Q$1),MONTH($Q$1)+(-3),1)),4,1),'Form responses'!$C$2:$C86,"&lt;="&amp;$Q$1,'Form responses'!$G$2:$G86,$J$1)</f>
        <v>144</v>
      </c>
      <c r="N28" s="336">
        <f>sumifs('Form responses'!CU$2:CU86,'Form responses'!$C$2:$C86,"&gt;="&amp;Date(YEAR(DATE(YEAR($Q$1),MONTH($Q$1)+(-3),1)),4,1),'Form responses'!$C$2:$C86,"&lt;="&amp;$Q$1,'Form responses'!$G$2:$G86,$J$1)
+
sumifs('Form responses'!CW$2:CW86,'Form responses'!$C$2:$C86,"&gt;="&amp;Date(YEAR(DATE(YEAR($Q$1),MONTH($Q$1)+(-3),1)),4,1),'Form responses'!$C$2:$C86,"&lt;="&amp;$Q$1,'Form responses'!$G$2:$G86,$J$1)
+
sumifs('Form responses'!CY$2:CY86,'Form responses'!$C$2:$C86,"&gt;="&amp;Date(YEAR(DATE(YEAR($Q$1),MONTH($Q$1)+(-3),1)),4,1),'Form responses'!$C$2:$C86,"&lt;="&amp;$Q$1,'Form responses'!$G$2:$G86,$J$1)
+
sumifs('Form responses'!DA$2:DA86,'Form responses'!$C$2:$C86,"&gt;="&amp;Date(YEAR(DATE(YEAR($Q$1),MONTH($Q$1)+(-3),1)),4,1),'Form responses'!$C$2:$C86,"&lt;="&amp;$Q$1,'Form responses'!$G$2:$G86,$J$1)</f>
        <v>56</v>
      </c>
      <c r="O28" s="335" t="s">
        <v>675</v>
      </c>
      <c r="P28" s="336">
        <f>sumifs('Form responses'!DX$2:DX86,'Form responses'!$C$2:$C86,"&gt;="&amp;Date(YEAR(DATE(YEAR($Q$1),MONTH($Q$1)+(-3),1)),4,1),'Form responses'!$C$2:$C86,"&lt;="&amp;$Q$1,'Form responses'!$G$2:$G86,$J$1)
+
sumifs('Form responses'!DZ$2:DZ86,'Form responses'!$C$2:$C86,"&gt;="&amp;Date(YEAR(DATE(YEAR($Q$1),MONTH($Q$1)+(-3),1)),4,1),'Form responses'!$C$2:$C86,"&lt;="&amp;$Q$1,'Form responses'!$G$2:$G86,$J$1)
+
sumifs('Form responses'!EB$2:EB86,'Form responses'!$C$2:$C86,"&gt;="&amp;Date(YEAR(DATE(YEAR($Q$1),MONTH($Q$1)+(-3),1)),4,1),'Form responses'!$C$2:$C86,"&lt;="&amp;$Q$1,'Form responses'!$G$2:$G86,$J$1)
+
sumifs('Form responses'!ED$2:ED86,'Form responses'!$C$2:$C86,"&gt;="&amp;Date(YEAR(DATE(YEAR($Q$1),MONTH($Q$1)+(-3),1)),4,1),'Form responses'!$C$2:$C86,"&lt;="&amp;$Q$1,'Form responses'!$G$2:$G86,$J$1)</f>
        <v>0</v>
      </c>
      <c r="Q28" s="336">
        <f>sumifs('Form responses'!DY$2:DY86,'Form responses'!$C$2:$C86,"&gt;="&amp;Date(YEAR(DATE(YEAR($Q$1),MONTH($Q$1)+(-3),1)),4,1),'Form responses'!$C$2:$C86,"&lt;="&amp;$Q$1,'Form responses'!$G$2:$G86,$J$1)
+
sumifs('Form responses'!EA$2:EA86,'Form responses'!$C$2:$C86,"&gt;="&amp;Date(YEAR(DATE(YEAR($Q$1),MONTH($Q$1)+(-3),1)),4,1),'Form responses'!$C$2:$C86,"&lt;="&amp;$Q$1,'Form responses'!$G$2:$G86,$J$1)
+
sumifs('Form responses'!EC$2:EC86,'Form responses'!$C$2:$C86,"&gt;="&amp;Date(YEAR(DATE(YEAR($Q$1),MONTH($Q$1)+(-3),1)),4,1),'Form responses'!$C$2:$C86,"&lt;="&amp;$Q$1,'Form responses'!$G$2:$G86,$J$1)
+
sumifs('Form responses'!EE$2:EE86,'Form responses'!$C$2:$C86,"&gt;="&amp;Date(YEAR(DATE(YEAR($Q$1),MONTH($Q$1)+(-3),1)),4,1),'Form responses'!$C$2:$C86,"&lt;="&amp;$Q$1,'Form responses'!$G$2:$G86,$J$1)</f>
        <v>15</v>
      </c>
      <c r="R28" s="330">
        <f t="shared" si="23"/>
        <v>15</v>
      </c>
    </row>
    <row r="29" ht="32.25" customHeight="1">
      <c r="A29" s="331"/>
      <c r="B29" s="340" t="s">
        <v>687</v>
      </c>
      <c r="C29" s="126"/>
      <c r="D29" s="341">
        <f t="shared" ref="D29:E29" si="24">D11+D19+D27</f>
        <v>170</v>
      </c>
      <c r="E29" s="341">
        <f t="shared" si="24"/>
        <v>735</v>
      </c>
      <c r="F29" s="328">
        <f>SUM(D29:E29)</f>
        <v>905</v>
      </c>
      <c r="G29" s="341">
        <f t="shared" ref="G29:I29" si="25">G11+G19+G27</f>
        <v>712</v>
      </c>
      <c r="H29" s="341">
        <f t="shared" si="25"/>
        <v>85</v>
      </c>
      <c r="I29" s="341">
        <f t="shared" si="25"/>
        <v>797</v>
      </c>
      <c r="J29" s="328">
        <f>D29+E29-I29</f>
        <v>108</v>
      </c>
      <c r="K29" s="341">
        <f t="shared" ref="K29:Q29" si="26">K11+K19+K27</f>
        <v>602</v>
      </c>
      <c r="L29" s="341">
        <f t="shared" si="26"/>
        <v>864</v>
      </c>
      <c r="M29" s="341">
        <f t="shared" si="26"/>
        <v>822</v>
      </c>
      <c r="N29" s="341">
        <f t="shared" si="26"/>
        <v>418</v>
      </c>
      <c r="O29" s="341">
        <f t="shared" si="26"/>
        <v>340</v>
      </c>
      <c r="P29" s="341">
        <f t="shared" si="26"/>
        <v>146</v>
      </c>
      <c r="Q29" s="341">
        <f t="shared" si="26"/>
        <v>151</v>
      </c>
      <c r="R29" s="330">
        <f t="shared" si="23"/>
        <v>297</v>
      </c>
    </row>
    <row r="30" ht="32.25" customHeight="1">
      <c r="A30" s="322"/>
      <c r="B30" s="340" t="s">
        <v>688</v>
      </c>
      <c r="C30" s="126"/>
      <c r="D30" s="329" t="s">
        <v>675</v>
      </c>
      <c r="E30" s="328">
        <f>E28+E20+E12</f>
        <v>735</v>
      </c>
      <c r="F30" s="329">
        <f>F29</f>
        <v>905</v>
      </c>
      <c r="G30" s="328">
        <f t="shared" ref="G30:I30" si="27">G28+G20+G12</f>
        <v>712</v>
      </c>
      <c r="H30" s="328">
        <f t="shared" si="27"/>
        <v>85</v>
      </c>
      <c r="I30" s="328">
        <f t="shared" si="27"/>
        <v>797</v>
      </c>
      <c r="J30" s="329">
        <f>J29</f>
        <v>108</v>
      </c>
      <c r="K30" s="328">
        <f>K28+K20+K12</f>
        <v>602</v>
      </c>
      <c r="L30" s="329" t="s">
        <v>675</v>
      </c>
      <c r="M30" s="328">
        <f t="shared" ref="M30:N30" si="28">M28+M20+M12</f>
        <v>822</v>
      </c>
      <c r="N30" s="328">
        <f t="shared" si="28"/>
        <v>418</v>
      </c>
      <c r="O30" s="329" t="s">
        <v>675</v>
      </c>
      <c r="P30" s="328">
        <f t="shared" ref="P30:R30" si="29">P28+P20+P12</f>
        <v>146</v>
      </c>
      <c r="Q30" s="328">
        <f t="shared" si="29"/>
        <v>151</v>
      </c>
      <c r="R30" s="328">
        <f t="shared" si="29"/>
        <v>297</v>
      </c>
    </row>
    <row r="31" ht="32.25" customHeight="1">
      <c r="A31" s="325" t="s">
        <v>689</v>
      </c>
      <c r="B31" s="326" t="s">
        <v>668</v>
      </c>
      <c r="C31" s="327" t="s">
        <v>690</v>
      </c>
      <c r="D31" s="328">
        <f>sumifs('Form responses'!FB2:FB86,'Form responses'!$C$2:$C86,"&lt;"&amp;$N$1,'Form responses'!$G$2:$G86,$J$1,'Form responses'!F2:F86,"&lt;&gt;"&amp;4)-(sumifs('Form responses'!BZ2:BZ86,'Form responses'!$C$2:$C86,"&lt;"&amp;$N$1,'Form responses'!$G$2:$G86,$J$1))</f>
        <v>0</v>
      </c>
      <c r="E31" s="328">
        <f>sumifs('Form responses'!FB$2:FB86,'Form responses'!$C$2:$C86,"&gt;="&amp;$N$1,'Form responses'!$C$2:$C86,"&lt;="&amp;$Q$1,'Form responses'!$G$2:$G86,$J$1,'Form responses'!F2:F86,"&lt;&gt;"&amp;4)</f>
        <v>510</v>
      </c>
      <c r="F31" s="328">
        <f t="shared" ref="F31:F34" si="30">SUM(D31:E31)</f>
        <v>510</v>
      </c>
      <c r="G31" s="328">
        <f>sumifs('Form responses'!BZ$2:BZ86,'Form responses'!$C$2:$C86,"&gt;="&amp;$N$1,'Form responses'!$C$2:$C86,"&lt;="&amp;$Q$1,'Form responses'!$G$2:$G86,$J$1)-H31</f>
        <v>319</v>
      </c>
      <c r="H31" s="328">
        <f>sumifs('Form responses'!BZ$2:BZ86,'Form responses'!$C$2:$C86,"&gt;="&amp;$N$1,'Form responses'!$C$2:$C86,"&lt;="&amp;$Q$1,'Form responses'!$G$2:$G86,$J$1,'Form responses'!$F$2:$F86,"=4")</f>
        <v>45</v>
      </c>
      <c r="I31" s="328">
        <f t="shared" ref="I31:I34" si="31">G31+H31</f>
        <v>364</v>
      </c>
      <c r="J31" s="328">
        <f t="shared" ref="J31:J35" si="32">D31+E31-I31</f>
        <v>146</v>
      </c>
      <c r="K31" s="328">
        <f>sumifs('Form responses'!CA$2:CA86,'Form responses'!$C$2:$C86,"&gt;="&amp;$N$1,'Form responses'!$C$2:$C86,"&lt;="&amp;$Q$1,'Form responses'!$G$2:$G86,$J$1)</f>
        <v>270</v>
      </c>
      <c r="L31" s="329">
        <f>sumifs('Form responses'!CA$2:CA86,'Form responses'!$C$2:$C86,"&gt;="&amp;EDATE($N$1,-3),'Form responses'!$C$2:$C86,"&lt;="&amp;EOMONTH(EDATE($Q$1, -3), 0),'Form responses'!$G$2:$G86,$J$1)</f>
        <v>823</v>
      </c>
      <c r="M31" s="328">
        <f>sumifs('Form responses'!DB$2:DB86,'Form responses'!$C$2:$C86,"&gt;="&amp;$N$1,'Form responses'!$C$2:$C86,"&lt;="&amp;$Q$1,'Form responses'!$G$2:$G86,$J$1)</f>
        <v>776</v>
      </c>
      <c r="N31" s="328">
        <f>sumifs('Form responses'!DC$2:DC86,'Form responses'!$C$2:$C86,"&gt;="&amp;$N$1,'Form responses'!$C$2:$C86,"&lt;="&amp;$Q$1,'Form responses'!$G$2:$G86,$J$1)</f>
        <v>430</v>
      </c>
      <c r="O31" s="329">
        <f>sumifs('Form responses'!DC$2:DC86,'Form responses'!$C$2:$C86,"&gt;="&amp;EDATE($N$1,-8),'Form responses'!$C$2:$C86,"&lt;="&amp;EOMONTH(EDATE($Q$1, -8), 0),'Form responses'!$G$2:$G86,$J$1)</f>
        <v>140</v>
      </c>
      <c r="P31" s="328">
        <f>sumifs('Form responses'!EF$2:EF86,'Form responses'!$C$2:$C86,"&gt;="&amp;$N$1,'Form responses'!$C$2:$C86,"&lt;="&amp;$Q$1,'Form responses'!$G$2:$G86,$J$1)</f>
        <v>66</v>
      </c>
      <c r="Q31" s="328">
        <f>sumifs('Form responses'!EG$2:EG86,'Form responses'!$C$2:$C86,"&gt;="&amp;$N$1,'Form responses'!$C$2:$C86,"&lt;="&amp;$Q$1,'Form responses'!$G$2:$G86,$J$1)</f>
        <v>60</v>
      </c>
      <c r="R31" s="330">
        <f t="shared" ref="R31:R32" si="33">P31+Q31</f>
        <v>126</v>
      </c>
    </row>
    <row r="32" ht="32.25" customHeight="1">
      <c r="A32" s="331"/>
      <c r="B32" s="331"/>
      <c r="C32" s="327" t="s">
        <v>691</v>
      </c>
      <c r="D32" s="328">
        <f>sumifs('Form responses'!FC2:FC86,'Form responses'!$C$2:$C86,"&lt;"&amp;$N$1,'Form responses'!$G$2:$G86,$J$1,'Form responses'!F2:F86,"&lt;&gt;"&amp;4)-(sumifs('Form responses'!CB2:CB86,'Form responses'!$C$2:$C86,"&lt;"&amp;$N$1,'Form responses'!$G$2:$G86,$J$1))</f>
        <v>90</v>
      </c>
      <c r="E32" s="328">
        <f>sumifs('Form responses'!FC$2:FC86,'Form responses'!$C$2:$C86,"&gt;="&amp;$N$1,'Form responses'!$C$2:$C86,"&lt;="&amp;$Q$1,'Form responses'!$G$2:$G86,$J$1,'Form responses'!F2:F86,"&lt;&gt;"&amp;4)</f>
        <v>210</v>
      </c>
      <c r="F32" s="328">
        <f t="shared" si="30"/>
        <v>300</v>
      </c>
      <c r="G32" s="328">
        <f>sumifs('Form responses'!CB$2:CB86,'Form responses'!$C$2:$C86,"&gt;="&amp;$N$1,'Form responses'!$C$2:$C86,"&lt;="&amp;$Q$1,'Form responses'!$G$2:$G86,$J$1)-H32</f>
        <v>272</v>
      </c>
      <c r="H32" s="328">
        <f>sumifs('Form responses'!CB$2:CB86,'Form responses'!$C$2:$C86,"&gt;="&amp;$N$1,'Form responses'!$C$2:$C86,"&lt;="&amp;$Q$1,'Form responses'!$G$2:$G86,$J$1,'Form responses'!$F$2:$F86,"=4")</f>
        <v>0</v>
      </c>
      <c r="I32" s="328">
        <f t="shared" si="31"/>
        <v>272</v>
      </c>
      <c r="J32" s="328">
        <f t="shared" si="32"/>
        <v>28</v>
      </c>
      <c r="K32" s="328">
        <f>sumifs('Form responses'!CC$2:CC86,'Form responses'!$C$2:$C86,"&gt;="&amp;$N$1,'Form responses'!$C$2:$C86,"&lt;="&amp;$Q$1,'Form responses'!$G$2:$G86,$J$1)</f>
        <v>184</v>
      </c>
      <c r="L32" s="329">
        <f>sumifs('Form responses'!CC$2:CC86,'Form responses'!$C$2:$C86,"&gt;="&amp;EDATE($N$1,-3),'Form responses'!$C$2:$C86,"&lt;="&amp;EOMONTH(EDATE($Q$1, -3), 0),'Form responses'!$G$2:$G86,$J$1)</f>
        <v>16</v>
      </c>
      <c r="M32" s="328">
        <f>sumifs('Form responses'!DD$2:DD86,'Form responses'!$C$2:$C86,"&gt;="&amp;$N$1,'Form responses'!$C$2:$C86,"&lt;="&amp;$Q$1,'Form responses'!$G$2:$G86,$J$1)</f>
        <v>13</v>
      </c>
      <c r="N32" s="328">
        <f>sumifs('Form responses'!DE$2:DE86,'Form responses'!$C$2:$C86,"&gt;="&amp;$N$1,'Form responses'!$C$2:$C86,"&lt;="&amp;$Q$1,'Form responses'!$G$2:$G86,$J$1)</f>
        <v>8</v>
      </c>
      <c r="O32" s="329">
        <f>sumifs('Form responses'!DE$2:DE86,'Form responses'!$C$2:$C86,"&gt;="&amp;EDATE($N$1,-8),'Form responses'!$C$2:$C86,"&lt;="&amp;EOMONTH(EDATE($Q$1, -8), 0),'Form responses'!$G$2:$G86,$J$1)</f>
        <v>43</v>
      </c>
      <c r="P32" s="328">
        <f>sumifs('Form responses'!EH$2:EH86,'Form responses'!$C$2:$C86,"&gt;="&amp;$N$1,'Form responses'!$C$2:$C86,"&lt;="&amp;$Q$1,'Form responses'!$G$2:$G86,$J$1)</f>
        <v>21</v>
      </c>
      <c r="Q32" s="328">
        <f>sumifs('Form responses'!EI$2:EI86,'Form responses'!$C$2:$C86,"&gt;="&amp;$N$1,'Form responses'!$C$2:$C86,"&lt;="&amp;$Q$1,'Form responses'!$G$2:$G86,$J$1)</f>
        <v>20</v>
      </c>
      <c r="R32" s="330">
        <f t="shared" si="33"/>
        <v>41</v>
      </c>
    </row>
    <row r="33" ht="32.25" customHeight="1">
      <c r="A33" s="331"/>
      <c r="B33" s="331"/>
      <c r="C33" s="332"/>
      <c r="D33" s="328"/>
      <c r="E33" s="328"/>
      <c r="F33" s="328">
        <f t="shared" si="30"/>
        <v>0</v>
      </c>
      <c r="G33" s="328"/>
      <c r="H33" s="328"/>
      <c r="I33" s="328">
        <f t="shared" si="31"/>
        <v>0</v>
      </c>
      <c r="J33" s="328">
        <f t="shared" si="32"/>
        <v>0</v>
      </c>
      <c r="K33" s="328"/>
      <c r="L33" s="328"/>
      <c r="M33" s="328"/>
      <c r="N33" s="328"/>
      <c r="O33" s="328"/>
      <c r="P33" s="328"/>
      <c r="Q33" s="328"/>
      <c r="R33" s="330"/>
    </row>
    <row r="34" ht="32.25" customHeight="1">
      <c r="A34" s="331"/>
      <c r="B34" s="331"/>
      <c r="C34" s="332"/>
      <c r="D34" s="328"/>
      <c r="E34" s="328"/>
      <c r="F34" s="328">
        <f t="shared" si="30"/>
        <v>0</v>
      </c>
      <c r="G34" s="328"/>
      <c r="H34" s="328"/>
      <c r="I34" s="328">
        <f t="shared" si="31"/>
        <v>0</v>
      </c>
      <c r="J34" s="328">
        <f t="shared" si="32"/>
        <v>0</v>
      </c>
      <c r="K34" s="328"/>
      <c r="L34" s="328"/>
      <c r="M34" s="328"/>
      <c r="N34" s="328"/>
      <c r="O34" s="328"/>
      <c r="P34" s="328"/>
      <c r="Q34" s="328"/>
      <c r="R34" s="330"/>
    </row>
    <row r="35" ht="32.25" customHeight="1">
      <c r="A35" s="331"/>
      <c r="B35" s="331"/>
      <c r="C35" s="339" t="s">
        <v>674</v>
      </c>
      <c r="D35" s="328">
        <f t="shared" ref="D35:I35" si="34">sum(D31:D34)</f>
        <v>90</v>
      </c>
      <c r="E35" s="328">
        <f t="shared" si="34"/>
        <v>720</v>
      </c>
      <c r="F35" s="328">
        <f t="shared" si="34"/>
        <v>810</v>
      </c>
      <c r="G35" s="328">
        <f t="shared" si="34"/>
        <v>591</v>
      </c>
      <c r="H35" s="328">
        <f t="shared" si="34"/>
        <v>45</v>
      </c>
      <c r="I35" s="328">
        <f t="shared" si="34"/>
        <v>636</v>
      </c>
      <c r="J35" s="328">
        <f t="shared" si="32"/>
        <v>174</v>
      </c>
      <c r="K35" s="328">
        <f t="shared" ref="K35:R35" si="35">sum(K31:K34)</f>
        <v>454</v>
      </c>
      <c r="L35" s="328">
        <f t="shared" si="35"/>
        <v>839</v>
      </c>
      <c r="M35" s="328">
        <f t="shared" si="35"/>
        <v>789</v>
      </c>
      <c r="N35" s="328">
        <f t="shared" si="35"/>
        <v>438</v>
      </c>
      <c r="O35" s="328">
        <f t="shared" si="35"/>
        <v>183</v>
      </c>
      <c r="P35" s="328">
        <f t="shared" si="35"/>
        <v>87</v>
      </c>
      <c r="Q35" s="328">
        <f t="shared" si="35"/>
        <v>80</v>
      </c>
      <c r="R35" s="328">
        <f t="shared" si="35"/>
        <v>167</v>
      </c>
    </row>
    <row r="36" ht="32.25" customHeight="1">
      <c r="A36" s="331"/>
      <c r="B36" s="322"/>
      <c r="C36" s="334" t="s">
        <v>631</v>
      </c>
      <c r="D36" s="335" t="s">
        <v>675</v>
      </c>
      <c r="E36" s="335">
        <f>sumifs('Form responses'!FB$2:FB86,'Form responses'!$C$2:$C86,"&gt;="&amp;Date(YEAR(DATE(YEAR($Q$1),MONTH($Q$1)+(-3),1)),4,1),'Form responses'!$C$2:$C86,"&lt;="&amp;$Q$1,'Form responses'!$G$2:$G86,$J$1,'Form responses'!F2:F86,"&lt;&gt;"&amp;4)
+
sumifs('Form responses'!FC$2:FC86,'Form responses'!$C$2:$C86,"&gt;="&amp;Date(YEAR(DATE(YEAR($Q$1),MONTH($Q$1)+(-3),1)),4,1),'Form responses'!$C$2:$C86,"&lt;="&amp;$Q$1,'Form responses'!$G$2:$G86,$J$1,'Form responses'!F2:F86,"&lt;&gt;"&amp;4)</f>
        <v>720</v>
      </c>
      <c r="F36" s="335">
        <f>F35</f>
        <v>810</v>
      </c>
      <c r="G36" s="336">
        <f>I36-H36</f>
        <v>591</v>
      </c>
      <c r="H36" s="336">
        <f>sumifs('Form responses'!BZ$2:BZ86,'Form responses'!$C$2:$C86,"&gt;="&amp;Date(YEAR(DATE(YEAR($Q$1),MONTH($Q$1)+(-3),1)),4,1),'Form responses'!$C$2:$C86,"&lt;="&amp;$Q$1,'Form responses'!$G$2:$G86,$J$1,'Form responses'!$F$2:$F86,"=4")
+
sumifs('Form responses'!CB$2:CB86,'Form responses'!$C$2:$C86,"&gt;="&amp;Date(YEAR(DATE(YEAR($Q$1),MONTH($Q$1)+(-3),1)),4,1),'Form responses'!$C$2:$C86,"&lt;="&amp;$Q$1,'Form responses'!$G$2:$G86,$J$1,'Form responses'!$F$2:$F86,"=4")</f>
        <v>45</v>
      </c>
      <c r="I36" s="336">
        <f>sumifs('Form responses'!BZ$2:BZ86,'Form responses'!$C$2:$C86,"&gt;="&amp;Date(YEAR(DATE(YEAR($Q$1),MONTH($Q$1)+(-3),1)),4,1),'Form responses'!$C$2:$C86,"&lt;="&amp;$Q$1,'Form responses'!$G$2:$G86,$J$1)
+
sumifs('Form responses'!CB$2:CB86,'Form responses'!$C$2:$C86,"&gt;="&amp;Date(YEAR(DATE(YEAR($Q$1),MONTH($Q$1)+(-3),1)),4,1),'Form responses'!$C$2:$C86,"&lt;="&amp;$Q$1,'Form responses'!$G$2:$G86,$J$1)</f>
        <v>636</v>
      </c>
      <c r="J36" s="335">
        <f>J35</f>
        <v>174</v>
      </c>
      <c r="K36" s="336">
        <f>sumifs('Form responses'!CA$2:CA86,'Form responses'!$C$2:$C86,"&gt;="&amp;Date(YEAR(DATE(YEAR($Q$1),MONTH($Q$1)+(-3),1)),4,1),'Form responses'!$C$2:$C86,"&lt;="&amp;$Q$1,'Form responses'!$G$2:$G86,$J$1)
+
sumifs('Form responses'!CC$2:CC86,'Form responses'!$C$2:$C86,"&gt;="&amp;Date(YEAR(DATE(YEAR($Q$1),MONTH($Q$1)+(-3),1)),4,1),'Form responses'!$C$2:$C86,"&lt;="&amp;$Q$1,'Form responses'!$G$2:$G86,$J$1)</f>
        <v>454</v>
      </c>
      <c r="L36" s="335" t="s">
        <v>675</v>
      </c>
      <c r="M36" s="336">
        <f>sumifs('Form responses'!DB$2:DB86,'Form responses'!$C$2:$C86,"&gt;="&amp;Date(YEAR(DATE(YEAR($Q$1),MONTH($Q$1)+(-3),1)),4,1),'Form responses'!$C$2:$C86,"&lt;="&amp;$Q$1,'Form responses'!$G$2:$G86,$J$1)
+
sumifs('Form responses'!DD$2:DD86,'Form responses'!$C$2:$C86,"&gt;="&amp;Date(YEAR(DATE(YEAR($Q$1),MONTH($Q$1)+(-3),1)),4,1),'Form responses'!$C$2:$C86,"&lt;="&amp;$Q$1,'Form responses'!$G$2:$G86,$J$1)</f>
        <v>789</v>
      </c>
      <c r="N36" s="336">
        <f>sumifs('Form responses'!DC$2:DC86,'Form responses'!$C$2:$C86,"&gt;="&amp;Date(YEAR(DATE(YEAR($Q$1),MONTH($Q$1)+(-3),1)),4,1),'Form responses'!$C$2:$C86,"&lt;="&amp;$Q$1,'Form responses'!$G$2:$G86,$J$1)
+
sumifs('Form responses'!DE$2:DE86,'Form responses'!$C$2:$C86,"&gt;="&amp;Date(YEAR(DATE(YEAR($Q$1),MONTH($Q$1)+(-3),1)),4,1),'Form responses'!$C$2:$C86,"&lt;="&amp;$Q$1,'Form responses'!$G$2:$G86,$J$1)</f>
        <v>438</v>
      </c>
      <c r="O36" s="335" t="s">
        <v>675</v>
      </c>
      <c r="P36" s="335">
        <f>sumifs('Form responses'!EF$2:EF86,'Form responses'!$C$2:$C86,"&gt;="&amp;Date(YEAR(DATE(YEAR($Q$1),MONTH($Q$1)+(-3),1)),4,1),'Form responses'!$C$2:$C86,"&lt;="&amp;$Q$1,'Form responses'!$G$2:$G86,$J$1)
+
sumifs('Form responses'!EH$2:EH86,'Form responses'!$C$2:$C86,"&gt;="&amp;Date(YEAR(DATE(YEAR($Q$1),MONTH($Q$1)+(-3),1)),4,1),'Form responses'!$C$2:$C86,"&lt;="&amp;$Q$1,'Form responses'!$G$2:$G86,$J$1)</f>
        <v>87</v>
      </c>
      <c r="Q36" s="336">
        <f>sumifs('Form responses'!EG$2:EG86,'Form responses'!$C$2:$C86,"&gt;="&amp;Date(YEAR(DATE(YEAR($Q$1),MONTH($Q$1)+(-3),1)),4,1),'Form responses'!$C$2:$C86,"&lt;="&amp;$Q$1,'Form responses'!$G$2:$G86,$J$1)
+
sumifs('Form responses'!EI$2:EI86,'Form responses'!$C$2:$C86,"&gt;="&amp;Date(YEAR(DATE(YEAR($Q$1),MONTH($Q$1)+(-3),1)),4,1),'Form responses'!$C$2:$C86,"&lt;="&amp;$Q$1,'Form responses'!$G$2:$G86,$J$1)</f>
        <v>80</v>
      </c>
      <c r="R36" s="337">
        <f t="shared" ref="R36:R38" si="36">P36+Q36</f>
        <v>167</v>
      </c>
    </row>
    <row r="37" ht="32.25" customHeight="1">
      <c r="A37" s="331"/>
      <c r="B37" s="326" t="s">
        <v>682</v>
      </c>
      <c r="C37" s="327" t="s">
        <v>692</v>
      </c>
      <c r="D37" s="328">
        <f>sumifs('Form responses'!FD2:FD86,'Form responses'!$C$2:$C86,"&lt;"&amp;$N$1,'Form responses'!$G$2:$G86,$J$1)-(sumifs('Form responses'!CD2:CD86,'Form responses'!$C$2:$C86,"&lt;"&amp;$N$1,'Form responses'!$G$2:$G86,$J$1))</f>
        <v>0</v>
      </c>
      <c r="E37" s="328">
        <f>sumifs('Form responses'!FD$2:FD86,'Form responses'!$C$2:$C86,"&gt;="&amp;$N$1,'Form responses'!$C$2:$C86,"&lt;="&amp;$Q$1,'Form responses'!$G$2:$G86,$J$1,'Form responses'!F2:F86,"&lt;&gt;"&amp;4)</f>
        <v>0</v>
      </c>
      <c r="F37" s="328">
        <f t="shared" ref="F37:F40" si="37">SUM(D37:E37)</f>
        <v>0</v>
      </c>
      <c r="G37" s="328">
        <f>sumifs('Form responses'!CD$2:CD86,'Form responses'!$C$2:$C86,"&gt;="&amp;$N$1,'Form responses'!$C$2:$C86,"&lt;="&amp;$Q$1,'Form responses'!$G$2:$G86,$J$1)-H37</f>
        <v>0</v>
      </c>
      <c r="H37" s="328">
        <f>sumifs('Form responses'!CD$2:CD86,'Form responses'!$C$2:$C86,"&gt;="&amp;$N$1,'Form responses'!$C$2:$C86,"&lt;="&amp;$Q$1,'Form responses'!$G$2:$G86,$J$1,'Form responses'!$F$2:$F86,"=4")</f>
        <v>0</v>
      </c>
      <c r="I37" s="328">
        <f t="shared" ref="I37:I40" si="38">G37+H37</f>
        <v>0</v>
      </c>
      <c r="J37" s="328">
        <f t="shared" ref="J37:J40" si="39">D37+E37-I37</f>
        <v>0</v>
      </c>
      <c r="K37" s="328">
        <f>sumifs('Form responses'!CE$2:CE86,'Form responses'!$C$2:$C86,"&gt;="&amp;$N$1,'Form responses'!$C$2:$C86,"&lt;="&amp;$Q$1,'Form responses'!$G$2:$G86,$J$1)</f>
        <v>0</v>
      </c>
      <c r="L37" s="329">
        <f>sumifs('Form responses'!CE$2:CE86,'Form responses'!$C$2:$C86,"&gt;="&amp;EDATE($N$1,-3),'Form responses'!$C$2:$C86,"&lt;="&amp;EOMONTH(EDATE($Q$1, -3), 0),'Form responses'!$G$2:$G86,$J$1)</f>
        <v>0</v>
      </c>
      <c r="M37" s="328">
        <f>sumifs('Form responses'!DF$2:DF86,'Form responses'!$C$2:$C86,"&gt;="&amp;$N$1,'Form responses'!$C$2:$C86,"&lt;="&amp;$Q$1,'Form responses'!$G$2:$G86,$J$1)</f>
        <v>0</v>
      </c>
      <c r="N37" s="328">
        <f>sumifs('Form responses'!DG$2:DG86,'Form responses'!$C$2:$C86,"&gt;="&amp;$N$1,'Form responses'!$C$2:$C86,"&lt;="&amp;$Q$1,'Form responses'!$G$2:$G86,$J$1)</f>
        <v>0</v>
      </c>
      <c r="O37" s="329">
        <f>sumifs('Form responses'!DG$2:DG86,'Form responses'!$C$2:$C86,"&gt;="&amp;EDATE($N$1,-8),'Form responses'!$C$2:$C86,"&lt;="&amp;EOMONTH(EDATE($Q$1, -8), 0),'Form responses'!$G$2:$G86,$J$1)</f>
        <v>0</v>
      </c>
      <c r="P37" s="328">
        <f>sumifs('Form responses'!EJ$2:EJ86,'Form responses'!$C$2:$C86,"&gt;="&amp;$N$1,'Form responses'!$C$2:$C86,"&lt;="&amp;$Q$1,'Form responses'!$G$2:$G86,$J$1)</f>
        <v>0</v>
      </c>
      <c r="Q37" s="328">
        <f>sumifs('Form responses'!EK$2:EK86,'Form responses'!$C$2:$C86,"&gt;="&amp;$N$1,'Form responses'!$C$2:$C86,"&lt;="&amp;$Q$1,'Form responses'!$G$2:$G86,$J$1)</f>
        <v>0</v>
      </c>
      <c r="R37" s="330">
        <f t="shared" si="36"/>
        <v>0</v>
      </c>
    </row>
    <row r="38" ht="32.25" customHeight="1">
      <c r="A38" s="331"/>
      <c r="B38" s="331"/>
      <c r="C38" s="327" t="s">
        <v>693</v>
      </c>
      <c r="D38" s="328">
        <f>sumifs('Form responses'!FE2:FE86,'Form responses'!$C$2:$C86,"&lt;"&amp;$N$1,'Form responses'!$G$2:$G86,$J$1)-(sumifs('Form responses'!CF2:CF86,'Form responses'!$C$2:$C86,"&lt;"&amp;$N$1,'Form responses'!$G$2:$G86,$J$1))</f>
        <v>0</v>
      </c>
      <c r="E38" s="328">
        <f>sumifs('Form responses'!FE$2:FE86,'Form responses'!$C$2:$C86,"&gt;="&amp;$N$1,'Form responses'!$C$2:$C86,"&lt;="&amp;$Q$1,'Form responses'!$G$2:$G86,$J$1,'Form responses'!F2:F86,"&lt;&gt;"&amp;4)</f>
        <v>0</v>
      </c>
      <c r="F38" s="328">
        <f t="shared" si="37"/>
        <v>0</v>
      </c>
      <c r="G38" s="328">
        <f>sumifs('Form responses'!CF$2:CF86,'Form responses'!$C$2:$C86,"&gt;="&amp;$N$1,'Form responses'!$C$2:$C86,"&lt;="&amp;$Q$1,'Form responses'!$G$2:$G86,$J$1)-H38</f>
        <v>0</v>
      </c>
      <c r="H38" s="328">
        <f>sumifs('Form responses'!CF$2:CF86,'Form responses'!$C$2:$C86,"&gt;="&amp;$N$1,'Form responses'!$C$2:$C86,"&lt;="&amp;$Q$1,'Form responses'!$G$2:$G86,$J$1,'Form responses'!$F$2:$F86,"=4")</f>
        <v>0</v>
      </c>
      <c r="I38" s="328">
        <f t="shared" si="38"/>
        <v>0</v>
      </c>
      <c r="J38" s="328">
        <f t="shared" si="39"/>
        <v>0</v>
      </c>
      <c r="K38" s="328">
        <f>sumifs('Form responses'!CG$2:CG86,'Form responses'!$C$2:$C86,"&gt;="&amp;$N$1,'Form responses'!$C$2:$C86,"&lt;="&amp;$Q$1,'Form responses'!$G$2:$G86,$J$1)</f>
        <v>0</v>
      </c>
      <c r="L38" s="329">
        <f>sumifs('Form responses'!CG$2:CG86,'Form responses'!$C$2:$C86,"&gt;="&amp;EDATE($N$1,-3),'Form responses'!$C$2:$C86,"&lt;="&amp;EOMONTH(EDATE($Q$1, -3), 0),'Form responses'!$G$2:$G86,$J$1)</f>
        <v>0</v>
      </c>
      <c r="M38" s="328">
        <f>sumifs('Form responses'!DH$2:DH86,'Form responses'!$C$2:$C86,"&gt;="&amp;$N$1,'Form responses'!$C$2:$C86,"&lt;="&amp;$Q$1,'Form responses'!$G$2:$G86,$J$1)</f>
        <v>0</v>
      </c>
      <c r="N38" s="328">
        <f>sumifs('Form responses'!DI$2:DI86,'Form responses'!$C$2:$C86,"&gt;="&amp;$N$1,'Form responses'!$C$2:$C86,"&lt;="&amp;$Q$1,'Form responses'!$G$2:$G86,$J$1)</f>
        <v>0</v>
      </c>
      <c r="O38" s="329">
        <f>sumifs('Form responses'!DI$2:DI86,'Form responses'!$C$2:$C86,"&gt;="&amp;EDATE($N$1,-7),'Form responses'!$C$2:$C86,"&lt;="&amp;EOMONTH(EDATE($Q$1, -7), 0),'Form responses'!$G$2:$G86,$J$1)</f>
        <v>0</v>
      </c>
      <c r="P38" s="328">
        <f>sumifs('Form responses'!EL$2:EL86,'Form responses'!$C$2:$C86,"&gt;="&amp;$N$1,'Form responses'!$C$2:$C86,"&lt;="&amp;$Q$1,'Form responses'!$G$2:$G86,$J$1)</f>
        <v>0</v>
      </c>
      <c r="Q38" s="328">
        <f>sumifs('Form responses'!EM$2:EM86,'Form responses'!$C$2:$C86,"&gt;="&amp;$N$1,'Form responses'!$C$2:$C86,"&lt;="&amp;$Q$1,'Form responses'!$G$2:$G86,$J$1)</f>
        <v>0</v>
      </c>
      <c r="R38" s="330">
        <f t="shared" si="36"/>
        <v>0</v>
      </c>
    </row>
    <row r="39" ht="32.25" customHeight="1">
      <c r="A39" s="331"/>
      <c r="B39" s="331"/>
      <c r="C39" s="332"/>
      <c r="D39" s="328"/>
      <c r="E39" s="328"/>
      <c r="F39" s="328">
        <f t="shared" si="37"/>
        <v>0</v>
      </c>
      <c r="G39" s="328"/>
      <c r="H39" s="328"/>
      <c r="I39" s="328">
        <f t="shared" si="38"/>
        <v>0</v>
      </c>
      <c r="J39" s="328">
        <f t="shared" si="39"/>
        <v>0</v>
      </c>
      <c r="K39" s="328"/>
      <c r="L39" s="328"/>
      <c r="M39" s="328"/>
      <c r="N39" s="328"/>
      <c r="O39" s="328"/>
      <c r="P39" s="328"/>
      <c r="Q39" s="328"/>
      <c r="R39" s="330"/>
    </row>
    <row r="40" ht="32.25" customHeight="1">
      <c r="A40" s="331"/>
      <c r="B40" s="331"/>
      <c r="C40" s="332"/>
      <c r="D40" s="328"/>
      <c r="E40" s="328"/>
      <c r="F40" s="328">
        <f t="shared" si="37"/>
        <v>0</v>
      </c>
      <c r="G40" s="328"/>
      <c r="H40" s="328"/>
      <c r="I40" s="328">
        <f t="shared" si="38"/>
        <v>0</v>
      </c>
      <c r="J40" s="328">
        <f t="shared" si="39"/>
        <v>0</v>
      </c>
      <c r="K40" s="328"/>
      <c r="L40" s="328"/>
      <c r="M40" s="328"/>
      <c r="N40" s="328"/>
      <c r="O40" s="328"/>
      <c r="P40" s="328"/>
      <c r="Q40" s="328"/>
      <c r="R40" s="330"/>
    </row>
    <row r="41" ht="32.25" customHeight="1">
      <c r="A41" s="331"/>
      <c r="B41" s="331"/>
      <c r="C41" s="339" t="s">
        <v>674</v>
      </c>
      <c r="D41" s="328">
        <f t="shared" ref="D41:R41" si="40">sum(D37:D40)</f>
        <v>0</v>
      </c>
      <c r="E41" s="328">
        <f t="shared" si="40"/>
        <v>0</v>
      </c>
      <c r="F41" s="328">
        <f t="shared" si="40"/>
        <v>0</v>
      </c>
      <c r="G41" s="328">
        <f t="shared" si="40"/>
        <v>0</v>
      </c>
      <c r="H41" s="328">
        <f t="shared" si="40"/>
        <v>0</v>
      </c>
      <c r="I41" s="328">
        <f t="shared" si="40"/>
        <v>0</v>
      </c>
      <c r="J41" s="328">
        <f t="shared" si="40"/>
        <v>0</v>
      </c>
      <c r="K41" s="328">
        <f t="shared" si="40"/>
        <v>0</v>
      </c>
      <c r="L41" s="328">
        <f t="shared" si="40"/>
        <v>0</v>
      </c>
      <c r="M41" s="328">
        <f t="shared" si="40"/>
        <v>0</v>
      </c>
      <c r="N41" s="328">
        <f t="shared" si="40"/>
        <v>0</v>
      </c>
      <c r="O41" s="328">
        <f t="shared" si="40"/>
        <v>0</v>
      </c>
      <c r="P41" s="328">
        <f t="shared" si="40"/>
        <v>0</v>
      </c>
      <c r="Q41" s="328">
        <f t="shared" si="40"/>
        <v>0</v>
      </c>
      <c r="R41" s="328">
        <f t="shared" si="40"/>
        <v>0</v>
      </c>
    </row>
    <row r="42" ht="32.25" customHeight="1">
      <c r="A42" s="331"/>
      <c r="B42" s="322"/>
      <c r="C42" s="334" t="s">
        <v>631</v>
      </c>
      <c r="D42" s="336"/>
      <c r="E42" s="336">
        <f>sumifs('Form responses'!FD$2:FD86,'Form responses'!$C$2:$C86,"&gt;="&amp;Date(YEAR(DATE(YEAR($Q$1),MONTH($Q$1)+(-3),1)),4,1),'Form responses'!$C$2:$C86,"&lt;="&amp;$Q$1,'Form responses'!$G$2:$G86,$J$1,'Form responses'!F2:F86,"&lt;&gt;"&amp;4)
+
sumifs('Form responses'!FE$2:FE86,'Form responses'!$C$2:$C86,"&gt;="&amp;Date(YEAR(DATE(YEAR($Q$1),MONTH($Q$1)+(-3),1)),4,1),'Form responses'!$C$2:$C86,"&lt;="&amp;$Q$1,'Form responses'!$G$2:$G86,$J$1,'Form responses'!$F$2:$F86,"&lt;&gt;"&amp;4)</f>
        <v>0</v>
      </c>
      <c r="F42" s="335">
        <f>F41</f>
        <v>0</v>
      </c>
      <c r="G42" s="336">
        <f>I42-H42</f>
        <v>0</v>
      </c>
      <c r="H42" s="336">
        <f>sumifs('Form responses'!CD$2:CD86,'Form responses'!$C$2:$C86,"&gt;="&amp;Date(YEAR(DATE(YEAR($Q$1),MONTH($Q$1)+(-3),1)),4,1),'Form responses'!$C$2:$C86,"&lt;="&amp;$Q$1,'Form responses'!$G$2:$G86,$J$1,'Form responses'!$F$2:$F86,"=4")
+
sumifs('Form responses'!CF$2:CF86,'Form responses'!$C$2:$C86,"&gt;="&amp;Date(YEAR(DATE(YEAR($Q$1),MONTH($Q$1)+(-3),1)),4,1),'Form responses'!$C$2:$C86,"&lt;="&amp;$Q$1,'Form responses'!$G$2:$G86,$J$1,'Form responses'!$F$2:$F86,"=4")</f>
        <v>0</v>
      </c>
      <c r="I42" s="336">
        <f>sumifs('Form responses'!CD$2:CD86,'Form responses'!$C$2:$C86,"&gt;="&amp;Date(YEAR(DATE(YEAR($Q$1),MONTH($Q$1)+(-3),1)),4,1),'Form responses'!$C$2:$C86,"&lt;="&amp;$Q$1,'Form responses'!$G$2:$G86,$J$1)
+
sumifs('Form responses'!CF$2:CF86,'Form responses'!$C$2:$C86,"&gt;="&amp;Date(YEAR(DATE(YEAR($Q$1),MONTH($Q$1)+(-3),1)),4,1),'Form responses'!$C$2:$C86,"&lt;="&amp;$Q$1,'Form responses'!$G$2:$G86,$J$1)</f>
        <v>0</v>
      </c>
      <c r="J42" s="335">
        <f>J41</f>
        <v>0</v>
      </c>
      <c r="K42" s="336">
        <f>sumifs('Form responses'!CE$2:CE86,'Form responses'!$C$2:$C86,"&gt;="&amp;Date(YEAR(DATE(YEAR($Q$1),MONTH($Q$1)+(-3),1)),4,1),'Form responses'!$C$2:$C86,"&lt;="&amp;$Q$1,'Form responses'!$G$2:$G86,$J$1)
+
sumifs('Form responses'!CG$2:CG86,'Form responses'!$C$2:$C86,"&gt;="&amp;Date(YEAR(DATE(YEAR($Q$1),MONTH($Q$1)+(-3),1)),4,1),'Form responses'!$C$2:$C86,"&lt;="&amp;$Q$1,'Form responses'!$G$2:$G86,$J$1)</f>
        <v>0</v>
      </c>
      <c r="L42" s="335" t="s">
        <v>675</v>
      </c>
      <c r="M42" s="336">
        <f>sumifs('Form responses'!DF$2:DF86,'Form responses'!$C$2:$C86,"&gt;="&amp;Date(YEAR(DATE(YEAR($Q$1),MONTH($Q$1)+(-3),1)),4,1),'Form responses'!$C$2:$C86,"&lt;="&amp;$Q$1,'Form responses'!$G$2:$G86,$J$1)
+
sumifs('Form responses'!DH$2:DH86,'Form responses'!$C$2:$C86,"&gt;="&amp;Date(YEAR(DATE(YEAR($Q$1),MONTH($Q$1)+(-3),1)),4,1),'Form responses'!$C$2:$C86,"&lt;="&amp;$Q$1,'Form responses'!$G$2:$G86,$J$1)</f>
        <v>0</v>
      </c>
      <c r="N42" s="336">
        <f>sumifs('Form responses'!DG$2:DG86,'Form responses'!$C$2:$C86,"&gt;="&amp;Date(YEAR(DATE(YEAR($Q$1),MONTH($Q$1)+(-3),1)),4,1),'Form responses'!$C$2:$C86,"&lt;="&amp;$Q$1,'Form responses'!$G$2:$G86,$J$1)
+
sumifs('Form responses'!DI$2:DI86,'Form responses'!$C$2:$C86,"&gt;="&amp;Date(YEAR(DATE(YEAR($Q$1),MONTH($Q$1)+(-3),1)),4,1),'Form responses'!$C$2:$C86,"&lt;="&amp;$Q$1,'Form responses'!$G$2:$G86,$J$1)</f>
        <v>0</v>
      </c>
      <c r="O42" s="335" t="s">
        <v>675</v>
      </c>
      <c r="P42" s="336">
        <f>sumifs('Form responses'!EJ$2:EJ86,'Form responses'!$C$2:$C86,"&gt;="&amp;Date(YEAR(DATE(YEAR($Q$1),MONTH($Q$1)+(-3),1)),4,1),'Form responses'!$C$2:$C86,"&lt;="&amp;$Q$1,'Form responses'!$G$2:$G86,$J$1)
+
sumifs('Form responses'!EL$2:EL86,'Form responses'!$C$2:$C86,"&gt;="&amp;Date(YEAR(DATE(YEAR($Q$1),MONTH($Q$1)+(-3),1)),4,1),'Form responses'!$C$2:$C86,"&lt;="&amp;$Q$1,'Form responses'!$G$2:$G86,$J$1)</f>
        <v>0</v>
      </c>
      <c r="Q42" s="336">
        <f>sumifs('Form responses'!EK$2:EK86,'Form responses'!$C$2:$C86,"&gt;="&amp;Date(YEAR(DATE(YEAR($Q$1),MONTH($Q$1)+(-3),1)),4,1),'Form responses'!$C$2:$C86,"&lt;="&amp;$Q$1,'Form responses'!$G$2:$G86,$J$1)
+
sumifs('Form responses'!EM$2:EM86,'Form responses'!$C$2:$C86,"&gt;="&amp;Date(YEAR(DATE(YEAR($Q$1),MONTH($Q$1)+(-3),1)),4,1),'Form responses'!$C$2:$C86,"&lt;="&amp;$Q$1,'Form responses'!$G$2:$G86,$J$1)</f>
        <v>0</v>
      </c>
      <c r="R42" s="337">
        <f>P42+Q42</f>
        <v>0</v>
      </c>
    </row>
    <row r="43" ht="32.25" customHeight="1">
      <c r="A43" s="331"/>
      <c r="B43" s="342" t="s">
        <v>694</v>
      </c>
      <c r="C43" s="126"/>
      <c r="D43" s="328">
        <f t="shared" ref="D43:R43" si="41">D35+D41</f>
        <v>90</v>
      </c>
      <c r="E43" s="328">
        <f t="shared" si="41"/>
        <v>720</v>
      </c>
      <c r="F43" s="328">
        <f t="shared" si="41"/>
        <v>810</v>
      </c>
      <c r="G43" s="328">
        <f t="shared" si="41"/>
        <v>591</v>
      </c>
      <c r="H43" s="328">
        <f t="shared" si="41"/>
        <v>45</v>
      </c>
      <c r="I43" s="328">
        <f t="shared" si="41"/>
        <v>636</v>
      </c>
      <c r="J43" s="328">
        <f t="shared" si="41"/>
        <v>174</v>
      </c>
      <c r="K43" s="328">
        <f t="shared" si="41"/>
        <v>454</v>
      </c>
      <c r="L43" s="328">
        <f t="shared" si="41"/>
        <v>839</v>
      </c>
      <c r="M43" s="328">
        <f t="shared" si="41"/>
        <v>789</v>
      </c>
      <c r="N43" s="328">
        <f t="shared" si="41"/>
        <v>438</v>
      </c>
      <c r="O43" s="328">
        <f t="shared" si="41"/>
        <v>183</v>
      </c>
      <c r="P43" s="328">
        <f t="shared" si="41"/>
        <v>87</v>
      </c>
      <c r="Q43" s="328">
        <f t="shared" si="41"/>
        <v>80</v>
      </c>
      <c r="R43" s="328">
        <f t="shared" si="41"/>
        <v>167</v>
      </c>
    </row>
    <row r="44" ht="32.25" customHeight="1">
      <c r="A44" s="322"/>
      <c r="B44" s="342" t="s">
        <v>695</v>
      </c>
      <c r="C44" s="126"/>
      <c r="D44" s="329" t="s">
        <v>675</v>
      </c>
      <c r="E44" s="328">
        <f>E36+E42</f>
        <v>720</v>
      </c>
      <c r="F44" s="329">
        <f>F43</f>
        <v>810</v>
      </c>
      <c r="G44" s="328">
        <f t="shared" ref="G44:I44" si="42">G36+G42</f>
        <v>591</v>
      </c>
      <c r="H44" s="328">
        <f t="shared" si="42"/>
        <v>45</v>
      </c>
      <c r="I44" s="328">
        <f t="shared" si="42"/>
        <v>636</v>
      </c>
      <c r="J44" s="329">
        <f>J43</f>
        <v>174</v>
      </c>
      <c r="K44" s="328">
        <f>K36+K42</f>
        <v>454</v>
      </c>
      <c r="L44" s="329" t="s">
        <v>675</v>
      </c>
      <c r="M44" s="328">
        <f t="shared" ref="M44:N44" si="43">M36+M42</f>
        <v>789</v>
      </c>
      <c r="N44" s="328">
        <f t="shared" si="43"/>
        <v>438</v>
      </c>
      <c r="O44" s="329" t="s">
        <v>675</v>
      </c>
      <c r="P44" s="328">
        <f t="shared" ref="P44:Q44" si="44">P36+P42</f>
        <v>87</v>
      </c>
      <c r="Q44" s="328">
        <f t="shared" si="44"/>
        <v>80</v>
      </c>
      <c r="R44" s="330">
        <f>P44+Q44</f>
        <v>167</v>
      </c>
    </row>
    <row r="45" ht="6.75" customHeight="1">
      <c r="A45" s="343"/>
      <c r="B45" s="343"/>
      <c r="C45" s="344"/>
      <c r="D45" s="344"/>
      <c r="E45" s="344"/>
      <c r="F45" s="344"/>
      <c r="G45" s="344"/>
      <c r="H45" s="344"/>
      <c r="I45" s="344"/>
      <c r="J45" s="344"/>
      <c r="K45" s="344"/>
      <c r="L45" s="344"/>
      <c r="M45" s="344"/>
      <c r="N45" s="344"/>
      <c r="O45" s="344"/>
      <c r="P45" s="344"/>
      <c r="Q45" s="344"/>
      <c r="R45" s="344"/>
    </row>
    <row r="46" ht="14.25" customHeight="1">
      <c r="A46" s="345" t="s">
        <v>696</v>
      </c>
      <c r="B46" s="259"/>
      <c r="C46" s="259"/>
      <c r="D46" s="259"/>
      <c r="E46" s="259"/>
      <c r="F46" s="259"/>
      <c r="G46" s="259"/>
      <c r="H46" s="259"/>
      <c r="I46" s="259"/>
      <c r="J46" s="259"/>
      <c r="K46" s="259"/>
      <c r="L46" s="259"/>
      <c r="M46" s="259"/>
      <c r="N46" s="259"/>
      <c r="O46" s="259"/>
      <c r="P46" s="259"/>
      <c r="Q46" s="259"/>
      <c r="R46" s="259"/>
    </row>
    <row r="47" ht="24.0" customHeight="1">
      <c r="A47" s="346" t="s">
        <v>642</v>
      </c>
      <c r="B47" s="315"/>
      <c r="C47" s="347" t="str">
        <f>C2</f>
        <v>BATHINDA</v>
      </c>
      <c r="D47" s="259"/>
      <c r="E47" s="315"/>
      <c r="F47" s="348" t="s">
        <v>644</v>
      </c>
      <c r="G47" s="349" t="str">
        <f>G2</f>
        <v>Talwandi Sabo</v>
      </c>
      <c r="H47" s="315"/>
      <c r="I47" s="348" t="s">
        <v>645</v>
      </c>
      <c r="J47" s="349" t="str">
        <f>J2</f>
        <v>SVO OFFICE Talwandi Sabo</v>
      </c>
      <c r="K47" s="259"/>
      <c r="L47" s="315"/>
      <c r="M47" s="348" t="s">
        <v>646</v>
      </c>
      <c r="N47" s="349" t="str">
        <f>N2</f>
        <v>April</v>
      </c>
      <c r="O47" s="315"/>
      <c r="P47" s="348" t="s">
        <v>647</v>
      </c>
      <c r="Q47" s="349" t="str">
        <f>Q2</f>
        <v>2026</v>
      </c>
      <c r="R47" s="315"/>
    </row>
    <row r="48" ht="23.25" customHeight="1">
      <c r="A48" s="350" t="s">
        <v>697</v>
      </c>
      <c r="B48" s="125"/>
      <c r="C48" s="125"/>
      <c r="D48" s="125"/>
      <c r="E48" s="125"/>
      <c r="F48" s="125"/>
      <c r="G48" s="125"/>
      <c r="H48" s="125"/>
      <c r="I48" s="125"/>
      <c r="J48" s="125"/>
      <c r="K48" s="125"/>
      <c r="L48" s="125"/>
      <c r="M48" s="125"/>
      <c r="N48" s="125"/>
      <c r="O48" s="125"/>
      <c r="P48" s="125"/>
      <c r="Q48" s="125"/>
      <c r="R48" s="126"/>
    </row>
    <row r="49" ht="18.75" customHeight="1">
      <c r="A49" s="351" t="s">
        <v>698</v>
      </c>
      <c r="B49" s="352" t="s">
        <v>559</v>
      </c>
      <c r="C49" s="321"/>
      <c r="D49" s="323"/>
      <c r="E49" s="320" t="s">
        <v>699</v>
      </c>
      <c r="F49" s="320" t="s">
        <v>700</v>
      </c>
      <c r="G49" s="352" t="s">
        <v>701</v>
      </c>
      <c r="H49" s="125"/>
      <c r="I49" s="126"/>
      <c r="J49" s="352" t="s">
        <v>702</v>
      </c>
      <c r="K49" s="125"/>
      <c r="L49" s="126"/>
      <c r="M49" s="353" t="s">
        <v>703</v>
      </c>
      <c r="N49" s="354"/>
      <c r="O49" s="353" t="s">
        <v>704</v>
      </c>
      <c r="P49" s="354"/>
      <c r="Q49" s="353" t="s">
        <v>705</v>
      </c>
      <c r="R49" s="354"/>
    </row>
    <row r="50">
      <c r="A50" s="355"/>
      <c r="B50" s="356" t="s">
        <v>706</v>
      </c>
      <c r="C50" s="356" t="s">
        <v>707</v>
      </c>
      <c r="D50" s="356" t="s">
        <v>566</v>
      </c>
      <c r="E50" s="322"/>
      <c r="F50" s="322"/>
      <c r="G50" s="356" t="s">
        <v>708</v>
      </c>
      <c r="H50" s="356" t="s">
        <v>709</v>
      </c>
      <c r="I50" s="356" t="s">
        <v>710</v>
      </c>
      <c r="J50" s="356" t="s">
        <v>708</v>
      </c>
      <c r="K50" s="356" t="s">
        <v>709</v>
      </c>
      <c r="L50" s="356" t="s">
        <v>710</v>
      </c>
      <c r="M50" s="355"/>
      <c r="N50" s="315"/>
      <c r="O50" s="355"/>
      <c r="P50" s="315"/>
      <c r="Q50" s="355"/>
      <c r="R50" s="315"/>
    </row>
    <row r="51" ht="35.25" customHeight="1">
      <c r="A51" s="357" t="s">
        <v>711</v>
      </c>
      <c r="B51" s="358">
        <f>sumifs('Form responses'!I2:I86,'Form responses'!$C$2:$C86,"&gt;="&amp;$N$1,'Form responses'!$C$2:$C86,"&lt;="&amp;$Q$1,'Form responses'!$G$2:$G86,$J$1)</f>
        <v>1</v>
      </c>
      <c r="C51" s="358">
        <f>sumifs('Form responses'!M2:M86,'Form responses'!$C$2:$C86,"&gt;="&amp;$N$1,'Form responses'!$C$2:$C86,"&lt;="&amp;$Q$1,'Form responses'!$G$2:$G86,$J$1)</f>
        <v>0</v>
      </c>
      <c r="D51" s="358">
        <f t="shared" ref="D51:D55" si="45">B51+C51</f>
        <v>1</v>
      </c>
      <c r="E51" s="359"/>
      <c r="F51" s="358"/>
      <c r="G51" s="358"/>
      <c r="H51" s="358"/>
      <c r="I51" s="358"/>
      <c r="J51" s="358"/>
      <c r="K51" s="358"/>
      <c r="L51" s="358"/>
      <c r="M51" s="360" t="s">
        <v>712</v>
      </c>
      <c r="N51" s="358">
        <f>sumifs('Form responses'!Y$2:Y86,'Form responses'!$C$2:$C86,"&gt;="&amp;$N$1,'Form responses'!$C$2:$C86,"&lt;="&amp;$Q$1,'Form responses'!$G$2:$G86,$J$1)</f>
        <v>34</v>
      </c>
      <c r="O51" s="360" t="s">
        <v>712</v>
      </c>
      <c r="P51" s="358">
        <f>sumifs('Form responses'!AA$2:AA86,'Form responses'!$C$2:$C86,"&gt;="&amp;$N$1,'Form responses'!$C$2:$C86,"&lt;="&amp;$Q$1,'Form responses'!$G$2:$G86,$J$1)</f>
        <v>1</v>
      </c>
      <c r="Q51" s="360" t="s">
        <v>712</v>
      </c>
      <c r="R51" s="358"/>
    </row>
    <row r="52" ht="35.25" customHeight="1">
      <c r="A52" s="357" t="s">
        <v>713</v>
      </c>
      <c r="B52" s="358">
        <f>sumifs('Form responses'!J2:J86,'Form responses'!$C$2:$C86,"&gt;="&amp;$N$1,'Form responses'!$C$2:$C86,"&lt;="&amp;$Q$1,'Form responses'!$G$2:$G86,$J$1)</f>
        <v>1936</v>
      </c>
      <c r="C52" s="358">
        <f>sumifs('Form responses'!N2:N86,'Form responses'!$C$2:$C86,"&gt;="&amp;$N$1,'Form responses'!$C$2:$C86,"&lt;="&amp;$Q$1,'Form responses'!$G$2:$G86,$J$1)</f>
        <v>757</v>
      </c>
      <c r="D52" s="358">
        <f t="shared" si="45"/>
        <v>2693</v>
      </c>
      <c r="E52" s="359">
        <f>sumifs('Form responses'!W$2:W86,'Form responses'!$C$2:$C86,"&gt;="&amp;$N$1,'Form responses'!$C$2:$C86,"&lt;="&amp;$Q$1,'Form responses'!$G$2:$G86,$J$1)</f>
        <v>0</v>
      </c>
      <c r="F52" s="358">
        <f>sumifs('Form responses'!U$2:U86,'Form responses'!$C$2:$C86,"&gt;="&amp;$N$1,'Form responses'!$C$2:$C86,"&lt;="&amp;$Q$1,'Form responses'!$G$2:$G86,$J$1)</f>
        <v>0</v>
      </c>
      <c r="G52" s="358"/>
      <c r="H52" s="358"/>
      <c r="I52" s="358"/>
      <c r="J52" s="358"/>
      <c r="K52" s="358"/>
      <c r="L52" s="358"/>
      <c r="M52" s="360" t="s">
        <v>714</v>
      </c>
      <c r="N52" s="358">
        <f>sumifs('Form responses'!X$2:X86,'Form responses'!$C$2:$C86,"&gt;="&amp;$N$1,'Form responses'!$C$2:$C86,"&lt;="&amp;$Q$1,'Form responses'!$G$2:$G86,$J$1)</f>
        <v>0</v>
      </c>
      <c r="O52" s="360" t="s">
        <v>715</v>
      </c>
      <c r="P52" s="358">
        <f>sumifs('Form responses'!Z$2:Z86,'Form responses'!$C$2:$C86,"&gt;="&amp;$N$1,'Form responses'!$C$2:$C86,"&lt;="&amp;$Q$1,'Form responses'!$G$2:$G86,$J$1)</f>
        <v>0</v>
      </c>
      <c r="Q52" s="360" t="s">
        <v>715</v>
      </c>
      <c r="R52" s="358"/>
    </row>
    <row r="53" ht="35.25" customHeight="1">
      <c r="A53" s="357" t="s">
        <v>716</v>
      </c>
      <c r="B53" s="358">
        <f>sumifs('Form responses'!K2:K86,'Form responses'!$C$2:$C86,"&gt;="&amp;$N$1,'Form responses'!$C$2:$C86,"&lt;="&amp;$Q$1,'Form responses'!$G$2:$G86,$J$1)</f>
        <v>17</v>
      </c>
      <c r="C53" s="358">
        <f>sumifs('Form responses'!O2:O86,'Form responses'!$C$2:$C86,"&gt;="&amp;$N$1,'Form responses'!$C$2:$C86,"&lt;="&amp;$Q$1,'Form responses'!$G$2:$G86,$J$1)</f>
        <v>8</v>
      </c>
      <c r="D53" s="358">
        <f t="shared" si="45"/>
        <v>25</v>
      </c>
      <c r="E53" s="359"/>
      <c r="F53" s="358">
        <f>sumifs('Form responses'!V$2:V86,'Form responses'!$C$2:$C86,"&gt;="&amp;$N$1,'Form responses'!$C$2:$C86,"&lt;="&amp;$Q$1,'Form responses'!$G$2:$G86,$J$1)</f>
        <v>0</v>
      </c>
      <c r="G53" s="358"/>
      <c r="H53" s="358"/>
      <c r="I53" s="358"/>
      <c r="J53" s="358"/>
      <c r="K53" s="358"/>
      <c r="L53" s="358"/>
      <c r="M53" s="360" t="s">
        <v>717</v>
      </c>
      <c r="N53" s="358"/>
      <c r="O53" s="360" t="s">
        <v>718</v>
      </c>
      <c r="P53" s="358">
        <f>sumifs('Form responses'!AD$2:AD86,'Form responses'!$C$2:$C86,"&gt;="&amp;$N$1,'Form responses'!$C$2:$C86,"&lt;="&amp;$Q$1,'Form responses'!$G$2:$G86,$J$1)</f>
        <v>0</v>
      </c>
      <c r="Q53" s="360" t="s">
        <v>717</v>
      </c>
      <c r="R53" s="358"/>
    </row>
    <row r="54" ht="35.25" customHeight="1">
      <c r="A54" s="357" t="s">
        <v>717</v>
      </c>
      <c r="B54" s="358">
        <f>sumifs('Form responses'!L2:L86,'Form responses'!$C$2:$C86,"&gt;="&amp;$N$1,'Form responses'!$C$2:$C86,"&lt;="&amp;$Q$1,'Form responses'!$G$2:$G86,$J$1)</f>
        <v>32</v>
      </c>
      <c r="C54" s="358">
        <f>sumifs('Form responses'!P2:P86,'Form responses'!$C$2:$C86,"&gt;="&amp;$N$1,'Form responses'!$C$2:$C86,"&lt;="&amp;$Q$1,'Form responses'!$G$2:$G86,$J$1)</f>
        <v>5</v>
      </c>
      <c r="D54" s="358">
        <f t="shared" si="45"/>
        <v>37</v>
      </c>
      <c r="E54" s="359"/>
      <c r="F54" s="358"/>
      <c r="G54" s="358"/>
      <c r="H54" s="358"/>
      <c r="I54" s="358"/>
      <c r="J54" s="358"/>
      <c r="K54" s="358"/>
      <c r="L54" s="358"/>
      <c r="M54" s="360" t="s">
        <v>719</v>
      </c>
      <c r="N54" s="358"/>
      <c r="O54" s="360" t="s">
        <v>720</v>
      </c>
      <c r="P54" s="358">
        <f>sumifs('Form responses'!AB$2:AB86,'Form responses'!$C$2:$C86,"&gt;="&amp;$N$1,'Form responses'!$C$2:$C86,"&lt;="&amp;$Q$1,'Form responses'!$G$2:$G86,$J$1)</f>
        <v>0</v>
      </c>
      <c r="Q54" s="360" t="s">
        <v>721</v>
      </c>
      <c r="R54" s="358"/>
    </row>
    <row r="55" ht="35.25" customHeight="1">
      <c r="A55" s="357" t="s">
        <v>722</v>
      </c>
      <c r="B55" s="361"/>
      <c r="C55" s="361">
        <v>0.0</v>
      </c>
      <c r="D55" s="358">
        <f t="shared" si="45"/>
        <v>0</v>
      </c>
      <c r="E55" s="359"/>
      <c r="F55" s="358"/>
      <c r="G55" s="358"/>
      <c r="H55" s="358"/>
      <c r="I55" s="358"/>
      <c r="J55" s="358"/>
      <c r="K55" s="358"/>
      <c r="L55" s="358"/>
      <c r="M55" s="360" t="s">
        <v>723</v>
      </c>
      <c r="N55" s="358"/>
      <c r="O55" s="360" t="s">
        <v>724</v>
      </c>
      <c r="P55" s="358">
        <f>sumifs('Form responses'!AC$2:AC86,'Form responses'!$C$2:$C86,"&gt;="&amp;$N$1,'Form responses'!$C$2:$C86,"&lt;="&amp;$Q$1,'Form responses'!$G$2:$G86,$J$1)</f>
        <v>0</v>
      </c>
      <c r="Q55" s="360" t="s">
        <v>725</v>
      </c>
      <c r="R55" s="358"/>
    </row>
    <row r="56" ht="35.25" customHeight="1">
      <c r="A56" s="362" t="s">
        <v>726</v>
      </c>
      <c r="B56" s="363">
        <f t="shared" ref="B56:L56" si="46">SUM(B51:B54)</f>
        <v>1986</v>
      </c>
      <c r="C56" s="364">
        <f t="shared" si="46"/>
        <v>770</v>
      </c>
      <c r="D56" s="364">
        <f t="shared" si="46"/>
        <v>2756</v>
      </c>
      <c r="E56" s="364">
        <f t="shared" si="46"/>
        <v>0</v>
      </c>
      <c r="F56" s="364">
        <f t="shared" si="46"/>
        <v>0</v>
      </c>
      <c r="G56" s="364">
        <f t="shared" si="46"/>
        <v>0</v>
      </c>
      <c r="H56" s="364">
        <f t="shared" si="46"/>
        <v>0</v>
      </c>
      <c r="I56" s="364">
        <f t="shared" si="46"/>
        <v>0</v>
      </c>
      <c r="J56" s="364">
        <f t="shared" si="46"/>
        <v>0</v>
      </c>
      <c r="K56" s="364">
        <f t="shared" si="46"/>
        <v>0</v>
      </c>
      <c r="L56" s="364">
        <f t="shared" si="46"/>
        <v>0</v>
      </c>
      <c r="M56" s="365" t="s">
        <v>727</v>
      </c>
      <c r="N56" s="366">
        <f>SUM(N51:N55)</f>
        <v>34</v>
      </c>
      <c r="O56" s="365" t="s">
        <v>726</v>
      </c>
      <c r="P56" s="366">
        <f>SUM(P51:P55)</f>
        <v>1</v>
      </c>
      <c r="Q56" s="365" t="s">
        <v>726</v>
      </c>
      <c r="R56" s="366"/>
    </row>
    <row r="57" ht="35.25" customHeight="1">
      <c r="A57" s="362" t="s">
        <v>629</v>
      </c>
      <c r="B57" s="363">
        <f>sumifs('Form responses'!I2:I86,'Form responses'!$C$2:$C86,"&lt;="&amp;$Q$1,'Form responses'!$C$2:$C86,"&gt;="&amp;Date(YEAR(DATE(YEAR($N$1),MONTH($N$1)+(-3),1)),4,1),'Form responses'!$G$2:$G86,$J$1)+sumifs('Form responses'!J2:J86,'Form responses'!$C$2:$C86,"&lt;="&amp;$Q$1,'Form responses'!$C$2:$C86,"&gt;="&amp;Date(YEAR(DATE(YEAR($N$1),MONTH($N$1)+(-3),1)),4,1),'Form responses'!$G$2:$G86,$J$1)+sumifs('Form responses'!K2:K86,'Form responses'!$C$2:$C86,"&lt;="&amp;$Q$1,'Form responses'!$C$2:$C86,"&gt;="&amp;Date(YEAR(DATE(YEAR($N$1),MONTH($N$1)+(-3),1)),4,1),'Form responses'!$G$2:$G86,$J$1)+sumifs('Form responses'!L2:L86,'Form responses'!$C$2:$C86,"&lt;="&amp;$Q$1,'Form responses'!$C$2:$C86,"&gt;="&amp;Date(YEAR(DATE(YEAR($N$1),MONTH($N$1)+(-3),1)),4,1),'Form responses'!$G$2:$G86,$J$1)</f>
        <v>1986</v>
      </c>
      <c r="C57" s="363">
        <f>sumifs('Form responses'!M2:M86,'Form responses'!$C$2:$C86,"&lt;="&amp;$Q$1,'Form responses'!$C$2:$C86,"&gt;="&amp;Date(YEAR(DATE(YEAR($N$1),MONTH($N$1)+(-3),1)),4,1),'Form responses'!$G$2:$G86,$J$1)+sumifs('Form responses'!N2:N86,'Form responses'!$C$2:$C86,"&lt;="&amp;$Q$1,'Form responses'!$C$2:$C86,"&gt;="&amp;Date(YEAR(DATE(YEAR($N$1),MONTH($N$1)+(-3),1)),4,1),'Form responses'!$G$2:$G86,$J$1)+sumifs('Form responses'!O2:O86,'Form responses'!$C$2:$C86,"&lt;="&amp;$Q$1,'Form responses'!$C$2:$C86,"&gt;="&amp;Date(YEAR(DATE(YEAR($N$1),MONTH($N$1)+(-3),1)),4,1),'Form responses'!$G$2:$G86,$J$1)+sumifs('Form responses'!P2:P86,'Form responses'!$C$2:$C86,"&lt;="&amp;$Q$1,'Form responses'!$C$2:$C86,"&gt;="&amp;Date(YEAR(DATE(YEAR($N$1),MONTH($N$1)+(-3),1)),4,1),'Form responses'!$G$2:$G86,$J$1)</f>
        <v>770</v>
      </c>
      <c r="D57" s="364">
        <f>C57+B57</f>
        <v>2756</v>
      </c>
      <c r="E57" s="367">
        <f>sumifs('Form responses'!W$2:W86,'Form responses'!$C$2:$C86,"&gt;="&amp;Date(YEAR(DATE(YEAR($Q$1),MONTH($Q$1)+(-3),1)),4,1),'Form responses'!$C$2:$C86,"&lt;="&amp;$Q$1,'Form responses'!$G$2:$G86,$J$1)</f>
        <v>0</v>
      </c>
      <c r="F57" s="363">
        <f>sumifs('Form responses'!U$2:U86,'Form responses'!$C$2:$C86,"&gt;="&amp;Date(YEAR(DATE(YEAR($Q$1),MONTH($Q$1)+(-3),1)),4,1),'Form responses'!$C$2:$C86,"&lt;="&amp;$Q$1,'Form responses'!$G$2:$G86,$J$1)+sumifs('Form responses'!V$2:V86,'Form responses'!$C$2:$C86,"&gt;="&amp;Date(YEAR(DATE(YEAR($Q$1),MONTH($Q$1)+(-3),1)),4,1),'Form responses'!$C$2:$C86,"&lt;="&amp;$Q$1,'Form responses'!$G$2:$G86,$J$1)</f>
        <v>0</v>
      </c>
      <c r="G57" s="363"/>
      <c r="H57" s="363"/>
      <c r="I57" s="363"/>
      <c r="J57" s="363"/>
      <c r="K57" s="363"/>
      <c r="L57" s="363"/>
      <c r="M57" s="365" t="s">
        <v>629</v>
      </c>
      <c r="N57" s="366">
        <f>sumifs('Form responses'!X$2:X86,'Form responses'!$C$2:$C86,"&gt;="&amp;Date(YEAR(DATE(YEAR($Q$1),MONTH($Q$1)+(-3),1)),4,1),'Form responses'!$C$2:$C86,"&lt;="&amp;$Q$1,'Form responses'!$G$2:$G86,$J$1)+sumifs('Form responses'!Y$2:Y86,'Form responses'!$C$2:$C86,"&gt;="&amp;Date(YEAR(DATE(YEAR($Q$1),MONTH($Q$1)+(-3),1)),4,1),'Form responses'!$C$2:$C86,"&lt;="&amp;$Q$1,'Form responses'!$G$2:$G86,$J$1)</f>
        <v>34</v>
      </c>
      <c r="O57" s="365" t="s">
        <v>629</v>
      </c>
      <c r="P57" s="366">
        <f>sumifs('Form responses'!Z$2:Z86,'Form responses'!$C$2:$C86,"&gt;="&amp;Date(YEAR(DATE(YEAR($Q$1),MONTH($Q$1)+(-3),1)),4,1),'Form responses'!$C$2:$C86,"&lt;="&amp;$Q$1,'Form responses'!$G$2:$G86,$J$1)+sumifs('Form responses'!AA$2:AA86,'Form responses'!$C$2:$C86,"&gt;="&amp;Date(YEAR(DATE(YEAR($Q$1),MONTH($Q$1)+(-3),1)),4,1),'Form responses'!$C$2:$C86,"&lt;="&amp;$Q$1,'Form responses'!$G$2:$G86,$J$1)+sumifs('Form responses'!AB$2:AB86,'Form responses'!$C$2:$C86,"&gt;="&amp;Date(YEAR(DATE(YEAR($Q$1),MONTH($Q$1)+(-3),1)),4,1),'Form responses'!$C$2:$C86,"&lt;="&amp;$Q$1,'Form responses'!$G$2:$G86,$J$1)+sumifs('Form responses'!AC$2:AC86,'Form responses'!$C$2:$C86,"&gt;="&amp;Date(YEAR(DATE(YEAR($Q$1),MONTH($Q$1)+(-3),1)),4,1),'Form responses'!$C$2:$C86,"&lt;="&amp;$Q$1,'Form responses'!$G$2:$G86,$J$1)+sumifs('Form responses'!AD$2:AD86,'Form responses'!$C$2:$C86,"&gt;="&amp;Date(YEAR(DATE(YEAR($Q$1),MONTH($Q$1)+(-3),1)),4,1),'Form responses'!$C$2:$C86,"&lt;="&amp;$Q$1,'Form responses'!$G$2:$G86,$J$1)</f>
        <v>1</v>
      </c>
      <c r="Q57" s="365" t="s">
        <v>629</v>
      </c>
      <c r="R57" s="366"/>
    </row>
    <row r="58">
      <c r="A58" s="353" t="s">
        <v>728</v>
      </c>
      <c r="B58" s="352" t="s">
        <v>729</v>
      </c>
      <c r="C58" s="125"/>
      <c r="D58" s="125"/>
      <c r="E58" s="125"/>
      <c r="F58" s="125"/>
      <c r="G58" s="352" t="s">
        <v>730</v>
      </c>
      <c r="H58" s="125"/>
      <c r="I58" s="125"/>
      <c r="J58" s="125"/>
      <c r="K58" s="125"/>
      <c r="L58" s="125"/>
      <c r="M58" s="125"/>
      <c r="N58" s="125"/>
      <c r="O58" s="125"/>
      <c r="P58" s="125"/>
      <c r="Q58" s="125"/>
      <c r="R58" s="126"/>
    </row>
    <row r="59">
      <c r="A59" s="368"/>
      <c r="B59" s="320" t="s">
        <v>731</v>
      </c>
      <c r="C59" s="320" t="s">
        <v>732</v>
      </c>
      <c r="D59" s="320" t="s">
        <v>733</v>
      </c>
      <c r="E59" s="320" t="s">
        <v>734</v>
      </c>
      <c r="F59" s="320" t="s">
        <v>722</v>
      </c>
      <c r="G59" s="320" t="s">
        <v>735</v>
      </c>
      <c r="H59" s="320" t="s">
        <v>736</v>
      </c>
      <c r="I59" s="352" t="s">
        <v>737</v>
      </c>
      <c r="J59" s="125"/>
      <c r="K59" s="125"/>
      <c r="L59" s="126"/>
      <c r="M59" s="352" t="s">
        <v>738</v>
      </c>
      <c r="N59" s="125"/>
      <c r="O59" s="125"/>
      <c r="P59" s="126"/>
      <c r="Q59" s="352" t="s">
        <v>739</v>
      </c>
      <c r="R59" s="126"/>
    </row>
    <row r="60">
      <c r="A60" s="355"/>
      <c r="B60" s="322"/>
      <c r="C60" s="322"/>
      <c r="D60" s="322"/>
      <c r="E60" s="322"/>
      <c r="F60" s="322"/>
      <c r="G60" s="322"/>
      <c r="H60" s="322"/>
      <c r="I60" s="356" t="s">
        <v>740</v>
      </c>
      <c r="J60" s="356" t="s">
        <v>741</v>
      </c>
      <c r="K60" s="356" t="s">
        <v>742</v>
      </c>
      <c r="L60" s="356" t="s">
        <v>743</v>
      </c>
      <c r="M60" s="356" t="s">
        <v>740</v>
      </c>
      <c r="N60" s="356" t="s">
        <v>741</v>
      </c>
      <c r="O60" s="356" t="s">
        <v>742</v>
      </c>
      <c r="P60" s="356" t="s">
        <v>743</v>
      </c>
      <c r="Q60" s="356" t="s">
        <v>744</v>
      </c>
      <c r="R60" s="356" t="s">
        <v>745</v>
      </c>
    </row>
    <row r="61" ht="35.25" customHeight="1">
      <c r="A61" s="362" t="s">
        <v>726</v>
      </c>
      <c r="B61" s="369">
        <f>sumifs('Form responses'!GO2:GO86,'Form responses'!$B$2:$B86,"&gt;="&amp;$N$1,'Form responses'!$C$2:$C86,"&lt;="&amp;$Q$1)</f>
        <v>2</v>
      </c>
      <c r="C61" s="370">
        <f>sumifs('Form responses'!GN2:GN86,'Form responses'!$B$2:$B86,"&gt;="&amp;$N$1,'Form responses'!$C$2:$C86,"&lt;="&amp;$Q$1)</f>
        <v>2</v>
      </c>
      <c r="D61" s="370">
        <f>sumifs('Form responses'!GQ2:GQ86,'Form responses'!$B$2:$B86,"&gt;="&amp;$N$1,'Form responses'!$C$2:$C86,"&lt;="&amp;$Q$1)</f>
        <v>20</v>
      </c>
      <c r="E61" s="370">
        <f>sumifs('Form responses'!GP2:GP86,'Form responses'!$B$2:$B86,"&gt;="&amp;$N$1,'Form responses'!$C$2:$C86,"&lt;="&amp;$Q$1)</f>
        <v>0</v>
      </c>
      <c r="F61" s="371"/>
      <c r="G61" s="372">
        <v>14.0</v>
      </c>
      <c r="H61" s="372">
        <v>11.0</v>
      </c>
      <c r="I61" s="372">
        <f>sumifs('Form responses'!Q2:Q86,'Form responses'!$C$2:$C86,"&gt;="&amp;$N$1,'Form responses'!$C$2:$C86,"&lt;="&amp;$Q$1,'Form responses'!$G$2:$G86,$J$1)</f>
        <v>5</v>
      </c>
      <c r="J61" s="372">
        <f t="shared" ref="J61:J62" si="47">I61</f>
        <v>5</v>
      </c>
      <c r="K61" s="369">
        <f>sumifs('Form responses'!R2:R86,'Form responses'!$C$2:$C86,"&gt;="&amp;$N$1,'Form responses'!$C$2:$C86,"&lt;="&amp;$Q$1,'Form responses'!$G$2:$G86,$J$1)</f>
        <v>282</v>
      </c>
      <c r="L61" s="373">
        <f>sumifs('Form responses'!S2:S86,'Form responses'!$C$2:$C86,"&gt;="&amp;$N$1,'Form responses'!$C$2:$C86,"&lt;="&amp;$Q$1,'Form responses'!$G$2:$G86,$J$1)</f>
        <v>182</v>
      </c>
      <c r="M61" s="369"/>
      <c r="N61" s="372"/>
      <c r="O61" s="369"/>
      <c r="P61" s="369">
        <f>sumifs('Form responses'!T2:T86,'Form responses'!$C$2:$C86,"&gt;="&amp;$N$1,'Form responses'!$C$2:$C86,"&lt;="&amp;$Q$1,'Form responses'!$G$2:$G86,$J$1)</f>
        <v>304</v>
      </c>
      <c r="Q61" s="372">
        <f>sumifs('Form responses'!FX2:FX86,'Form responses'!$C$2:$C86,"&gt;="&amp;$N$1,'Form responses'!$C$2:$C86,"&lt;="&amp;$Q$1,'Form responses'!$G$2:$G86,$J$1)</f>
        <v>4</v>
      </c>
      <c r="R61" s="372">
        <f>sumifs('Form responses'!FZ2:FZ86,'Form responses'!$C$2:$C86,"&gt;="&amp;$N$1,'Form responses'!$C$2:$C86,"&lt;="&amp;$Q$1,'Form responses'!$G$2:$G86,$J$1)</f>
        <v>133</v>
      </c>
    </row>
    <row r="62" ht="35.25" customHeight="1">
      <c r="A62" s="362" t="s">
        <v>629</v>
      </c>
      <c r="B62" s="372">
        <f>sumifs('Form responses'!GO2:GO86,'Form responses'!$B$2:$B86,"&gt;="&amp;Date(YEAR(DATE(YEAR($Q$1),MONTH($Q$1)+(-3),1)),4,1),'Form responses'!$C$2:$C86,"&lt;="&amp;$Q$1)</f>
        <v>2</v>
      </c>
      <c r="C62" s="372">
        <f>sumifs('Form responses'!GN2:GN86,'Form responses'!$B$2:$B86,"&gt;="&amp;Date(YEAR(DATE(YEAR($Q$1),MONTH($Q$1)+(-3),1)),4,1),'Form responses'!$C$2:$C86,"&lt;="&amp;$Q$1)</f>
        <v>2</v>
      </c>
      <c r="D62" s="372">
        <f>sumifs('Form responses'!GQ2:GQ86,'Form responses'!$B$2:$B86,"&gt;="&amp;Date(YEAR(DATE(YEAR($Q$1),MONTH($Q$1)+(-3),1)),4,1),'Form responses'!$C$2:$C86,"&lt;="&amp;$Q$1)</f>
        <v>20</v>
      </c>
      <c r="E62" s="372">
        <f>sumifs('Form responses'!GP2:GP86,'Form responses'!$B$2:$B86,"&gt;="&amp;Date(YEAR(DATE(YEAR($Q$1),MONTH($Q$1)+(-3),1)),4,1),'Form responses'!$C$2:$C86,"&lt;="&amp;$Q$1)</f>
        <v>0</v>
      </c>
      <c r="F62" s="371"/>
      <c r="G62" s="374" t="s">
        <v>675</v>
      </c>
      <c r="H62" s="374" t="s">
        <v>675</v>
      </c>
      <c r="I62" s="369">
        <f>sumifs('Form responses'!Q2:Q86,'Form responses'!$C$2:$C86,"&lt;="&amp;$Q$1,'Form responses'!$C$2:$C86,"&gt;="&amp;Date(YEAR(DATE(YEAR($N$1),MONTH($N$1)+(-3),1)),4,1),'Form responses'!$G$2:$G86,$J$1)</f>
        <v>5</v>
      </c>
      <c r="J62" s="372">
        <f t="shared" si="47"/>
        <v>5</v>
      </c>
      <c r="K62" s="369">
        <f>sumifs('Form responses'!R2:R86,'Form responses'!$C$2:$C86,"&lt;="&amp;$Q$1,'Form responses'!$C$2:$C86,"&gt;="&amp;Date(YEAR(DATE(YEAR($N$1),MONTH($N$1)+(-3),1)),4,1),'Form responses'!$G$2:$G86,$J$1)</f>
        <v>282</v>
      </c>
      <c r="L62" s="369">
        <f>sumifs('Form responses'!S2:S86,'Form responses'!$C$2:$C86,"&lt;="&amp;$Q$1,'Form responses'!$C$2:$C86,"&gt;="&amp;Date(YEAR(DATE(YEAR($N$1),MONTH($N$1)+(-3),1)),4,1),'Form responses'!$G$2:$G86,$J$1)</f>
        <v>182</v>
      </c>
      <c r="M62" s="369"/>
      <c r="N62" s="372"/>
      <c r="O62" s="369"/>
      <c r="P62" s="369">
        <f>sumifs('Form responses'!T2:T86,'Form responses'!$C$2:$C86,"&lt;="&amp;$Q$1,'Form responses'!$C$2:$C86,"&gt;="&amp;Date(YEAR(DATE(YEAR($N$1),MONTH($N$1)+(-3),1)),4,1),'Form responses'!$G$2:$G86,$J$1)</f>
        <v>304</v>
      </c>
      <c r="Q62" s="372">
        <f>sumifs('Form responses'!FX2:FX86,'Form responses'!$C$2:$C86,"&lt;="&amp;$Q$1,'Form responses'!$C$2:$C86,"&gt;="&amp;Date(YEAR(DATE(YEAR($N$1),MONTH($N$1)+(-3),1)),4,1),'Form responses'!$G$2:$G86,$J$1)</f>
        <v>4</v>
      </c>
      <c r="R62" s="372">
        <f>sumifs('Form responses'!FZ2:FZ86,'Form responses'!$C$2:$C86,"&lt;="&amp;$Q$1,'Form responses'!$C$2:$C86,"&gt;="&amp;Date(YEAR(DATE(YEAR($N$1),MONTH($N$1)+(-3),1)),4,1),'Form responses'!$G$2:$G86,$J$1)</f>
        <v>133</v>
      </c>
    </row>
    <row r="63" ht="20.25" customHeight="1">
      <c r="A63" s="375" t="s">
        <v>514</v>
      </c>
      <c r="B63" s="125"/>
      <c r="C63" s="125"/>
      <c r="D63" s="125"/>
      <c r="E63" s="125"/>
      <c r="F63" s="125"/>
      <c r="G63" s="125"/>
      <c r="H63" s="125"/>
      <c r="I63" s="125"/>
      <c r="J63" s="125"/>
      <c r="K63" s="125"/>
      <c r="L63" s="125"/>
      <c r="M63" s="125"/>
      <c r="N63" s="125"/>
      <c r="O63" s="125"/>
      <c r="P63" s="125"/>
      <c r="Q63" s="125"/>
      <c r="R63" s="125"/>
    </row>
    <row r="64">
      <c r="A64" s="376" t="s">
        <v>746</v>
      </c>
      <c r="B64" s="377"/>
      <c r="C64" s="378" t="s">
        <v>747</v>
      </c>
      <c r="D64" s="378" t="s">
        <v>748</v>
      </c>
      <c r="E64" s="378" t="s">
        <v>749</v>
      </c>
      <c r="F64" s="378" t="s">
        <v>750</v>
      </c>
      <c r="G64" s="378" t="s">
        <v>751</v>
      </c>
      <c r="H64" s="378" t="s">
        <v>752</v>
      </c>
      <c r="I64" s="379" t="s">
        <v>753</v>
      </c>
      <c r="J64" s="259"/>
      <c r="K64" s="259"/>
      <c r="L64" s="259"/>
      <c r="M64" s="259"/>
      <c r="N64" s="259"/>
      <c r="O64" s="259"/>
      <c r="P64" s="259"/>
      <c r="Q64" s="259"/>
      <c r="R64" s="315"/>
    </row>
    <row r="65" ht="41.25" customHeight="1">
      <c r="A65" s="355"/>
      <c r="B65" s="315"/>
      <c r="C65" s="322"/>
      <c r="D65" s="322"/>
      <c r="E65" s="322"/>
      <c r="F65" s="322"/>
      <c r="G65" s="322"/>
      <c r="H65" s="322"/>
      <c r="I65" s="380" t="s">
        <v>754</v>
      </c>
      <c r="J65" s="380" t="s">
        <v>755</v>
      </c>
      <c r="K65" s="380" t="s">
        <v>756</v>
      </c>
      <c r="L65" s="380" t="s">
        <v>757</v>
      </c>
      <c r="M65" s="380" t="s">
        <v>758</v>
      </c>
      <c r="N65" s="380" t="s">
        <v>759</v>
      </c>
      <c r="O65" s="380" t="s">
        <v>760</v>
      </c>
      <c r="P65" s="380" t="s">
        <v>761</v>
      </c>
      <c r="Q65" s="380" t="s">
        <v>762</v>
      </c>
      <c r="R65" s="380" t="s">
        <v>566</v>
      </c>
    </row>
    <row r="66" ht="35.25" customHeight="1">
      <c r="A66" s="357" t="s">
        <v>763</v>
      </c>
      <c r="B66" s="126"/>
      <c r="C66" s="370">
        <f>sumifs('Form responses'!AE2:AE86,
'Form responses'!$C$2:$C86,
"&lt;="&amp;$N$1,
'Form responses'!$G$2:$G86,$J$1)-(sumifs('Form responses'!AF2:AF86,
'Form responses'!$C$2:$C86,
"&lt;="&amp;$N$1,
'Form responses'!$G$2:$G86,$J$1))</f>
        <v>0</v>
      </c>
      <c r="D66" s="369">
        <f>sumifs('Form responses'!AE$2:AE86,'Form responses'!$C$2:$C86,"&gt;="&amp;$N$1,'Form responses'!$C$2:$C86,"&lt;="&amp;$Q$1,'Form responses'!$G$2:$G86,$J$1)</f>
        <v>0</v>
      </c>
      <c r="E66" s="369">
        <f>sumifs('Form responses'!AE$2:AE86,'Form responses'!$C$2:$C86,"&gt;="&amp;Date(YEAR(DATE(YEAR($N$1),MONTH($N$1)+(-3),1)),4,1),'Form responses'!$C$2:$C86,"&lt;="&amp;$Q$1,'Form responses'!$G$2:$G86,$J$1)</f>
        <v>0</v>
      </c>
      <c r="F66" s="369">
        <f>sumifs('Form responses'!AF$2:AF86,'Form responses'!$C$2:$C86,"&gt;="&amp;$N$1,'Form responses'!$C$2:$C86,"&lt;="&amp;$Q$1,'Form responses'!$G$2:$G86,$J$1)</f>
        <v>0</v>
      </c>
      <c r="G66" s="369">
        <f>sumifs('Form responses'!AF$2:AF86,'Form responses'!$C$2:$C86,"&gt;="&amp;Date(YEAR(DATE(YEAR($N$1),MONTH($N$1)+(-3),1)),4,1),'Form responses'!$C$2:$C86,"&lt;="&amp;$Q$1,'Form responses'!$G$2:$G86,$J$1)</f>
        <v>0</v>
      </c>
      <c r="H66" s="369">
        <f t="shared" ref="H66:H68" si="48">E66-G66</f>
        <v>0</v>
      </c>
      <c r="I66" s="372"/>
      <c r="J66" s="372"/>
      <c r="K66" s="369"/>
      <c r="L66" s="381"/>
      <c r="M66" s="381"/>
      <c r="N66" s="381"/>
      <c r="O66" s="382"/>
      <c r="P66" s="382"/>
      <c r="Q66" s="382"/>
      <c r="R66" s="383"/>
    </row>
    <row r="67" ht="35.25" customHeight="1">
      <c r="A67" s="357" t="s">
        <v>764</v>
      </c>
      <c r="B67" s="126"/>
      <c r="C67" s="370">
        <f>sumifs('Form responses'!AK2:AK86,
'Form responses'!$C$2:$C86,
"&lt;="&amp;$N$1,
'Form responses'!$G$2:$G86,$J$1)-(sumifs('Form responses'!AL2:AL86,
'Form responses'!$C$2:$C86,
"&lt;="&amp;$N$1,
'Form responses'!$G$2:$G86,$J$1))</f>
        <v>0</v>
      </c>
      <c r="D67" s="369">
        <f>sumifs('Form responses'!AK$2:AK86,'Form responses'!$C$2:$C86,"&gt;="&amp;"&gt;="&amp;$N$1,'Form responses'!$C$2:$C86,"&lt;="&amp;$Q$1,'Form responses'!$G$2:$G86,$J$1)</f>
        <v>0</v>
      </c>
      <c r="E67" s="369">
        <f>sumifs('Form responses'!AK$2:AK86,'Form responses'!$C$2:$C86,"&gt;="&amp;Date(YEAR(DATE(YEAR($N$1),MONTH($N$1)+(-3),1)),4,1),'Form responses'!$C$2:$C86,"&lt;="&amp;$Q$1,'Form responses'!$G$2:$G86,$J$1)</f>
        <v>600</v>
      </c>
      <c r="F67" s="369">
        <f>sumifs('Form responses'!AL$2:AL86,'Form responses'!$C$2:$C86,"&gt;="&amp;$N$1,'Form responses'!$C$2:$C86,"&lt;="&amp;$Q$1,'Form responses'!$G$2:$G86,$J$1)</f>
        <v>300</v>
      </c>
      <c r="G67" s="369">
        <f>sumifs('Form responses'!AL$2:AL86,'Form responses'!$C$2:$C86,"&gt;="&amp;Date(YEAR(DATE(YEAR($N$1),MONTH($N$1)+(-3),1)),4,1),'Form responses'!$C$2:$C86,"&lt;="&amp;$Q$1,'Form responses'!$G$2:$G86,$J$1)</f>
        <v>300</v>
      </c>
      <c r="H67" s="369">
        <f t="shared" si="48"/>
        <v>300</v>
      </c>
      <c r="I67" s="372">
        <f>F67-J67</f>
        <v>123</v>
      </c>
      <c r="J67" s="372">
        <f>roundup((F67*0.59),0)</f>
        <v>177</v>
      </c>
      <c r="K67" s="369"/>
      <c r="L67" s="381"/>
      <c r="M67" s="381"/>
      <c r="N67" s="381"/>
      <c r="O67" s="382"/>
      <c r="P67" s="382"/>
      <c r="Q67" s="382"/>
      <c r="R67" s="383"/>
    </row>
    <row r="68" ht="35.25" customHeight="1">
      <c r="A68" s="357" t="s">
        <v>765</v>
      </c>
      <c r="B68" s="126"/>
      <c r="C68" s="370">
        <f>sumifs('Form responses'!AW2:AW86,
'Form responses'!$C$2:$C86,
"&lt;="&amp;$N$1,
'Form responses'!$G$2:$G86,$J$1)-(sumifs('Form responses'!AX2:AX86,
'Form responses'!$C$2:$C86,
"&lt;="&amp;$N$1,
'Form responses'!$G$2:$G86,$J$1))</f>
        <v>0</v>
      </c>
      <c r="D68" s="369">
        <f>sumifs('Form responses'!AW$2:AW86,'Form responses'!$C$2:$C86,"&gt;="&amp;$N$1,'Form responses'!$C$2:$C86,"&lt;="&amp;$Q$1,'Form responses'!$G$2:$G86,$J$1)</f>
        <v>0</v>
      </c>
      <c r="E68" s="369">
        <f>sumifs('Form responses'!AW$2:AW86,'Form responses'!$C$2:$C86,"&gt;="&amp;Date(YEAR(DATE(YEAR($N$1),MONTH($N$1)+(-3),1)),4,1),'Form responses'!$C$2:$C86,"&lt;="&amp;$Q$1,'Form responses'!$G$2:$G86,$J$1)</f>
        <v>0</v>
      </c>
      <c r="F68" s="369">
        <f>sumifs('Form responses'!AX$2:AX86,'Form responses'!$C$2:$C86,"&gt;="&amp;$N$1,'Form responses'!$C$2:$C86,"&lt;="&amp;$Q$1,'Form responses'!$G$2:$G86,$J$1)</f>
        <v>0</v>
      </c>
      <c r="G68" s="369">
        <f>sumifs('Form responses'!AX$2:AX86,'Form responses'!$C$2:$C86,"&gt;="&amp;Date(YEAR(DATE(YEAR($N$1),MONTH($N$1)+(-3),1)),4,1),'Form responses'!$C$2:$C86,"&lt;="&amp;$Q$1,'Form responses'!$G$2:$G86,$J$1)</f>
        <v>0</v>
      </c>
      <c r="H68" s="369">
        <f t="shared" si="48"/>
        <v>0</v>
      </c>
      <c r="I68" s="372">
        <f>F68</f>
        <v>0</v>
      </c>
      <c r="J68" s="372">
        <v>0.0</v>
      </c>
      <c r="K68" s="369"/>
      <c r="L68" s="381"/>
      <c r="M68" s="381"/>
      <c r="N68" s="381"/>
      <c r="O68" s="382"/>
      <c r="P68" s="382"/>
      <c r="Q68" s="382"/>
      <c r="R68" s="383"/>
    </row>
    <row r="69" ht="35.25" customHeight="1">
      <c r="A69" s="357" t="s">
        <v>766</v>
      </c>
      <c r="B69" s="126"/>
      <c r="C69" s="370">
        <f>sumifs('Form responses'!AH2:AH86,
'Form responses'!$C$2:$C86,
"&lt;="&amp;$N$1,
'Form responses'!$G$2:$G86,$J$1)-(sumifs('Form responses'!AI2:AI86,
'Form responses'!$C$2:$C86,
"&lt;="&amp;$N$1,
'Form responses'!$G$2:$G86,$J$1))</f>
        <v>79950</v>
      </c>
      <c r="D69" s="369">
        <f>sumifs('Form responses'!AH$2:AH86,'Form responses'!$C$2:$C86,"&gt;="&amp;$N$1,'Form responses'!$C$2:$C86,"&lt;="&amp;$Q$1,'Form responses'!$G$2:$G86,$J$1)</f>
        <v>0</v>
      </c>
      <c r="E69" s="369">
        <f>sumifs('Form responses'!AH$2:AH86,'Form responses'!$C$2:$C86,"&gt;="&amp;Date(YEAR(DATE(YEAR($N$1),MONTH($N$1)+(-3),1)),4,1),'Form responses'!$C$2:$C86,"&lt;="&amp;$Q$1,'Form responses'!$G$2:$G86,$J$1)</f>
        <v>0</v>
      </c>
      <c r="F69" s="369">
        <f>sumifs('Form responses'!AI$2:AI86,'Form responses'!$C$2:$C86,"&gt;="&amp;$N$1,'Form responses'!$C$2:$C86,"&lt;="&amp;$Q$1,'Form responses'!$G$2:$G86,$J$1)</f>
        <v>29850</v>
      </c>
      <c r="G69" s="369">
        <f>sumifs('Form responses'!AI$2:AI86,'Form responses'!$C$2:$C86,"&gt;="&amp;Date(YEAR(DATE(YEAR($N$1),MONTH($N$1)+(-3),1)),4,1),'Form responses'!$C$2:$C86,"&lt;="&amp;$Q$1,'Form responses'!$G$2:$G86,$J$1)</f>
        <v>29850</v>
      </c>
      <c r="H69" s="369">
        <f t="shared" ref="H69:H70" si="49">C69-F69</f>
        <v>50100</v>
      </c>
      <c r="I69" s="372">
        <f t="shared" ref="I69:I70" si="50">F69-J69</f>
        <v>12238</v>
      </c>
      <c r="J69" s="372">
        <f t="shared" ref="J69:J70" si="51">roundup((F69*0.59),0)</f>
        <v>17612</v>
      </c>
      <c r="K69" s="369"/>
      <c r="L69" s="381"/>
      <c r="M69" s="381"/>
      <c r="N69" s="381"/>
      <c r="O69" s="382"/>
      <c r="P69" s="382"/>
      <c r="Q69" s="382"/>
      <c r="R69" s="383"/>
    </row>
    <row r="70" ht="35.25" customHeight="1">
      <c r="A70" s="357" t="s">
        <v>767</v>
      </c>
      <c r="B70" s="126"/>
      <c r="C70" s="370">
        <f>sumifs('Form responses'!AN2:AN86,
'Form responses'!$C$2:$C86,
"&lt;="&amp;$N$1,
'Form responses'!$G$2:$G86,$J$1)-(sumifs('Form responses'!AO2:AO86,
'Form responses'!$C$2:$C86,
"&lt;="&amp;$N$1,
'Form responses'!$G$2:$G86,$J$1))</f>
        <v>2500</v>
      </c>
      <c r="D70" s="369">
        <f>sumifs('Form responses'!AN$2:AN86,'Form responses'!$C$2:$C86,"&gt;="&amp;$N$1,'Form responses'!$C$2:$C86,"&lt;="&amp;$Q$1,'Form responses'!$G$2:$G86,$J$1)</f>
        <v>0</v>
      </c>
      <c r="E70" s="369">
        <f>sumifs('Form responses'!AN$2:AN86,'Form responses'!$C$2:$C86,"&gt;="&amp;Date(YEAR(DATE(YEAR($N$1),MONTH($N$1)+(-3),1)),4,1),'Form responses'!$C$2:$C86,"&lt;="&amp;$Q$1,'Form responses'!$G$2:$G86,$J$1)</f>
        <v>0</v>
      </c>
      <c r="F70" s="369">
        <f>sumifs('Form responses'!AO$2:AO86,'Form responses'!$C$2:$C86,"&gt;="&amp;$N$1,'Form responses'!$C$2:$C86,"&lt;="&amp;$Q$1,'Form responses'!$G$2:$G86,$J$1)</f>
        <v>50</v>
      </c>
      <c r="G70" s="369">
        <f>sumifs('Form responses'!AO$2:AO86,'Form responses'!$C$2:$C86,"&gt;="&amp;Date(YEAR(DATE(YEAR($N$1),MONTH($N$1)+(-3),1)),4,1),'Form responses'!$C$2:$C86,"&lt;="&amp;$Q$1,'Form responses'!$G$2:$G86,$J$1)</f>
        <v>50</v>
      </c>
      <c r="H70" s="369">
        <f t="shared" si="49"/>
        <v>2450</v>
      </c>
      <c r="I70" s="372">
        <f t="shared" si="50"/>
        <v>20</v>
      </c>
      <c r="J70" s="372">
        <f t="shared" si="51"/>
        <v>30</v>
      </c>
      <c r="K70" s="372"/>
      <c r="L70" s="384"/>
      <c r="M70" s="381"/>
      <c r="N70" s="381"/>
      <c r="O70" s="382"/>
      <c r="P70" s="382"/>
      <c r="Q70" s="382"/>
      <c r="R70" s="383"/>
    </row>
    <row r="71" ht="35.25" customHeight="1">
      <c r="A71" s="357" t="s">
        <v>768</v>
      </c>
      <c r="B71" s="126"/>
      <c r="C71" s="370">
        <f>sumifs('Form responses'!AZ2:AZ86,
'Form responses'!$C$2:$C86,
"&lt;="&amp;$N$1,
'Form responses'!$G$2:$G86,$J$1)-(sumifs('Form responses'!BA2:BA86,
'Form responses'!$C$2:$C86,
"&lt;="&amp;$N$1,
'Form responses'!$G$2:$G86,$J$1))</f>
        <v>0</v>
      </c>
      <c r="D71" s="369">
        <f>sumifs('Form responses'!AZ$2:AZ86,'Form responses'!$C$2:$C86,"&gt;="&amp;$N$1,'Form responses'!$C$2:$C86,"&lt;="&amp;$Q$1,'Form responses'!$G$2:$G86,$J$1)</f>
        <v>0</v>
      </c>
      <c r="E71" s="369">
        <f>sumifs('Form responses'!AZ$2:AZ86,'Form responses'!$C$2:$C86,"&gt;="&amp;Date(YEAR(DATE(YEAR($N$1),MONTH($N$1)+(-3),1)),4,1),'Form responses'!$C$2:$C86,"&lt;="&amp;$Q$1,'Form responses'!$G$2:$G86,$J$1)</f>
        <v>0</v>
      </c>
      <c r="F71" s="369">
        <f>sumifs('Form responses'!BA$2:BA86,'Form responses'!$C$2:$C86,"&gt;="&amp;$N$1,'Form responses'!$C$2:$C86,"&lt;="&amp;$Q$1,'Form responses'!$G$2:$G86,$J$1)</f>
        <v>0</v>
      </c>
      <c r="G71" s="369">
        <f>sumifs('Form responses'!BA$2:BA86,'Form responses'!$C$2:$C86,"&gt;="&amp;Date(YEAR(DATE(YEAR($N$1),MONTH($N$1)+(-3),1)),4,1),'Form responses'!$C$2:$C86,"&lt;="&amp;$Q$1,'Form responses'!$G$2:$G86,$J$1)</f>
        <v>0</v>
      </c>
      <c r="H71" s="369">
        <f t="shared" ref="H71:H73" si="52">E71-G71</f>
        <v>0</v>
      </c>
      <c r="I71" s="372">
        <v>0.0</v>
      </c>
      <c r="J71" s="372">
        <v>0.0</v>
      </c>
      <c r="K71" s="369"/>
      <c r="L71" s="381"/>
      <c r="M71" s="381"/>
      <c r="N71" s="372"/>
      <c r="O71" s="385"/>
      <c r="P71" s="382"/>
      <c r="Q71" s="382"/>
      <c r="R71" s="383"/>
    </row>
    <row r="72" ht="35.25" customHeight="1">
      <c r="A72" s="357" t="s">
        <v>769</v>
      </c>
      <c r="B72" s="126"/>
      <c r="C72" s="370">
        <f>sumifs('Form responses'!AQ2:AQ86,
'Form responses'!$C$2:$C86,
"&lt;="&amp;$N$1,
'Form responses'!$G$2:$G86,$J$1)-(sumifs('Form responses'!AR2:AR86,
'Form responses'!$C$2:$C86,
"&lt;="&amp;$N$1,
'Form responses'!$G$2:$G86,$J$1))</f>
        <v>0</v>
      </c>
      <c r="D72" s="369">
        <f>sumifs('Form responses'!AQ$2:AQ86,'Form responses'!$C$2:$C86,"&gt;="&amp;$N$1,'Form responses'!$C$2:$C86,"&lt;="&amp;$Q$1,'Form responses'!$G$2:$G86,$J$1)</f>
        <v>9400</v>
      </c>
      <c r="E72" s="369">
        <f>sumifs('Form responses'!AQ$2:AQ86,'Form responses'!$C$2:$C86,"&gt;="&amp;Date(YEAR(DATE(YEAR($N$1),MONTH($N$1)+(-3),1)),4,1),'Form responses'!$C$2:$C86,"&lt;="&amp;$Q$1,'Form responses'!$G$2:$G86,$J$1)</f>
        <v>9400</v>
      </c>
      <c r="F72" s="369">
        <f>sumifs('Form responses'!AR$2:AR86,'Form responses'!$C$2:$C86,"&gt;="&amp;$N$1,'Form responses'!$C$2:$C86,"&lt;="&amp;$Q$1,'Form responses'!$G$2:$G86,$J$1)</f>
        <v>1900</v>
      </c>
      <c r="G72" s="369">
        <f>sumifs('Form responses'!AR$2:AR86,'Form responses'!$C$2:$C86,"&gt;="&amp;Date(YEAR(DATE(YEAR($N$1),MONTH($N$1)+(-3),1)),4,1),'Form responses'!$C$2:$C86,"&lt;="&amp;$Q$1,'Form responses'!$G$2:$G86,$J$1)</f>
        <v>1900</v>
      </c>
      <c r="H72" s="369">
        <f t="shared" si="52"/>
        <v>7500</v>
      </c>
      <c r="I72" s="372"/>
      <c r="J72" s="369"/>
      <c r="K72" s="369"/>
      <c r="L72" s="381"/>
      <c r="M72" s="381"/>
      <c r="N72" s="386">
        <f>F72-O72</f>
        <v>1596</v>
      </c>
      <c r="O72" s="386">
        <f>Roundup((F72*0.16),0)</f>
        <v>304</v>
      </c>
      <c r="P72" s="382"/>
      <c r="Q72" s="382"/>
      <c r="R72" s="383"/>
    </row>
    <row r="73" ht="35.25" customHeight="1">
      <c r="A73" s="357" t="s">
        <v>770</v>
      </c>
      <c r="B73" s="126"/>
      <c r="C73" s="370">
        <f>sumifs('Form responses'!AT2:AT86,
'Form responses'!$C$2:$C86,
"&lt;="&amp;$N$1,
'Form responses'!$G$2:$G86,$J$1)-(sumifs('Form responses'!AU2:AU86,
'Form responses'!$C$2:$C86,
"&lt;="&amp;$N$1,
'Form responses'!$G$2:$G86,$J$1))</f>
        <v>0</v>
      </c>
      <c r="D73" s="369">
        <f>sumifs('Form responses'!AT$2:AT86,'Form responses'!$C$2:$C86,"&gt;="&amp;$N$1,'Form responses'!$C$2:$C86,"&lt;="&amp;$Q$1,'Form responses'!$G$2:$G86,$J$1)</f>
        <v>0</v>
      </c>
      <c r="E73" s="369">
        <f>sumifs('Form responses'!AT$2:AT86,'Form responses'!$C$2:$C86,"&gt;="&amp;Date(YEAR(DATE(YEAR($N$1),MONTH($N$1)+(-3),1)),4,1),'Form responses'!$C$2:$C86,"&lt;="&amp;$Q$1,'Form responses'!$G$2:$G86,$J$1)</f>
        <v>0</v>
      </c>
      <c r="F73" s="369">
        <f>sumifs('Form responses'!AU$2:AU86,'Form responses'!$C$2:$C86,"&gt;="&amp;$N$1,'Form responses'!$C$2:$C86,"&lt;="&amp;$Q$1,'Form responses'!$G$2:$G86,$J$1)</f>
        <v>0</v>
      </c>
      <c r="G73" s="369">
        <f>sumifs('Form responses'!AU$2:AU86,'Form responses'!$C$2:$C86,"&gt;="&amp;Date(YEAR(DATE(YEAR($N$1),MONTH($N$1)+(-3),1)),4,1),'Form responses'!$C$2:$C86,"&lt;="&amp;$Q$1,'Form responses'!$G$2:$G86,$J$1)</f>
        <v>0</v>
      </c>
      <c r="H73" s="369">
        <f t="shared" si="52"/>
        <v>0</v>
      </c>
      <c r="I73" s="369"/>
      <c r="J73" s="369"/>
      <c r="K73" s="369"/>
      <c r="L73" s="381"/>
      <c r="M73" s="381"/>
      <c r="N73" s="381"/>
      <c r="O73" s="382"/>
      <c r="P73" s="382"/>
      <c r="Q73" s="382"/>
      <c r="R73" s="383"/>
    </row>
    <row r="74" ht="35.25" customHeight="1">
      <c r="A74" s="357" t="s">
        <v>771</v>
      </c>
      <c r="B74" s="126"/>
      <c r="C74" s="387"/>
      <c r="D74" s="381"/>
      <c r="E74" s="381"/>
      <c r="F74" s="381"/>
      <c r="G74" s="381"/>
      <c r="H74" s="381"/>
      <c r="I74" s="381"/>
      <c r="J74" s="381"/>
      <c r="K74" s="381"/>
      <c r="L74" s="381"/>
      <c r="M74" s="381"/>
      <c r="N74" s="381"/>
      <c r="O74" s="382"/>
      <c r="P74" s="382"/>
      <c r="Q74" s="382"/>
      <c r="R74" s="383"/>
    </row>
    <row r="75" ht="35.25" customHeight="1">
      <c r="A75" s="357" t="s">
        <v>772</v>
      </c>
      <c r="B75" s="126"/>
      <c r="C75" s="387"/>
      <c r="D75" s="381"/>
      <c r="E75" s="381"/>
      <c r="F75" s="381"/>
      <c r="G75" s="381"/>
      <c r="H75" s="381"/>
      <c r="I75" s="381"/>
      <c r="J75" s="381"/>
      <c r="K75" s="381"/>
      <c r="L75" s="381"/>
      <c r="M75" s="381"/>
      <c r="N75" s="381"/>
      <c r="O75" s="382"/>
      <c r="P75" s="382"/>
      <c r="Q75" s="382"/>
      <c r="R75" s="383"/>
    </row>
    <row r="76" ht="35.25" customHeight="1">
      <c r="A76" s="357" t="s">
        <v>773</v>
      </c>
      <c r="B76" s="126"/>
      <c r="C76" s="387"/>
      <c r="D76" s="381"/>
      <c r="E76" s="381"/>
      <c r="F76" s="381"/>
      <c r="G76" s="381"/>
      <c r="H76" s="381"/>
      <c r="I76" s="381"/>
      <c r="J76" s="381"/>
      <c r="K76" s="381"/>
      <c r="L76" s="381"/>
      <c r="M76" s="381"/>
      <c r="N76" s="381"/>
      <c r="O76" s="382"/>
      <c r="P76" s="382"/>
      <c r="Q76" s="382"/>
      <c r="R76" s="383"/>
    </row>
    <row r="77" ht="35.25" customHeight="1">
      <c r="A77" s="357" t="s">
        <v>774</v>
      </c>
      <c r="B77" s="126"/>
      <c r="C77" s="388"/>
      <c r="D77" s="382"/>
      <c r="E77" s="382"/>
      <c r="F77" s="382"/>
      <c r="G77" s="382"/>
      <c r="H77" s="382"/>
      <c r="I77" s="382"/>
      <c r="J77" s="382"/>
      <c r="K77" s="382"/>
      <c r="L77" s="382"/>
      <c r="M77" s="382"/>
      <c r="N77" s="382"/>
      <c r="O77" s="382"/>
      <c r="P77" s="382"/>
      <c r="Q77" s="382"/>
      <c r="R77" s="383"/>
    </row>
    <row r="78" ht="32.25" customHeight="1">
      <c r="A78" s="389" t="s">
        <v>674</v>
      </c>
      <c r="B78" s="125"/>
      <c r="C78" s="125"/>
      <c r="D78" s="125"/>
      <c r="E78" s="125"/>
      <c r="F78" s="125"/>
      <c r="G78" s="125"/>
      <c r="H78" s="126"/>
      <c r="I78" s="383"/>
      <c r="J78" s="383"/>
      <c r="K78" s="383"/>
      <c r="L78" s="383"/>
      <c r="M78" s="383"/>
      <c r="N78" s="383"/>
      <c r="O78" s="383"/>
      <c r="P78" s="383"/>
      <c r="Q78" s="383"/>
      <c r="R78" s="383"/>
    </row>
    <row r="79" ht="32.25" customHeight="1">
      <c r="A79" s="389" t="s">
        <v>631</v>
      </c>
      <c r="B79" s="125"/>
      <c r="C79" s="125"/>
      <c r="D79" s="125"/>
      <c r="E79" s="125"/>
      <c r="F79" s="125"/>
      <c r="G79" s="125"/>
      <c r="H79" s="126"/>
      <c r="I79" s="383"/>
      <c r="J79" s="383"/>
      <c r="K79" s="383"/>
      <c r="L79" s="383"/>
      <c r="M79" s="383"/>
      <c r="N79" s="383"/>
      <c r="O79" s="383"/>
      <c r="P79" s="383"/>
      <c r="Q79" s="383"/>
      <c r="R79" s="383"/>
    </row>
    <row r="80" ht="17.25" customHeight="1">
      <c r="A80" s="390"/>
      <c r="B80" s="390"/>
      <c r="C80" s="391"/>
      <c r="D80" s="392"/>
      <c r="E80" s="392"/>
      <c r="F80" s="392"/>
      <c r="G80" s="392"/>
      <c r="H80" s="392"/>
      <c r="I80" s="393"/>
      <c r="J80" s="393"/>
      <c r="K80" s="393"/>
      <c r="L80" s="393"/>
      <c r="M80" s="393"/>
      <c r="N80" s="393"/>
      <c r="O80" s="393"/>
      <c r="P80" s="393"/>
      <c r="Q80" s="393"/>
      <c r="R80" s="393"/>
    </row>
    <row r="81" ht="61.5" customHeight="1">
      <c r="A81" s="394" t="str">
        <f>"CERTIFICATE
This is to certify that the Monthly Work Done Report of Tehsil "&amp;J1&amp;" for the month of "&amp;text(Q1,"mmmm")&amp;" has been thoroughly checked and verified. The entries mentioned in the report are accurate, complete, and true as per the official records maintained at this office."</f>
        <v>CERTIFICATE
This is to certify that the Monthly Work Done Report of Tehsil Talwandi Sabo for the month of April has been thoroughly checked and verified. The entries mentioned in the report are accurate, complete, and true as per the official records maintained at this office.</v>
      </c>
    </row>
    <row r="82" ht="17.25" customHeight="1">
      <c r="A82" s="395" t="s">
        <v>1</v>
      </c>
      <c r="B82" s="396">
        <f>TODAY()</f>
        <v>46152</v>
      </c>
      <c r="D82" s="397"/>
      <c r="E82" s="397"/>
      <c r="F82" s="397"/>
      <c r="G82" s="397"/>
      <c r="H82" s="397"/>
      <c r="I82" s="397"/>
      <c r="J82" s="397"/>
      <c r="K82" s="397"/>
      <c r="L82" s="397"/>
      <c r="M82" s="397"/>
      <c r="N82" s="397"/>
      <c r="O82" s="397"/>
      <c r="P82" s="397"/>
      <c r="Q82" s="397"/>
      <c r="R82" s="397"/>
    </row>
    <row r="83" ht="17.25" customHeight="1">
      <c r="A83" s="398"/>
      <c r="B83" s="399"/>
      <c r="C83" s="399"/>
      <c r="D83" s="400"/>
      <c r="E83" s="400"/>
      <c r="F83" s="400"/>
      <c r="G83" s="400"/>
      <c r="H83" s="400"/>
      <c r="I83" s="400"/>
      <c r="J83" s="400"/>
      <c r="K83" s="400"/>
      <c r="L83" s="400"/>
      <c r="M83" s="400"/>
      <c r="N83" s="400"/>
      <c r="O83" s="400"/>
      <c r="P83" s="400"/>
      <c r="Q83" s="400"/>
      <c r="R83" s="400"/>
    </row>
    <row r="84" ht="17.25" customHeight="1">
      <c r="A84" s="401" t="s">
        <v>775</v>
      </c>
    </row>
    <row r="85" ht="17.25" customHeight="1">
      <c r="A85" s="401" t="str">
        <f>VLOOKUP(J1,Credentials!C2:H40,3,false)</f>
        <v>Dr. Harshit</v>
      </c>
    </row>
    <row r="86" ht="17.25" customHeight="1">
      <c r="A86" s="401">
        <f>VLOOKUP(J1,Credentials!C2:H40,5,false)</f>
        <v>9417575128</v>
      </c>
    </row>
  </sheetData>
  <mergeCells count="89">
    <mergeCell ref="B44:C44"/>
    <mergeCell ref="C47:E47"/>
    <mergeCell ref="G47:H47"/>
    <mergeCell ref="J47:L47"/>
    <mergeCell ref="N47:O47"/>
    <mergeCell ref="Q47:R47"/>
    <mergeCell ref="A48:R48"/>
    <mergeCell ref="A47:B47"/>
    <mergeCell ref="A49:A50"/>
    <mergeCell ref="E49:E50"/>
    <mergeCell ref="F49:F50"/>
    <mergeCell ref="G49:I49"/>
    <mergeCell ref="J49:L49"/>
    <mergeCell ref="M49:N50"/>
    <mergeCell ref="H59:H60"/>
    <mergeCell ref="I59:L59"/>
    <mergeCell ref="M59:P59"/>
    <mergeCell ref="Q59:R59"/>
    <mergeCell ref="O49:P50"/>
    <mergeCell ref="Q49:R50"/>
    <mergeCell ref="B58:F58"/>
    <mergeCell ref="G58:R58"/>
    <mergeCell ref="C59:C60"/>
    <mergeCell ref="D59:D60"/>
    <mergeCell ref="E59:E60"/>
    <mergeCell ref="B3:B4"/>
    <mergeCell ref="B5:B20"/>
    <mergeCell ref="A58:A60"/>
    <mergeCell ref="B59:B60"/>
    <mergeCell ref="A64:B65"/>
    <mergeCell ref="A66:B66"/>
    <mergeCell ref="A67:B67"/>
    <mergeCell ref="A75:B75"/>
    <mergeCell ref="A76:B76"/>
    <mergeCell ref="A77:B77"/>
    <mergeCell ref="A68:B68"/>
    <mergeCell ref="A69:B69"/>
    <mergeCell ref="A70:B70"/>
    <mergeCell ref="A71:B71"/>
    <mergeCell ref="A72:B72"/>
    <mergeCell ref="A73:B73"/>
    <mergeCell ref="A74:B74"/>
    <mergeCell ref="Q1:R1"/>
    <mergeCell ref="Q2:R2"/>
    <mergeCell ref="P3:R3"/>
    <mergeCell ref="J1:L1"/>
    <mergeCell ref="N1:O1"/>
    <mergeCell ref="A2:B2"/>
    <mergeCell ref="C2:E2"/>
    <mergeCell ref="G2:H2"/>
    <mergeCell ref="J2:L2"/>
    <mergeCell ref="N2:O2"/>
    <mergeCell ref="J3:J4"/>
    <mergeCell ref="K3:K4"/>
    <mergeCell ref="L3:L4"/>
    <mergeCell ref="M3:N3"/>
    <mergeCell ref="O3:O4"/>
    <mergeCell ref="A3:A4"/>
    <mergeCell ref="C3:C4"/>
    <mergeCell ref="D3:D4"/>
    <mergeCell ref="E3:E4"/>
    <mergeCell ref="F3:F4"/>
    <mergeCell ref="G3:I3"/>
    <mergeCell ref="A5:A30"/>
    <mergeCell ref="B30:C30"/>
    <mergeCell ref="B21:B28"/>
    <mergeCell ref="B29:C29"/>
    <mergeCell ref="A31:A44"/>
    <mergeCell ref="B31:B36"/>
    <mergeCell ref="B37:B42"/>
    <mergeCell ref="B43:C43"/>
    <mergeCell ref="A46:R46"/>
    <mergeCell ref="F59:F60"/>
    <mergeCell ref="G59:G60"/>
    <mergeCell ref="A63:R63"/>
    <mergeCell ref="C64:C65"/>
    <mergeCell ref="D64:D65"/>
    <mergeCell ref="E64:E65"/>
    <mergeCell ref="F64:F65"/>
    <mergeCell ref="I64:R64"/>
    <mergeCell ref="A85:R85"/>
    <mergeCell ref="A86:R86"/>
    <mergeCell ref="G64:G65"/>
    <mergeCell ref="H64:H65"/>
    <mergeCell ref="A78:H78"/>
    <mergeCell ref="A79:H79"/>
    <mergeCell ref="A81:R81"/>
    <mergeCell ref="B82:C82"/>
    <mergeCell ref="A84:R84"/>
  </mergeCells>
  <dataValidations>
    <dataValidation type="custom" allowBlank="1" showDropDown="1" showInputMessage="1" showErrorMessage="1" prompt="Enter a valid date" sqref="Q1">
      <formula1>OR(NOT(ISERROR(DATEVALUE(Q1))), AND(ISNUMBER(Q1), LEFT(CELL("format", Q1))="D"))</formula1>
    </dataValidation>
    <dataValidation type="custom" allowBlank="1" showDropDown="1" showInputMessage="1" prompt="Enter a valid date" sqref="N1">
      <formula1>OR(NOT(ISERROR(DATEVALUE(N1))), AND(ISNUMBER(N1), LEFT(CELL("format", N1))="D"))</formula1>
    </dataValidation>
    <dataValidation type="list" allowBlank="1" showErrorMessage="1" sqref="J1">
      <formula1>Credentials!$W$3:$W86</formula1>
    </dataValidation>
  </dataValidations>
  <printOptions gridLines="1" horizontalCentered="1"/>
  <pageMargins bottom="0.75" footer="0.0" header="0.0" left="0.25" right="0.25" top="0.75"/>
  <pageSetup paperSize="9" cellComments="atEnd" orientation="portrait" pageOrder="overThenDown"/>
  <rowBreaks count="3" manualBreakCount="3">
    <brk man="1"/>
    <brk id="86" man="1"/>
    <brk id="45" man="1"/>
  </rowBreaks>
  <colBreaks count="2" manualBreakCount="2">
    <brk man="1"/>
    <brk id="18" man="1"/>
  </col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88"/>
    <col customWidth="1" min="2" max="2" width="4.0"/>
    <col customWidth="1" min="3" max="3" width="31.0"/>
    <col customWidth="1" min="4" max="5" width="14.0"/>
    <col customWidth="1" min="6" max="6" width="5.5"/>
    <col customWidth="1" min="7" max="7" width="4.5"/>
    <col customWidth="1" min="8" max="8" width="29.63"/>
    <col customWidth="1" min="9" max="9" width="14.38"/>
    <col customWidth="1" min="10" max="10" width="15.75"/>
  </cols>
  <sheetData>
    <row r="1">
      <c r="A1" s="402" t="s">
        <v>696</v>
      </c>
      <c r="B1" s="125"/>
      <c r="C1" s="125"/>
      <c r="D1" s="125"/>
      <c r="E1" s="125"/>
      <c r="F1" s="125"/>
      <c r="G1" s="125"/>
      <c r="H1" s="125"/>
      <c r="I1" s="125"/>
      <c r="J1" s="126"/>
    </row>
    <row r="2">
      <c r="A2" s="403" t="s">
        <v>642</v>
      </c>
      <c r="B2" s="126"/>
      <c r="C2" s="404"/>
      <c r="D2" s="405"/>
      <c r="E2" s="405"/>
      <c r="F2" s="403" t="s">
        <v>776</v>
      </c>
      <c r="G2" s="125"/>
      <c r="H2" s="125"/>
      <c r="I2" s="125"/>
      <c r="J2" s="126"/>
    </row>
    <row r="3">
      <c r="A3" s="406" t="s">
        <v>777</v>
      </c>
      <c r="B3" s="125"/>
      <c r="C3" s="125"/>
      <c r="D3" s="125"/>
      <c r="E3" s="125"/>
      <c r="F3" s="125"/>
      <c r="G3" s="126"/>
      <c r="H3" s="407" t="s">
        <v>778</v>
      </c>
      <c r="I3" s="408"/>
      <c r="J3" s="408"/>
    </row>
    <row r="4" ht="20.25" customHeight="1">
      <c r="A4" s="409" t="s">
        <v>779</v>
      </c>
      <c r="B4" s="410" t="s">
        <v>780</v>
      </c>
      <c r="C4" s="354"/>
      <c r="D4" s="411" t="s">
        <v>781</v>
      </c>
      <c r="E4" s="126"/>
      <c r="F4" s="409" t="s">
        <v>779</v>
      </c>
      <c r="G4" s="410" t="s">
        <v>780</v>
      </c>
      <c r="H4" s="354"/>
      <c r="I4" s="411" t="s">
        <v>781</v>
      </c>
      <c r="J4" s="126"/>
    </row>
    <row r="5" ht="20.25" customHeight="1">
      <c r="A5" s="322"/>
      <c r="B5" s="355"/>
      <c r="C5" s="315"/>
      <c r="D5" s="412" t="s">
        <v>556</v>
      </c>
      <c r="E5" s="412" t="s">
        <v>629</v>
      </c>
      <c r="F5" s="322"/>
      <c r="G5" s="355"/>
      <c r="H5" s="315"/>
      <c r="I5" s="412" t="s">
        <v>556</v>
      </c>
      <c r="J5" s="412" t="s">
        <v>629</v>
      </c>
    </row>
    <row r="6" ht="20.25" customHeight="1">
      <c r="A6" s="413">
        <v>1.0</v>
      </c>
      <c r="B6" s="414" t="s">
        <v>782</v>
      </c>
      <c r="C6" s="126"/>
      <c r="D6" s="415">
        <v>247.0</v>
      </c>
      <c r="E6" s="415">
        <v>247.0</v>
      </c>
      <c r="F6" s="413">
        <v>20.0</v>
      </c>
      <c r="G6" s="416" t="s">
        <v>746</v>
      </c>
      <c r="H6" s="417" t="s">
        <v>783</v>
      </c>
      <c r="I6" s="418"/>
      <c r="J6" s="418"/>
    </row>
    <row r="7" ht="20.25" customHeight="1">
      <c r="A7" s="413">
        <v>2.0</v>
      </c>
      <c r="B7" s="414" t="s">
        <v>784</v>
      </c>
      <c r="C7" s="126"/>
      <c r="D7" s="415">
        <v>228.0</v>
      </c>
      <c r="E7" s="415">
        <v>228.0</v>
      </c>
      <c r="F7" s="413">
        <v>21.0</v>
      </c>
      <c r="G7" s="331"/>
      <c r="H7" s="417" t="s">
        <v>785</v>
      </c>
      <c r="I7" s="418"/>
      <c r="J7" s="418"/>
    </row>
    <row r="8" ht="20.25" customHeight="1">
      <c r="A8" s="413">
        <v>3.0</v>
      </c>
      <c r="B8" s="414" t="s">
        <v>786</v>
      </c>
      <c r="C8" s="126"/>
      <c r="D8" s="415">
        <v>83.0</v>
      </c>
      <c r="E8" s="415">
        <v>83.0</v>
      </c>
      <c r="F8" s="413">
        <v>22.0</v>
      </c>
      <c r="G8" s="331"/>
      <c r="H8" s="417" t="s">
        <v>787</v>
      </c>
      <c r="I8" s="418"/>
      <c r="J8" s="418"/>
    </row>
    <row r="9" ht="20.25" customHeight="1">
      <c r="A9" s="413">
        <v>4.0</v>
      </c>
      <c r="B9" s="414" t="s">
        <v>788</v>
      </c>
      <c r="C9" s="126"/>
      <c r="D9" s="415">
        <v>108.0</v>
      </c>
      <c r="E9" s="415">
        <v>108.0</v>
      </c>
      <c r="F9" s="413">
        <v>23.0</v>
      </c>
      <c r="G9" s="331"/>
      <c r="H9" s="417" t="s">
        <v>789</v>
      </c>
      <c r="I9" s="415">
        <v>6220.0</v>
      </c>
      <c r="J9" s="415">
        <v>6220.0</v>
      </c>
    </row>
    <row r="10" ht="20.25" customHeight="1">
      <c r="A10" s="413">
        <v>5.0</v>
      </c>
      <c r="B10" s="419" t="s">
        <v>790</v>
      </c>
      <c r="C10" s="417" t="s">
        <v>711</v>
      </c>
      <c r="D10" s="415">
        <v>0.0</v>
      </c>
      <c r="E10" s="415">
        <v>0.0</v>
      </c>
      <c r="F10" s="413">
        <v>24.0</v>
      </c>
      <c r="G10" s="331"/>
      <c r="H10" s="417" t="s">
        <v>767</v>
      </c>
      <c r="I10" s="415">
        <v>620.0</v>
      </c>
      <c r="J10" s="415">
        <v>620.0</v>
      </c>
    </row>
    <row r="11" ht="20.25" customHeight="1">
      <c r="A11" s="413">
        <v>6.0</v>
      </c>
      <c r="B11" s="331"/>
      <c r="C11" s="417" t="s">
        <v>713</v>
      </c>
      <c r="D11" s="415">
        <v>867.0</v>
      </c>
      <c r="E11" s="415">
        <v>867.0</v>
      </c>
      <c r="F11" s="413">
        <v>25.0</v>
      </c>
      <c r="G11" s="331"/>
      <c r="H11" s="417" t="s">
        <v>791</v>
      </c>
      <c r="I11" s="418"/>
      <c r="J11" s="418"/>
    </row>
    <row r="12" ht="20.25" customHeight="1">
      <c r="A12" s="413">
        <v>7.0</v>
      </c>
      <c r="B12" s="331"/>
      <c r="C12" s="417" t="s">
        <v>725</v>
      </c>
      <c r="D12" s="415">
        <v>77.0</v>
      </c>
      <c r="E12" s="415">
        <v>77.0</v>
      </c>
      <c r="F12" s="413">
        <v>26.0</v>
      </c>
      <c r="G12" s="331"/>
      <c r="H12" s="417" t="s">
        <v>792</v>
      </c>
      <c r="I12" s="418"/>
      <c r="J12" s="418"/>
    </row>
    <row r="13" ht="20.25" customHeight="1">
      <c r="A13" s="413">
        <v>8.0</v>
      </c>
      <c r="B13" s="322"/>
      <c r="C13" s="417" t="s">
        <v>793</v>
      </c>
      <c r="D13" s="415">
        <v>51.0</v>
      </c>
      <c r="E13" s="415">
        <v>51.0</v>
      </c>
      <c r="F13" s="413">
        <v>27.0</v>
      </c>
      <c r="G13" s="331"/>
      <c r="H13" s="417" t="s">
        <v>794</v>
      </c>
      <c r="I13" s="418"/>
      <c r="J13" s="418"/>
    </row>
    <row r="14" ht="20.25" customHeight="1">
      <c r="A14" s="413">
        <v>9.0</v>
      </c>
      <c r="B14" s="414" t="s">
        <v>795</v>
      </c>
      <c r="C14" s="126"/>
      <c r="D14" s="415">
        <v>2.0</v>
      </c>
      <c r="E14" s="415">
        <v>2.0</v>
      </c>
      <c r="F14" s="413">
        <v>28.0</v>
      </c>
      <c r="G14" s="331"/>
      <c r="H14" s="417" t="s">
        <v>771</v>
      </c>
      <c r="I14" s="418"/>
      <c r="J14" s="418"/>
    </row>
    <row r="15" ht="20.25" customHeight="1">
      <c r="A15" s="413">
        <v>10.0</v>
      </c>
      <c r="B15" s="414" t="s">
        <v>796</v>
      </c>
      <c r="C15" s="126"/>
      <c r="D15" s="415">
        <v>0.0</v>
      </c>
      <c r="E15" s="415">
        <v>0.0</v>
      </c>
      <c r="F15" s="413">
        <v>29.0</v>
      </c>
      <c r="G15" s="331"/>
      <c r="H15" s="417" t="s">
        <v>772</v>
      </c>
      <c r="I15" s="418"/>
      <c r="J15" s="418"/>
    </row>
    <row r="16" ht="20.25" customHeight="1">
      <c r="A16" s="413">
        <v>11.0</v>
      </c>
      <c r="B16" s="414" t="s">
        <v>797</v>
      </c>
      <c r="C16" s="126"/>
      <c r="D16" s="415">
        <v>0.0</v>
      </c>
      <c r="E16" s="415">
        <v>0.0</v>
      </c>
      <c r="F16" s="413">
        <v>30.0</v>
      </c>
      <c r="G16" s="331"/>
      <c r="H16" s="417" t="s">
        <v>773</v>
      </c>
      <c r="I16" s="418"/>
      <c r="J16" s="418"/>
    </row>
    <row r="17" ht="20.25" customHeight="1">
      <c r="A17" s="413">
        <v>12.0</v>
      </c>
      <c r="B17" s="414" t="s">
        <v>798</v>
      </c>
      <c r="C17" s="126"/>
      <c r="D17" s="415">
        <v>0.0</v>
      </c>
      <c r="E17" s="415">
        <v>0.0</v>
      </c>
      <c r="F17" s="413">
        <v>31.0</v>
      </c>
      <c r="G17" s="322"/>
      <c r="H17" s="417" t="s">
        <v>774</v>
      </c>
      <c r="I17" s="418"/>
      <c r="J17" s="418"/>
    </row>
    <row r="18" ht="20.25" customHeight="1">
      <c r="A18" s="413">
        <v>13.0</v>
      </c>
      <c r="B18" s="414" t="s">
        <v>799</v>
      </c>
      <c r="C18" s="126"/>
      <c r="D18" s="415">
        <v>0.0</v>
      </c>
      <c r="E18" s="415">
        <v>0.0</v>
      </c>
      <c r="F18" s="413">
        <v>32.0</v>
      </c>
      <c r="G18" s="416" t="s">
        <v>800</v>
      </c>
      <c r="H18" s="417" t="s">
        <v>502</v>
      </c>
      <c r="I18" s="415">
        <v>2.0</v>
      </c>
      <c r="J18" s="415">
        <v>2.0</v>
      </c>
    </row>
    <row r="19" ht="20.25" customHeight="1">
      <c r="A19" s="413">
        <v>14.0</v>
      </c>
      <c r="B19" s="414" t="s">
        <v>703</v>
      </c>
      <c r="C19" s="126"/>
      <c r="D19" s="415">
        <v>7.0</v>
      </c>
      <c r="E19" s="415">
        <v>7.0</v>
      </c>
      <c r="F19" s="413">
        <v>33.0</v>
      </c>
      <c r="G19" s="331"/>
      <c r="H19" s="417" t="s">
        <v>501</v>
      </c>
      <c r="I19" s="415">
        <v>2.0</v>
      </c>
      <c r="J19" s="415">
        <v>2.0</v>
      </c>
    </row>
    <row r="20" ht="20.25" customHeight="1">
      <c r="A20" s="413">
        <v>15.0</v>
      </c>
      <c r="B20" s="414" t="s">
        <v>565</v>
      </c>
      <c r="C20" s="126"/>
      <c r="D20" s="415">
        <v>0.0</v>
      </c>
      <c r="E20" s="415">
        <v>0.0</v>
      </c>
      <c r="F20" s="413">
        <v>34.0</v>
      </c>
      <c r="G20" s="331"/>
      <c r="H20" s="417" t="s">
        <v>504</v>
      </c>
      <c r="I20" s="415">
        <v>20.0</v>
      </c>
      <c r="J20" s="415">
        <v>20.0</v>
      </c>
    </row>
    <row r="21" ht="20.25" customHeight="1">
      <c r="A21" s="413">
        <v>16.0</v>
      </c>
      <c r="B21" s="414" t="s">
        <v>705</v>
      </c>
      <c r="C21" s="126"/>
      <c r="D21" s="415">
        <v>0.0</v>
      </c>
      <c r="E21" s="415">
        <v>0.0</v>
      </c>
      <c r="F21" s="413">
        <v>35.0</v>
      </c>
      <c r="G21" s="322"/>
      <c r="H21" s="417" t="s">
        <v>503</v>
      </c>
      <c r="I21" s="415">
        <v>0.0</v>
      </c>
      <c r="J21" s="415">
        <v>0.0</v>
      </c>
    </row>
    <row r="22" ht="20.25" customHeight="1">
      <c r="A22" s="413">
        <v>17.0</v>
      </c>
      <c r="B22" s="414" t="s">
        <v>801</v>
      </c>
      <c r="C22" s="126"/>
      <c r="D22" s="415">
        <v>2.0</v>
      </c>
      <c r="E22" s="415">
        <v>2.0</v>
      </c>
      <c r="F22" s="413">
        <v>36.0</v>
      </c>
      <c r="G22" s="414"/>
      <c r="H22" s="126"/>
      <c r="I22" s="418"/>
      <c r="J22" s="418"/>
    </row>
    <row r="23" ht="20.25" customHeight="1">
      <c r="A23" s="413">
        <v>18.0</v>
      </c>
      <c r="B23" s="414" t="s">
        <v>802</v>
      </c>
      <c r="C23" s="126"/>
      <c r="D23" s="415">
        <v>2.0</v>
      </c>
      <c r="E23" s="415">
        <v>2.0</v>
      </c>
      <c r="F23" s="413">
        <v>37.0</v>
      </c>
      <c r="G23" s="414"/>
      <c r="H23" s="126"/>
      <c r="I23" s="418"/>
      <c r="J23" s="418"/>
    </row>
    <row r="24" ht="20.25" customHeight="1">
      <c r="A24" s="413">
        <v>19.0</v>
      </c>
      <c r="B24" s="414" t="s">
        <v>803</v>
      </c>
      <c r="C24" s="126"/>
      <c r="D24" s="415">
        <v>0.0</v>
      </c>
      <c r="E24" s="415">
        <v>0.0</v>
      </c>
      <c r="F24" s="413">
        <v>38.0</v>
      </c>
      <c r="G24" s="414"/>
      <c r="H24" s="126"/>
      <c r="I24" s="418"/>
      <c r="J24" s="418"/>
    </row>
    <row r="25" ht="20.25" customHeight="1">
      <c r="A25" s="420"/>
      <c r="B25" s="421" t="s">
        <v>566</v>
      </c>
      <c r="C25" s="125"/>
      <c r="D25" s="125"/>
      <c r="E25" s="125"/>
      <c r="F25" s="125"/>
      <c r="G25" s="125"/>
      <c r="H25" s="126"/>
      <c r="I25" s="418">
        <f t="shared" ref="I25:J25" si="1">SUM(I6:I24)+SUM(D6:D24)</f>
        <v>8538</v>
      </c>
      <c r="J25" s="418">
        <f t="shared" si="1"/>
        <v>8538</v>
      </c>
    </row>
  </sheetData>
  <mergeCells count="32">
    <mergeCell ref="F4:F5"/>
    <mergeCell ref="G4:H5"/>
    <mergeCell ref="G6:G17"/>
    <mergeCell ref="G18:G21"/>
    <mergeCell ref="G22:H22"/>
    <mergeCell ref="G23:H23"/>
    <mergeCell ref="G24:H24"/>
    <mergeCell ref="A1:J1"/>
    <mergeCell ref="A2:B2"/>
    <mergeCell ref="F2:J2"/>
    <mergeCell ref="A3:G3"/>
    <mergeCell ref="A4:A5"/>
    <mergeCell ref="D4:E4"/>
    <mergeCell ref="I4:J4"/>
    <mergeCell ref="B4:C5"/>
    <mergeCell ref="B6:C6"/>
    <mergeCell ref="B7:C7"/>
    <mergeCell ref="B8:C8"/>
    <mergeCell ref="B9:C9"/>
    <mergeCell ref="B10:B13"/>
    <mergeCell ref="B14:C14"/>
    <mergeCell ref="B22:C22"/>
    <mergeCell ref="B23:C23"/>
    <mergeCell ref="B24:C24"/>
    <mergeCell ref="B25:H25"/>
    <mergeCell ref="B15:C15"/>
    <mergeCell ref="B16:C16"/>
    <mergeCell ref="B17:C17"/>
    <mergeCell ref="B18:C18"/>
    <mergeCell ref="B19:C19"/>
    <mergeCell ref="B20:C20"/>
    <mergeCell ref="B21:C21"/>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7.13"/>
    <col customWidth="1" min="2" max="2" width="25.0"/>
    <col customWidth="1" min="3" max="19" width="9.25"/>
    <col customWidth="1" min="20" max="20" width="10.38"/>
  </cols>
  <sheetData>
    <row r="1" ht="35.25" customHeight="1">
      <c r="A1" s="422"/>
      <c r="B1" s="423"/>
      <c r="C1" s="424" t="s">
        <v>804</v>
      </c>
      <c r="L1" s="424" t="s">
        <v>508</v>
      </c>
      <c r="M1" s="425">
        <v>46113.0</v>
      </c>
      <c r="O1" s="426" t="s">
        <v>509</v>
      </c>
      <c r="P1" s="425">
        <v>46142.0</v>
      </c>
      <c r="R1" s="427"/>
      <c r="S1" s="427"/>
      <c r="T1" s="427"/>
    </row>
    <row r="2" ht="36.0" customHeight="1">
      <c r="A2" s="428" t="s">
        <v>805</v>
      </c>
      <c r="B2" s="429" t="s">
        <v>806</v>
      </c>
      <c r="C2" s="430" t="s">
        <v>559</v>
      </c>
      <c r="D2" s="431" t="s">
        <v>560</v>
      </c>
      <c r="E2" s="431" t="s">
        <v>561</v>
      </c>
      <c r="F2" s="431" t="s">
        <v>562</v>
      </c>
      <c r="G2" s="431" t="s">
        <v>563</v>
      </c>
      <c r="H2" s="431" t="s">
        <v>564</v>
      </c>
      <c r="I2" s="431" t="s">
        <v>565</v>
      </c>
      <c r="J2" s="431" t="s">
        <v>566</v>
      </c>
      <c r="K2" s="432" t="s">
        <v>567</v>
      </c>
      <c r="L2" s="432" t="s">
        <v>568</v>
      </c>
      <c r="M2" s="433" t="s">
        <v>807</v>
      </c>
      <c r="N2" s="433" t="s">
        <v>19</v>
      </c>
      <c r="O2" s="432" t="s">
        <v>566</v>
      </c>
      <c r="P2" s="432" t="s">
        <v>570</v>
      </c>
      <c r="Q2" s="432" t="s">
        <v>571</v>
      </c>
      <c r="R2" s="431" t="s">
        <v>572</v>
      </c>
      <c r="S2" s="431" t="s">
        <v>573</v>
      </c>
      <c r="T2" s="434" t="s">
        <v>808</v>
      </c>
    </row>
    <row r="3" ht="27.75" customHeight="1">
      <c r="A3" s="435">
        <f t="array" ref="A3:A50">if(B3:B50&lt;&gt;"",row(A3:A50)-2,"")</f>
        <v>1</v>
      </c>
      <c r="B3" s="436" t="str">
        <f t="array" ref="B3:B47">UNIQUE(Credentials!C3:C50)</f>
        <v>CVH Talwandi Sabo</v>
      </c>
      <c r="C3" s="437">
        <f>((sumifs('Form responses'!$I$2:$I50,'Form responses'!$C$2:$C50,"&gt;="&amp;$M$1,'Form responses'!$C$2:$C50,"&lt;="&amp;$P$1,'Form responses'!$D$2:$D50,$B3)
+sumifs('Form responses'!$J$2:$J50,'Form responses'!$C$2:$C50,"&gt;="&amp;$M$1,'Form responses'!$C$2:$C50,"&lt;="&amp;$P$1,'Form responses'!$D$2:$D50,$B3)
+sumifs('Form responses'!$K$2:$K50,'Form responses'!$C$2:$C50,"&gt;="&amp;$M$1,'Form responses'!$C$2:$C50,"&lt;="&amp;$P$1,'Form responses'!$D$2:$D50,$B3)
)*Sum!$B$35)</f>
        <v>830</v>
      </c>
      <c r="D3" s="438">
        <f>((sumifs('Form responses'!$L$2:$L50,'Form responses'!$C$2:$C50,"&gt;="&amp;$M$1,'Form responses'!$C$2:$C50,"&lt;="&amp;$P$1,'Form responses'!$D$2:$D50,$B3))*Sum!$C$35)</f>
        <v>1600</v>
      </c>
      <c r="E3" s="438">
        <f>((
sumifs('Form responses'!$U$2:$U50,'Form responses'!$C$2:$C50,"&gt;="&amp;$M$1,'Form responses'!$C$2:$C50,"&lt;="&amp;$P$1,'Form responses'!$D$2:$D50,$B3)
+
sumifs('Form responses'!$V$2:$V50,'Form responses'!$C$2:$C50,"&gt;="&amp;$M$1,'Form responses'!$C$2:$C50,"&lt;="&amp;$P$1,'Form responses'!$D$2:$D50,$B3)
)*Sum!$E$35
)</f>
        <v>0</v>
      </c>
      <c r="F3" s="438">
        <f>sumifs('Form responses'!$W$2:$W50,'Form responses'!$C$2:$C50,"&gt;="&amp;$M$1,'Form responses'!$C$2:$C50,"&lt;="&amp;$P$1,'Form responses'!$D$2:$D50,$B3)
*Sum!$D$35</f>
        <v>0</v>
      </c>
      <c r="G3" s="439">
        <f>sumifs('Form responses'!$GN$2:$GN50,'Form responses'!$B$2:$B50,"&gt;="&amp;$M$1,'Form responses'!$C$2:$C50,"&lt;="&amp;$P$1,'Form responses'!$D$2:$D50,$B3)*Sum!$V$35+sumifs('Form responses'!$GO$2:$GO50,'Form responses'!$B$2:$B50,"&gt;="&amp;$M$1,'Form responses'!$C$2:$C50,"&lt;="&amp;$P$1,'Form responses'!$D$2:$D50,$B3)*Sum!$W$35+sumifs('Form responses'!$GP$2:$GP50,'Form responses'!$B$2:$B50,"&gt;="&amp;$M$1,'Form responses'!$C$2:$C50,"&lt;="&amp;$P$1,'Form responses'!$D$2:$D50,$B3)*Sum!$X$35+sumifs('Form responses'!$GQ$2:$GQ50,'Form responses'!$B$2:$B50,"&gt;="&amp;$M$1,'Form responses'!$C$2:$C50,"&lt;="&amp;$P$1,'Form responses'!$D$2:$D50,$B3)*Sum!$Y$35</f>
        <v>200</v>
      </c>
      <c r="H3" s="438">
        <f>((
sumifs('Form responses'!$X$2:$X50,'Form responses'!$C$2:$C50,"&gt;="&amp;$M$1,'Form responses'!$C$2:$C50,"&lt;="&amp;$P$1,'Form responses'!$D$2:$D50,$B3)
)*
Sum!$F$35
)+((
sumifs('Form responses'!$Y$2:$Y50,'Form responses'!$C$2:$C50,"&gt;="&amp;$M$1,'Form responses'!$C$2:$C50,"&lt;="&amp;$P$1,'Form responses'!$D$2:$D50,$B3)
)*
Sum!$G$35
)</f>
        <v>1400</v>
      </c>
      <c r="I3" s="438">
        <f>((
sumifs('Form responses'!$Z$2:$Z50,'Form responses'!$C$2:$C50,"&gt;="&amp;$M$1,'Form responses'!$C$2:$C50,"&lt;="&amp;$P$1,'Form responses'!$D$2:$D50,$B3)
)*Sum!$H$35)+((
sumifs('Form responses'!$AA$2:$AA50,'Form responses'!$C$2:$C50,"&gt;="&amp;$M$1,'Form responses'!$C$2:$C50,"&lt;="&amp;$P$1,'Form responses'!$D$2:$D50,$B3)
)*Sum!$I$35)+((
sumifs('Form responses'!$AB$2:$AB50,'Form responses'!$C$2:$C50,"&gt;="&amp;$M$1,'Form responses'!$C$2:$C50,"&lt;="&amp;$P$1,'Form responses'!$D$2:$D50,$B3)
)*Sum!$Z$35)+((
sumifs('Form responses'!$AC$2:$AC50,'Form responses'!$C$2:$C50,"&gt;="&amp;$M$1,'Form responses'!$C$2:$C50,"&lt;="&amp;$P$1,'Form responses'!$D$2:$D50,$B3)
)*Sum!$AA$35)+((
sumifs('Form responses'!$AD$2:$AD50,'Form responses'!$C$2:$C50,"&gt;="&amp;$M$1,'Form responses'!$C$2:$C50,"&lt;="&amp;$P$1,'Form responses'!$D$2:$D50,$B3)
)*Sum!$AB$35)</f>
        <v>0</v>
      </c>
      <c r="J3" s="438">
        <f t="shared" ref="J3:J48" si="1">SUM(C3:I3)</f>
        <v>4030</v>
      </c>
      <c r="K3" s="438">
        <f>(
sumifs('Form responses'!$BF$2:$BF50,'Form responses'!$C$2:$C50,"&gt;="&amp;$M$1,'Form responses'!$C$2:$C50,"&lt;="&amp;$P$1,'Form responses'!$D$2:$D50,$B3)
+
sumifs('Form responses'!$BH$2:$BH50,'Form responses'!$C$2:$C50,"&gt;="&amp;$M$1,'Form responses'!$C$2:$C50,"&lt;="&amp;$P$1,'Form responses'!$D$2:$D50,$B3)
+
sumifs('Form responses'!$BJ$2:$BJ50,'Form responses'!$C$2:$C50,"&gt;="&amp;$M$1,'Form responses'!$C$2:$C50,"&lt;="&amp;$P$1,'Form responses'!$D$2:$D50,$B3)
+
sumifs('Form responses'!$BL$2:$BL50,'Form responses'!$C$2:$C50,"&gt;="&amp;$M$1,'Form responses'!$C$2:$C50,"&lt;="&amp;$P$1,'Form responses'!$D$2:$D50,$B3)
)*Sum!$Q$35</f>
        <v>750</v>
      </c>
      <c r="L3" s="438">
        <f>(
sumifs('Form responses'!$BN$2:$BN50,'Form responses'!$C$2:$C50,"&gt;="&amp;$M$1,'Form responses'!$C$2:$C50,"&lt;="&amp;$P$1,'Form responses'!$D$2:$D50,$B3)
+
sumifs('Form responses'!$BP$2:$BP50,'Form responses'!$C$2:$C50,"&gt;="&amp;$M$1,'Form responses'!$C$2:$C50,"&lt;="&amp;$P$1,'Form responses'!$D$2:$D50,$B3)
)*Sum!$R$35</f>
        <v>525</v>
      </c>
      <c r="M3" s="438">
        <f>(sumifs('Form responses'!$BR$2:$BR50,'Form responses'!$C$2:$C50,"&gt;="&amp;$M$1,'Form responses'!$C$2:$C50,"&lt;="&amp;$P$1,'Form responses'!$D$2:$D50,$B3)+sumifs('Form responses'!$BT$2:$BT50,'Form responses'!$C$2:$C50,"&gt;="&amp;$M$1,'Form responses'!$C$2:$C50,"&lt;="&amp;$P$1,'Form responses'!$D$2:$D50,$B3)+sumifs('Form responses'!$BV$2:$BV50,'Form responses'!$C$2:$C50,"&gt;="&amp;$M$1,'Form responses'!$C$2:$C50,"&lt;="&amp;$P$1,'Form responses'!$D$2:$D50,$B3)+sumifs('Form responses'!$BX$2:$BX50,'Form responses'!$C$2:$C50,"&gt;="&amp;$M$1,'Form responses'!$C$2:$C50,"&lt;="&amp;$P$1,'Form responses'!$D$2:$D50,$B3))*Sum!$S$35</f>
        <v>0</v>
      </c>
      <c r="N3" s="438"/>
      <c r="O3" s="438">
        <f t="shared" ref="O3:O48" si="2">SUM(K3:N3)</f>
        <v>1275</v>
      </c>
      <c r="P3" s="438">
        <f>((sumifs('Form responses'!$BZ$2:$BZ50,'Form responses'!$C$2:$C50,"&gt;="&amp;$M$1,'Form responses'!$C$2:$C50,"&lt;="&amp;$P$1,'Form responses'!$D$2:$D50,$B3)+
sumifs('Form responses'!$CB$2:$CB50,'Form responses'!$C$2:$C50,"&gt;="&amp;$M$1,'Form responses'!$C$2:$C50,"&lt;="&amp;$P$1,'Form responses'!$D$2:$D50,$B3))*Sum!$U$35)</f>
        <v>1500</v>
      </c>
      <c r="Q3" s="438">
        <f>sumifs('Form responses'!$CD$2:$CD50,'Form responses'!$C$2:$C50,"&gt;="&amp;$M$1,'Form responses'!$C$2:$C50,"&lt;="&amp;$P$1,'Form responses'!$D$2:$D50,$B3)*Sum!$S$35</f>
        <v>0</v>
      </c>
      <c r="R3" s="438">
        <f t="shared" ref="R3:R48" si="3">O3+P3+Q3</f>
        <v>2775</v>
      </c>
      <c r="S3" s="440">
        <f t="shared" ref="S3:S48" si="4">J3+R3</f>
        <v>6805</v>
      </c>
      <c r="T3" s="441">
        <f>sum(S3:S8)</f>
        <v>14075</v>
      </c>
    </row>
    <row r="4" ht="27.75" customHeight="1">
      <c r="A4" s="435">
        <v>2.0</v>
      </c>
      <c r="B4" s="442" t="s">
        <v>37</v>
      </c>
      <c r="C4" s="437">
        <f>((sumifs('Form responses'!$I$2:$I50,'Form responses'!$C$2:$C50,"&gt;="&amp;$M$1,'Form responses'!$C$2:$C50,"&lt;="&amp;$P$1,'Form responses'!$D$2:$D50,$B4)
+sumifs('Form responses'!$J$2:$J50,'Form responses'!$C$2:$C50,"&gt;="&amp;$M$1,'Form responses'!$C$2:$C50,"&lt;="&amp;$P$1,'Form responses'!$D$2:$D50,$B4)
+sumifs('Form responses'!$K$2:$K50,'Form responses'!$C$2:$C50,"&gt;="&amp;$M$1,'Form responses'!$C$2:$C50,"&lt;="&amp;$P$1,'Form responses'!$D$2:$D50,$B4)
)*Sum!$B$35)</f>
        <v>730</v>
      </c>
      <c r="D4" s="438">
        <f>((sumifs('Form responses'!$L$2:$L50,'Form responses'!$C$2:$C50,"&gt;="&amp;$M$1,'Form responses'!$C$2:$C50,"&lt;="&amp;$P$1,'Form responses'!$D$2:$D50,$B4))*Sum!$C$35)</f>
        <v>0</v>
      </c>
      <c r="E4" s="438">
        <f>((
sumifs('Form responses'!$U$2:$U50,'Form responses'!$C$2:$C50,"&gt;="&amp;$M$1,'Form responses'!$C$2:$C50,"&lt;="&amp;$P$1,'Form responses'!$D$2:$D50,$B4)
+
sumifs('Form responses'!$V$2:$V50,'Form responses'!$C$2:$C50,"&gt;="&amp;$M$1,'Form responses'!$C$2:$C50,"&lt;="&amp;$P$1,'Form responses'!$D$2:$D50,$B4)
)*Sum!$E$35
)</f>
        <v>0</v>
      </c>
      <c r="F4" s="438">
        <f>sumifs('Form responses'!$W$2:$W50,'Form responses'!$C$2:$C50,"&gt;="&amp;$M$1,'Form responses'!$C$2:$C50,"&lt;="&amp;$P$1,'Form responses'!$D$2:$D50,$B4)
*Sum!$D$35</f>
        <v>0</v>
      </c>
      <c r="G4" s="439">
        <f>sumifs('Form responses'!$GN$2:$GN50,'Form responses'!$B$2:$B50,"&gt;="&amp;$M$1,'Form responses'!$C$2:$C50,"&lt;="&amp;$P$1,'Form responses'!$D$2:$D50,$B4)*Sum!$V$35+sumifs('Form responses'!$GO$2:$GO50,'Form responses'!$B$2:$B50,"&gt;="&amp;$M$1,'Form responses'!$C$2:$C50,"&lt;="&amp;$P$1,'Form responses'!$D$2:$D50,$B4)*Sum!$W$35+sumifs('Form responses'!$GP$2:$GP50,'Form responses'!$B$2:$B50,"&gt;="&amp;$M$1,'Form responses'!$C$2:$C50,"&lt;="&amp;$P$1,'Form responses'!$D$2:$D50,$B4)*Sum!$X$35+sumifs('Form responses'!$GQ$2:$GQ50,'Form responses'!$B$2:$B50,"&gt;="&amp;$M$1,'Form responses'!$C$2:$C50,"&lt;="&amp;$P$1,'Form responses'!$D$2:$D50,$B4)*Sum!$Y$35</f>
        <v>0</v>
      </c>
      <c r="H4" s="438">
        <f>((
sumifs('Form responses'!$X$2:$X50,'Form responses'!$C$2:$C50,"&gt;="&amp;$M$1,'Form responses'!$C$2:$C50,"&lt;="&amp;$P$1,'Form responses'!$D$2:$D50,$B4)
)*
Sum!$F$35
)+((
sumifs('Form responses'!$Y$2:$Y50,'Form responses'!$C$2:$C50,"&gt;="&amp;$M$1,'Form responses'!$C$2:$C50,"&lt;="&amp;$P$1,'Form responses'!$D$2:$D50,$B4)
)*
Sum!$G$35
)</f>
        <v>0</v>
      </c>
      <c r="I4" s="438">
        <f>((
sumifs('Form responses'!$Z$2:$Z50,'Form responses'!$C$2:$C50,"&gt;="&amp;$M$1,'Form responses'!$C$2:$C50,"&lt;="&amp;$P$1,'Form responses'!$D$2:$D50,$B4)
)*Sum!$H$35)+((
sumifs('Form responses'!$AA$2:$AA50,'Form responses'!$C$2:$C50,"&gt;="&amp;$M$1,'Form responses'!$C$2:$C50,"&lt;="&amp;$P$1,'Form responses'!$D$2:$D50,$B4)
)*Sum!$I$35)+((
sumifs('Form responses'!$AB$2:$AB50,'Form responses'!$C$2:$C50,"&gt;="&amp;$M$1,'Form responses'!$C$2:$C50,"&lt;="&amp;$P$1,'Form responses'!$D$2:$D50,$B4)
)*Sum!$Z$35)+((
sumifs('Form responses'!$AC$2:$AC50,'Form responses'!$C$2:$C50,"&gt;="&amp;$M$1,'Form responses'!$C$2:$C50,"&lt;="&amp;$P$1,'Form responses'!$D$2:$D50,$B4)
)*Sum!$AA$35)+((
sumifs('Form responses'!$AD$2:$AD50,'Form responses'!$C$2:$C50,"&gt;="&amp;$M$1,'Form responses'!$C$2:$C50,"&lt;="&amp;$P$1,'Form responses'!$D$2:$D50,$B4)
)*Sum!$AB$35)</f>
        <v>0</v>
      </c>
      <c r="J4" s="438">
        <f t="shared" si="1"/>
        <v>730</v>
      </c>
      <c r="K4" s="438">
        <f>(
sumifs('Form responses'!$BF$2:$BF50,'Form responses'!$C$2:$C50,"&gt;="&amp;$M$1,'Form responses'!$C$2:$C50,"&lt;="&amp;$P$1,'Form responses'!$D$2:$D50,$B4)
+
sumifs('Form responses'!$BH$2:$BH50,'Form responses'!$C$2:$C50,"&gt;="&amp;$M$1,'Form responses'!$C$2:$C50,"&lt;="&amp;$P$1,'Form responses'!$D$2:$D50,$B4)
+
sumifs('Form responses'!$BJ$2:$BJ50,'Form responses'!$C$2:$C50,"&gt;="&amp;$M$1,'Form responses'!$C$2:$C50,"&lt;="&amp;$P$1,'Form responses'!$D$2:$D50,$B4)
+
sumifs('Form responses'!$BL$2:$BL50,'Form responses'!$C$2:$C50,"&gt;="&amp;$M$1,'Form responses'!$C$2:$C50,"&lt;="&amp;$P$1,'Form responses'!$D$2:$D50,$B4)
)*Sum!$Q$35</f>
        <v>375</v>
      </c>
      <c r="L4" s="438">
        <f>(
sumifs('Form responses'!$BN$2:$BN50,'Form responses'!$C$2:$C50,"&gt;="&amp;$M$1,'Form responses'!$C$2:$C50,"&lt;="&amp;$P$1,'Form responses'!$D$2:$D50,$B4)
+
sumifs('Form responses'!$BP$2:$BP50,'Form responses'!$C$2:$C50,"&gt;="&amp;$M$1,'Form responses'!$C$2:$C50,"&lt;="&amp;$P$1,'Form responses'!$D$2:$D50,$B4)
)*Sum!$R$35</f>
        <v>525</v>
      </c>
      <c r="M4" s="438">
        <f>(sumifs('Form responses'!$BR$2:$BR50,'Form responses'!$C$2:$C50,"&gt;="&amp;$M$1,'Form responses'!$C$2:$C50,"&lt;="&amp;$P$1,'Form responses'!$D$2:$D50,$B4)+sumifs('Form responses'!$BT$2:$BT50,'Form responses'!$C$2:$C50,"&gt;="&amp;$M$1,'Form responses'!$C$2:$C50,"&lt;="&amp;$P$1,'Form responses'!$D$2:$D50,$B4)+sumifs('Form responses'!$BV$2:$BV50,'Form responses'!$C$2:$C50,"&gt;="&amp;$M$1,'Form responses'!$C$2:$C50,"&lt;="&amp;$P$1,'Form responses'!$D$2:$D50,$B4)+sumifs('Form responses'!$BX$2:$BX50,'Form responses'!$C$2:$C50,"&gt;="&amp;$M$1,'Form responses'!$C$2:$C50,"&lt;="&amp;$P$1,'Form responses'!$D$2:$D50,$B4))*Sum!$S$35</f>
        <v>0</v>
      </c>
      <c r="N4" s="438"/>
      <c r="O4" s="438">
        <f t="shared" si="2"/>
        <v>900</v>
      </c>
      <c r="P4" s="438">
        <f>((sumifs('Form responses'!$BZ$2:$BZ50,'Form responses'!$C$2:$C50,"&gt;="&amp;$M$1,'Form responses'!$C$2:$C50,"&lt;="&amp;$P$1,'Form responses'!$D$2:$D50,$B4)+
sumifs('Form responses'!$CB$2:$CB50,'Form responses'!$C$2:$C50,"&gt;="&amp;$M$1,'Form responses'!$C$2:$C50,"&lt;="&amp;$P$1,'Form responses'!$D$2:$D50,$B4))*Sum!$U$35)</f>
        <v>125</v>
      </c>
      <c r="Q4" s="438">
        <f>sumifs('Form responses'!$CD$2:$CD50,'Form responses'!$C$2:$C50,"&gt;="&amp;$M$1,'Form responses'!$C$2:$C50,"&lt;="&amp;$P$1,'Form responses'!$D$2:$D50,$B4)*Sum!$S$35</f>
        <v>0</v>
      </c>
      <c r="R4" s="438">
        <f t="shared" si="3"/>
        <v>1025</v>
      </c>
      <c r="S4" s="440">
        <f t="shared" si="4"/>
        <v>1755</v>
      </c>
      <c r="T4" s="331"/>
    </row>
    <row r="5" ht="27.75" customHeight="1">
      <c r="A5" s="435">
        <v>3.0</v>
      </c>
      <c r="B5" s="436" t="s">
        <v>23</v>
      </c>
      <c r="C5" s="437">
        <f>((sumifs('Form responses'!$I$2:$I50,'Form responses'!$C$2:$C50,"&gt;="&amp;$M$1,'Form responses'!$C$2:$C50,"&lt;="&amp;$P$1,'Form responses'!$D$2:$D50,$B5)
+sumifs('Form responses'!$J$2:$J50,'Form responses'!$C$2:$C50,"&gt;="&amp;$M$1,'Form responses'!$C$2:$C50,"&lt;="&amp;$P$1,'Form responses'!$D$2:$D50,$B5)
+sumifs('Form responses'!$K$2:$K50,'Form responses'!$C$2:$C50,"&gt;="&amp;$M$1,'Form responses'!$C$2:$C50,"&lt;="&amp;$P$1,'Form responses'!$D$2:$D50,$B5)
)*Sum!$B$35)</f>
        <v>1150</v>
      </c>
      <c r="D5" s="438">
        <f>((sumifs('Form responses'!$L$2:$L50,'Form responses'!$C$2:$C50,"&gt;="&amp;$M$1,'Form responses'!$C$2:$C50,"&lt;="&amp;$P$1,'Form responses'!$D$2:$D50,$B5))*Sum!$C$35)</f>
        <v>0</v>
      </c>
      <c r="E5" s="438">
        <f>((
sumifs('Form responses'!$U$2:$U50,'Form responses'!$C$2:$C50,"&gt;="&amp;$M$1,'Form responses'!$C$2:$C50,"&lt;="&amp;$P$1,'Form responses'!$D$2:$D50,$B5)
+
sumifs('Form responses'!$V$2:$V50,'Form responses'!$C$2:$C50,"&gt;="&amp;$M$1,'Form responses'!$C$2:$C50,"&lt;="&amp;$P$1,'Form responses'!$D$2:$D50,$B5)
)*Sum!$E$35
)</f>
        <v>0</v>
      </c>
      <c r="F5" s="438">
        <f>sumifs('Form responses'!$W$2:$W50,'Form responses'!$C$2:$C50,"&gt;="&amp;$M$1,'Form responses'!$C$2:$C50,"&lt;="&amp;$P$1,'Form responses'!$D$2:$D50,$B5)
*Sum!$D$35</f>
        <v>0</v>
      </c>
      <c r="G5" s="439">
        <f>sumifs('Form responses'!$GN$2:$GN50,'Form responses'!$B$2:$B50,"&gt;="&amp;$M$1,'Form responses'!$C$2:$C50,"&lt;="&amp;$P$1,'Form responses'!$D$2:$D50,$B5)*Sum!$V$35+sumifs('Form responses'!$GO$2:$GO50,'Form responses'!$B$2:$B50,"&gt;="&amp;$M$1,'Form responses'!$C$2:$C50,"&lt;="&amp;$P$1,'Form responses'!$D$2:$D50,$B5)*Sum!$W$35+sumifs('Form responses'!$GP$2:$GP50,'Form responses'!$B$2:$B50,"&gt;="&amp;$M$1,'Form responses'!$C$2:$C50,"&lt;="&amp;$P$1,'Form responses'!$D$2:$D50,$B5)*Sum!$X$35+sumifs('Form responses'!$GQ$2:$GQ50,'Form responses'!$B$2:$B50,"&gt;="&amp;$M$1,'Form responses'!$C$2:$C50,"&lt;="&amp;$P$1,'Form responses'!$D$2:$D50,$B5)*Sum!$Y$35</f>
        <v>0</v>
      </c>
      <c r="H5" s="438">
        <f>((
sumifs('Form responses'!$X$2:$X50,'Form responses'!$C$2:$C50,"&gt;="&amp;$M$1,'Form responses'!$C$2:$C50,"&lt;="&amp;$P$1,'Form responses'!$D$2:$D50,$B5)
)*
Sum!$F$35
)+((
sumifs('Form responses'!$Y$2:$Y50,'Form responses'!$C$2:$C50,"&gt;="&amp;$M$1,'Form responses'!$C$2:$C50,"&lt;="&amp;$P$1,'Form responses'!$D$2:$D50,$B5)
)*
Sum!$G$35
)</f>
        <v>0</v>
      </c>
      <c r="I5" s="438">
        <f>((
sumifs('Form responses'!$Z$2:$Z50,'Form responses'!$C$2:$C50,"&gt;="&amp;$M$1,'Form responses'!$C$2:$C50,"&lt;="&amp;$P$1,'Form responses'!$D$2:$D50,$B5)
)*Sum!$H$35)+((
sumifs('Form responses'!$AA$2:$AA50,'Form responses'!$C$2:$C50,"&gt;="&amp;$M$1,'Form responses'!$C$2:$C50,"&lt;="&amp;$P$1,'Form responses'!$D$2:$D50,$B5)
)*Sum!$I$35)+((
sumifs('Form responses'!$AB$2:$AB50,'Form responses'!$C$2:$C50,"&gt;="&amp;$M$1,'Form responses'!$C$2:$C50,"&lt;="&amp;$P$1,'Form responses'!$D$2:$D50,$B5)
)*Sum!$Z$35)+((
sumifs('Form responses'!$AC$2:$AC50,'Form responses'!$C$2:$C50,"&gt;="&amp;$M$1,'Form responses'!$C$2:$C50,"&lt;="&amp;$P$1,'Form responses'!$D$2:$D50,$B5)
)*Sum!$AA$35)+((
sumifs('Form responses'!$AD$2:$AD50,'Form responses'!$C$2:$C50,"&gt;="&amp;$M$1,'Form responses'!$C$2:$C50,"&lt;="&amp;$P$1,'Form responses'!$D$2:$D50,$B5)
)*Sum!$AB$35)</f>
        <v>0</v>
      </c>
      <c r="J5" s="438">
        <f t="shared" si="1"/>
        <v>1150</v>
      </c>
      <c r="K5" s="438">
        <f>(
sumifs('Form responses'!$BF$2:$BF50,'Form responses'!$C$2:$C50,"&gt;="&amp;$M$1,'Form responses'!$C$2:$C50,"&lt;="&amp;$P$1,'Form responses'!$D$2:$D50,$B5)
+
sumifs('Form responses'!$BH$2:$BH50,'Form responses'!$C$2:$C50,"&gt;="&amp;$M$1,'Form responses'!$C$2:$C50,"&lt;="&amp;$P$1,'Form responses'!$D$2:$D50,$B5)
+
sumifs('Form responses'!$BJ$2:$BJ50,'Form responses'!$C$2:$C50,"&gt;="&amp;$M$1,'Form responses'!$C$2:$C50,"&lt;="&amp;$P$1,'Form responses'!$D$2:$D50,$B5)
+
sumifs('Form responses'!$BL$2:$BL50,'Form responses'!$C$2:$C50,"&gt;="&amp;$M$1,'Form responses'!$C$2:$C50,"&lt;="&amp;$P$1,'Form responses'!$D$2:$D50,$B5)
)*Sum!$Q$35</f>
        <v>375</v>
      </c>
      <c r="L5" s="438">
        <f>(
sumifs('Form responses'!$BN$2:$BN50,'Form responses'!$C$2:$C50,"&gt;="&amp;$M$1,'Form responses'!$C$2:$C50,"&lt;="&amp;$P$1,'Form responses'!$D$2:$D50,$B5)
+
sumifs('Form responses'!$BP$2:$BP50,'Form responses'!$C$2:$C50,"&gt;="&amp;$M$1,'Form responses'!$C$2:$C50,"&lt;="&amp;$P$1,'Form responses'!$D$2:$D50,$B5)
)*Sum!$R$35</f>
        <v>0</v>
      </c>
      <c r="M5" s="438">
        <f>(sumifs('Form responses'!$BR$2:$BR50,'Form responses'!$C$2:$C50,"&gt;="&amp;$M$1,'Form responses'!$C$2:$C50,"&lt;="&amp;$P$1,'Form responses'!$D$2:$D50,$B5)+sumifs('Form responses'!$BT$2:$BT50,'Form responses'!$C$2:$C50,"&gt;="&amp;$M$1,'Form responses'!$C$2:$C50,"&lt;="&amp;$P$1,'Form responses'!$D$2:$D50,$B5)+sumifs('Form responses'!$BV$2:$BV50,'Form responses'!$C$2:$C50,"&gt;="&amp;$M$1,'Form responses'!$C$2:$C50,"&lt;="&amp;$P$1,'Form responses'!$D$2:$D50,$B5)+sumifs('Form responses'!$BX$2:$BX50,'Form responses'!$C$2:$C50,"&gt;="&amp;$M$1,'Form responses'!$C$2:$C50,"&lt;="&amp;$P$1,'Form responses'!$D$2:$D50,$B5))*Sum!$S$35</f>
        <v>0</v>
      </c>
      <c r="N5" s="438"/>
      <c r="O5" s="438">
        <f t="shared" si="2"/>
        <v>375</v>
      </c>
      <c r="P5" s="438">
        <f>((sumifs('Form responses'!$BZ$2:$BZ50,'Form responses'!$C$2:$C50,"&gt;="&amp;$M$1,'Form responses'!$C$2:$C50,"&lt;="&amp;$P$1,'Form responses'!$D$2:$D50,$B5)+
sumifs('Form responses'!$CB$2:$CB50,'Form responses'!$C$2:$C50,"&gt;="&amp;$M$1,'Form responses'!$C$2:$C50,"&lt;="&amp;$P$1,'Form responses'!$D$2:$D50,$B5))*Sum!$U$35)</f>
        <v>375</v>
      </c>
      <c r="Q5" s="438">
        <f>sumifs('Form responses'!$CD$2:$CD50,'Form responses'!$C$2:$C50,"&gt;="&amp;$M$1,'Form responses'!$C$2:$C50,"&lt;="&amp;$P$1,'Form responses'!$D$2:$D50,$B5)*Sum!$S$35</f>
        <v>0</v>
      </c>
      <c r="R5" s="438">
        <f t="shared" si="3"/>
        <v>750</v>
      </c>
      <c r="S5" s="440">
        <f t="shared" si="4"/>
        <v>1900</v>
      </c>
      <c r="T5" s="331"/>
    </row>
    <row r="6" ht="27.75" customHeight="1">
      <c r="A6" s="435">
        <v>4.0</v>
      </c>
      <c r="B6" s="442" t="s">
        <v>83</v>
      </c>
      <c r="C6" s="437">
        <f>((sumifs('Form responses'!$I$2:$I50,'Form responses'!$C$2:$C50,"&gt;="&amp;$M$1,'Form responses'!$C$2:$C50,"&lt;="&amp;$P$1,'Form responses'!$D$2:$D50,$B6)
+sumifs('Form responses'!$J$2:$J50,'Form responses'!$C$2:$C50,"&gt;="&amp;$M$1,'Form responses'!$C$2:$C50,"&lt;="&amp;$P$1,'Form responses'!$D$2:$D50,$B6)
+sumifs('Form responses'!$K$2:$K50,'Form responses'!$C$2:$C50,"&gt;="&amp;$M$1,'Form responses'!$C$2:$C50,"&lt;="&amp;$P$1,'Form responses'!$D$2:$D50,$B6)
)*Sum!$B$35)</f>
        <v>0</v>
      </c>
      <c r="D6" s="438">
        <f>((sumifs('Form responses'!$L$2:$L50,'Form responses'!$C$2:$C50,"&gt;="&amp;$M$1,'Form responses'!$C$2:$C50,"&lt;="&amp;$P$1,'Form responses'!$D$2:$D50,$B6))*Sum!$C$35)</f>
        <v>0</v>
      </c>
      <c r="E6" s="438">
        <f>((
sumifs('Form responses'!$U$2:$U50,'Form responses'!$C$2:$C50,"&gt;="&amp;$M$1,'Form responses'!$C$2:$C50,"&lt;="&amp;$P$1,'Form responses'!$D$2:$D50,$B6)
+
sumifs('Form responses'!$V$2:$V50,'Form responses'!$C$2:$C50,"&gt;="&amp;$M$1,'Form responses'!$C$2:$C50,"&lt;="&amp;$P$1,'Form responses'!$D$2:$D50,$B6)
)*Sum!$E$35
)</f>
        <v>0</v>
      </c>
      <c r="F6" s="438">
        <f>sumifs('Form responses'!$W$2:$W50,'Form responses'!$C$2:$C50,"&gt;="&amp;$M$1,'Form responses'!$C$2:$C50,"&lt;="&amp;$P$1,'Form responses'!$D$2:$D50,$B6)
*Sum!$D$35</f>
        <v>0</v>
      </c>
      <c r="G6" s="439">
        <f>sumifs('Form responses'!$GN$2:$GN50,'Form responses'!$B$2:$B50,"&gt;="&amp;$M$1,'Form responses'!$C$2:$C50,"&lt;="&amp;$P$1,'Form responses'!$D$2:$D50,$B6)*Sum!$V$35+sumifs('Form responses'!$GO$2:$GO50,'Form responses'!$B$2:$B50,"&gt;="&amp;$M$1,'Form responses'!$C$2:$C50,"&lt;="&amp;$P$1,'Form responses'!$D$2:$D50,$B6)*Sum!$W$35+sumifs('Form responses'!$GP$2:$GP50,'Form responses'!$B$2:$B50,"&gt;="&amp;$M$1,'Form responses'!$C$2:$C50,"&lt;="&amp;$P$1,'Form responses'!$D$2:$D50,$B6)*Sum!$X$35+sumifs('Form responses'!$GQ$2:$GQ50,'Form responses'!$B$2:$B50,"&gt;="&amp;$M$1,'Form responses'!$C$2:$C50,"&lt;="&amp;$P$1,'Form responses'!$D$2:$D50,$B6)*Sum!$Y$35</f>
        <v>0</v>
      </c>
      <c r="H6" s="438">
        <f>((
sumifs('Form responses'!$X$2:$X50,'Form responses'!$C$2:$C50,"&gt;="&amp;$M$1,'Form responses'!$C$2:$C50,"&lt;="&amp;$P$1,'Form responses'!$D$2:$D50,$B6)
)*
Sum!$F$35
)+((
sumifs('Form responses'!$Y$2:$Y50,'Form responses'!$C$2:$C50,"&gt;="&amp;$M$1,'Form responses'!$C$2:$C50,"&lt;="&amp;$P$1,'Form responses'!$D$2:$D50,$B6)
)*
Sum!$G$35
)</f>
        <v>0</v>
      </c>
      <c r="I6" s="438">
        <f>((
sumifs('Form responses'!$Z$2:$Z50,'Form responses'!$C$2:$C50,"&gt;="&amp;$M$1,'Form responses'!$C$2:$C50,"&lt;="&amp;$P$1,'Form responses'!$D$2:$D50,$B6)
)*Sum!$H$35)+((
sumifs('Form responses'!$AA$2:$AA50,'Form responses'!$C$2:$C50,"&gt;="&amp;$M$1,'Form responses'!$C$2:$C50,"&lt;="&amp;$P$1,'Form responses'!$D$2:$D50,$B6)
)*Sum!$I$35)+((
sumifs('Form responses'!$AB$2:$AB50,'Form responses'!$C$2:$C50,"&gt;="&amp;$M$1,'Form responses'!$C$2:$C50,"&lt;="&amp;$P$1,'Form responses'!$D$2:$D50,$B6)
)*Sum!$Z$35)+((
sumifs('Form responses'!$AC$2:$AC50,'Form responses'!$C$2:$C50,"&gt;="&amp;$M$1,'Form responses'!$C$2:$C50,"&lt;="&amp;$P$1,'Form responses'!$D$2:$D50,$B6)
)*Sum!$AA$35)+((
sumifs('Form responses'!$AD$2:$AD50,'Form responses'!$C$2:$C50,"&gt;="&amp;$M$1,'Form responses'!$C$2:$C50,"&lt;="&amp;$P$1,'Form responses'!$D$2:$D50,$B6)
)*Sum!$AB$35)</f>
        <v>0</v>
      </c>
      <c r="J6" s="438">
        <f t="shared" si="1"/>
        <v>0</v>
      </c>
      <c r="K6" s="438">
        <f>(
sumifs('Form responses'!$BF$2:$BF50,'Form responses'!$C$2:$C50,"&gt;="&amp;$M$1,'Form responses'!$C$2:$C50,"&lt;="&amp;$P$1,'Form responses'!$D$2:$D50,$B6)
+
sumifs('Form responses'!$BH$2:$BH50,'Form responses'!$C$2:$C50,"&gt;="&amp;$M$1,'Form responses'!$C$2:$C50,"&lt;="&amp;$P$1,'Form responses'!$D$2:$D50,$B6)
+
sumifs('Form responses'!$BJ$2:$BJ50,'Form responses'!$C$2:$C50,"&gt;="&amp;$M$1,'Form responses'!$C$2:$C50,"&lt;="&amp;$P$1,'Form responses'!$D$2:$D50,$B6)
+
sumifs('Form responses'!$BL$2:$BL50,'Form responses'!$C$2:$C50,"&gt;="&amp;$M$1,'Form responses'!$C$2:$C50,"&lt;="&amp;$P$1,'Form responses'!$D$2:$D50,$B6)
)*Sum!$Q$35</f>
        <v>0</v>
      </c>
      <c r="L6" s="438">
        <f>(
sumifs('Form responses'!$BN$2:$BN50,'Form responses'!$C$2:$C50,"&gt;="&amp;$M$1,'Form responses'!$C$2:$C50,"&lt;="&amp;$P$1,'Form responses'!$D$2:$D50,$B6)
+
sumifs('Form responses'!$BP$2:$BP50,'Form responses'!$C$2:$C50,"&gt;="&amp;$M$1,'Form responses'!$C$2:$C50,"&lt;="&amp;$P$1,'Form responses'!$D$2:$D50,$B6)
)*Sum!$R$35</f>
        <v>0</v>
      </c>
      <c r="M6" s="438">
        <f>(sumifs('Form responses'!$BR$2:$BR50,'Form responses'!$C$2:$C50,"&gt;="&amp;$M$1,'Form responses'!$C$2:$C50,"&lt;="&amp;$P$1,'Form responses'!$D$2:$D50,$B6)+sumifs('Form responses'!$BT$2:$BT50,'Form responses'!$C$2:$C50,"&gt;="&amp;$M$1,'Form responses'!$C$2:$C50,"&lt;="&amp;$P$1,'Form responses'!$D$2:$D50,$B6)+sumifs('Form responses'!$BV$2:$BV50,'Form responses'!$C$2:$C50,"&gt;="&amp;$M$1,'Form responses'!$C$2:$C50,"&lt;="&amp;$P$1,'Form responses'!$D$2:$D50,$B6)+sumifs('Form responses'!$BX$2:$BX50,'Form responses'!$C$2:$C50,"&gt;="&amp;$M$1,'Form responses'!$C$2:$C50,"&lt;="&amp;$P$1,'Form responses'!$D$2:$D50,$B6))*Sum!$S$35</f>
        <v>0</v>
      </c>
      <c r="N6" s="438"/>
      <c r="O6" s="438">
        <f t="shared" si="2"/>
        <v>0</v>
      </c>
      <c r="P6" s="438">
        <f>((sumifs('Form responses'!$BZ$2:$BZ50,'Form responses'!$C$2:$C50,"&gt;="&amp;$M$1,'Form responses'!$C$2:$C50,"&lt;="&amp;$P$1,'Form responses'!$D$2:$D50,$B6)+
sumifs('Form responses'!$CB$2:$CB50,'Form responses'!$C$2:$C50,"&gt;="&amp;$M$1,'Form responses'!$C$2:$C50,"&lt;="&amp;$P$1,'Form responses'!$D$2:$D50,$B6))*Sum!$U$35)</f>
        <v>0</v>
      </c>
      <c r="Q6" s="438">
        <f>sumifs('Form responses'!$CD$2:$CD50,'Form responses'!$C$2:$C50,"&gt;="&amp;$M$1,'Form responses'!$C$2:$C50,"&lt;="&amp;$P$1,'Form responses'!$D$2:$D50,$B6)*Sum!$S$35</f>
        <v>0</v>
      </c>
      <c r="R6" s="438">
        <f t="shared" si="3"/>
        <v>0</v>
      </c>
      <c r="S6" s="440">
        <f t="shared" si="4"/>
        <v>0</v>
      </c>
      <c r="T6" s="331"/>
    </row>
    <row r="7" ht="27.75" customHeight="1">
      <c r="A7" s="435">
        <v>5.0</v>
      </c>
      <c r="B7" s="436" t="s">
        <v>26</v>
      </c>
      <c r="C7" s="437">
        <f>((sumifs('Form responses'!$I$2:$I50,'Form responses'!$C$2:$C50,"&gt;="&amp;$M$1,'Form responses'!$C$2:$C50,"&lt;="&amp;$P$1,'Form responses'!$D$2:$D50,$B7)
+sumifs('Form responses'!$J$2:$J50,'Form responses'!$C$2:$C50,"&gt;="&amp;$M$1,'Form responses'!$C$2:$C50,"&lt;="&amp;$P$1,'Form responses'!$D$2:$D50,$B7)
+sumifs('Form responses'!$K$2:$K50,'Form responses'!$C$2:$C50,"&gt;="&amp;$M$1,'Form responses'!$C$2:$C50,"&lt;="&amp;$P$1,'Form responses'!$D$2:$D50,$B7)
)*Sum!$B$35)</f>
        <v>340</v>
      </c>
      <c r="D7" s="438">
        <f>((sumifs('Form responses'!$L$2:$L50,'Form responses'!$C$2:$C50,"&gt;="&amp;$M$1,'Form responses'!$C$2:$C50,"&lt;="&amp;$P$1,'Form responses'!$D$2:$D50,$B7))*Sum!$C$35)</f>
        <v>0</v>
      </c>
      <c r="E7" s="438">
        <f>((
sumifs('Form responses'!$U$2:$U50,'Form responses'!$C$2:$C50,"&gt;="&amp;$M$1,'Form responses'!$C$2:$C50,"&lt;="&amp;$P$1,'Form responses'!$D$2:$D50,$B7)
+
sumifs('Form responses'!$V$2:$V50,'Form responses'!$C$2:$C50,"&gt;="&amp;$M$1,'Form responses'!$C$2:$C50,"&lt;="&amp;$P$1,'Form responses'!$D$2:$D50,$B7)
)*Sum!$E$35
)</f>
        <v>0</v>
      </c>
      <c r="F7" s="438">
        <f>sumifs('Form responses'!$W$2:$W50,'Form responses'!$C$2:$C50,"&gt;="&amp;$M$1,'Form responses'!$C$2:$C50,"&lt;="&amp;$P$1,'Form responses'!$D$2:$D50,$B7)
*Sum!$D$35</f>
        <v>0</v>
      </c>
      <c r="G7" s="439">
        <f>sumifs('Form responses'!$GN$2:$GN50,'Form responses'!$B$2:$B50,"&gt;="&amp;$M$1,'Form responses'!$C$2:$C50,"&lt;="&amp;$P$1,'Form responses'!$D$2:$D50,$B7)*Sum!$V$35+sumifs('Form responses'!$GO$2:$GO50,'Form responses'!$B$2:$B50,"&gt;="&amp;$M$1,'Form responses'!$C$2:$C50,"&lt;="&amp;$P$1,'Form responses'!$D$2:$D50,$B7)*Sum!$W$35+sumifs('Form responses'!$GP$2:$GP50,'Form responses'!$B$2:$B50,"&gt;="&amp;$M$1,'Form responses'!$C$2:$C50,"&lt;="&amp;$P$1,'Form responses'!$D$2:$D50,$B7)*Sum!$X$35+sumifs('Form responses'!$GQ$2:$GQ50,'Form responses'!$B$2:$B50,"&gt;="&amp;$M$1,'Form responses'!$C$2:$C50,"&lt;="&amp;$P$1,'Form responses'!$D$2:$D50,$B7)*Sum!$Y$35</f>
        <v>0</v>
      </c>
      <c r="H7" s="438">
        <f>((
sumifs('Form responses'!$X$2:$X50,'Form responses'!$C$2:$C50,"&gt;="&amp;$M$1,'Form responses'!$C$2:$C50,"&lt;="&amp;$P$1,'Form responses'!$D$2:$D50,$B7)
)*
Sum!$F$35
)+((
sumifs('Form responses'!$Y$2:$Y50,'Form responses'!$C$2:$C50,"&gt;="&amp;$M$1,'Form responses'!$C$2:$C50,"&lt;="&amp;$P$1,'Form responses'!$D$2:$D50,$B7)
)*
Sum!$G$35
)</f>
        <v>0</v>
      </c>
      <c r="I7" s="438">
        <f>((
sumifs('Form responses'!$Z$2:$Z50,'Form responses'!$C$2:$C50,"&gt;="&amp;$M$1,'Form responses'!$C$2:$C50,"&lt;="&amp;$P$1,'Form responses'!$D$2:$D50,$B7)
)*Sum!$H$35)+((
sumifs('Form responses'!$AA$2:$AA50,'Form responses'!$C$2:$C50,"&gt;="&amp;$M$1,'Form responses'!$C$2:$C50,"&lt;="&amp;$P$1,'Form responses'!$D$2:$D50,$B7)
)*Sum!$I$35)+((
sumifs('Form responses'!$AB$2:$AB50,'Form responses'!$C$2:$C50,"&gt;="&amp;$M$1,'Form responses'!$C$2:$C50,"&lt;="&amp;$P$1,'Form responses'!$D$2:$D50,$B7)
)*Sum!$Z$35)+((
sumifs('Form responses'!$AC$2:$AC50,'Form responses'!$C$2:$C50,"&gt;="&amp;$M$1,'Form responses'!$C$2:$C50,"&lt;="&amp;$P$1,'Form responses'!$D$2:$D50,$B7)
)*Sum!$AA$35)+((
sumifs('Form responses'!$AD$2:$AD50,'Form responses'!$C$2:$C50,"&gt;="&amp;$M$1,'Form responses'!$C$2:$C50,"&lt;="&amp;$P$1,'Form responses'!$D$2:$D50,$B7)
)*Sum!$AB$35)</f>
        <v>0</v>
      </c>
      <c r="J7" s="438">
        <f t="shared" si="1"/>
        <v>340</v>
      </c>
      <c r="K7" s="438">
        <f>(
sumifs('Form responses'!$BF$2:$BF50,'Form responses'!$C$2:$C50,"&gt;="&amp;$M$1,'Form responses'!$C$2:$C50,"&lt;="&amp;$P$1,'Form responses'!$D$2:$D50,$B7)
+
sumifs('Form responses'!$BH$2:$BH50,'Form responses'!$C$2:$C50,"&gt;="&amp;$M$1,'Form responses'!$C$2:$C50,"&lt;="&amp;$P$1,'Form responses'!$D$2:$D50,$B7)
+
sumifs('Form responses'!$BJ$2:$BJ50,'Form responses'!$C$2:$C50,"&gt;="&amp;$M$1,'Form responses'!$C$2:$C50,"&lt;="&amp;$P$1,'Form responses'!$D$2:$D50,$B7)
+
sumifs('Form responses'!$BL$2:$BL50,'Form responses'!$C$2:$C50,"&gt;="&amp;$M$1,'Form responses'!$C$2:$C50,"&lt;="&amp;$P$1,'Form responses'!$D$2:$D50,$B7)
)*Sum!$Q$35</f>
        <v>750</v>
      </c>
      <c r="L7" s="438">
        <f>(
sumifs('Form responses'!$BN$2:$BN50,'Form responses'!$C$2:$C50,"&gt;="&amp;$M$1,'Form responses'!$C$2:$C50,"&lt;="&amp;$P$1,'Form responses'!$D$2:$D50,$B7)
+
sumifs('Form responses'!$BP$2:$BP50,'Form responses'!$C$2:$C50,"&gt;="&amp;$M$1,'Form responses'!$C$2:$C50,"&lt;="&amp;$P$1,'Form responses'!$D$2:$D50,$B7)
)*Sum!$R$35</f>
        <v>0</v>
      </c>
      <c r="M7" s="438">
        <f>(sumifs('Form responses'!$BR$2:$BR50,'Form responses'!$C$2:$C50,"&gt;="&amp;$M$1,'Form responses'!$C$2:$C50,"&lt;="&amp;$P$1,'Form responses'!$D$2:$D50,$B7)+sumifs('Form responses'!$BT$2:$BT50,'Form responses'!$C$2:$C50,"&gt;="&amp;$M$1,'Form responses'!$C$2:$C50,"&lt;="&amp;$P$1,'Form responses'!$D$2:$D50,$B7)+sumifs('Form responses'!$BV$2:$BV50,'Form responses'!$C$2:$C50,"&gt;="&amp;$M$1,'Form responses'!$C$2:$C50,"&lt;="&amp;$P$1,'Form responses'!$D$2:$D50,$B7)+sumifs('Form responses'!$BX$2:$BX50,'Form responses'!$C$2:$C50,"&gt;="&amp;$M$1,'Form responses'!$C$2:$C50,"&lt;="&amp;$P$1,'Form responses'!$D$2:$D50,$B7))*Sum!$S$35</f>
        <v>0</v>
      </c>
      <c r="N7" s="438"/>
      <c r="O7" s="438">
        <f t="shared" si="2"/>
        <v>750</v>
      </c>
      <c r="P7" s="438">
        <f>((sumifs('Form responses'!$BZ$2:$BZ50,'Form responses'!$C$2:$C50,"&gt;="&amp;$M$1,'Form responses'!$C$2:$C50,"&lt;="&amp;$P$1,'Form responses'!$D$2:$D50,$B7)+
sumifs('Form responses'!$CB$2:$CB50,'Form responses'!$C$2:$C50,"&gt;="&amp;$M$1,'Form responses'!$C$2:$C50,"&lt;="&amp;$P$1,'Form responses'!$D$2:$D50,$B7))*Sum!$U$35)</f>
        <v>375</v>
      </c>
      <c r="Q7" s="438">
        <f>sumifs('Form responses'!$CD$2:$CD50,'Form responses'!$C$2:$C50,"&gt;="&amp;$M$1,'Form responses'!$C$2:$C50,"&lt;="&amp;$P$1,'Form responses'!$D$2:$D50,$B7)*Sum!$S$35</f>
        <v>0</v>
      </c>
      <c r="R7" s="438">
        <f t="shared" si="3"/>
        <v>1125</v>
      </c>
      <c r="S7" s="440">
        <f t="shared" si="4"/>
        <v>1465</v>
      </c>
      <c r="T7" s="331"/>
    </row>
    <row r="8" ht="27.75" customHeight="1">
      <c r="A8" s="435">
        <v>6.0</v>
      </c>
      <c r="B8" s="442" t="s">
        <v>29</v>
      </c>
      <c r="C8" s="437">
        <f>((sumifs('Form responses'!$I$2:$I50,'Form responses'!$C$2:$C50,"&gt;="&amp;$M$1,'Form responses'!$C$2:$C50,"&lt;="&amp;$P$1,'Form responses'!$D$2:$D50,$B8)
+sumifs('Form responses'!$J$2:$J50,'Form responses'!$C$2:$C50,"&gt;="&amp;$M$1,'Form responses'!$C$2:$C50,"&lt;="&amp;$P$1,'Form responses'!$D$2:$D50,$B8)
+sumifs('Form responses'!$K$2:$K50,'Form responses'!$C$2:$C50,"&gt;="&amp;$M$1,'Form responses'!$C$2:$C50,"&lt;="&amp;$P$1,'Form responses'!$D$2:$D50,$B8)
)*Sum!$B$35)</f>
        <v>650</v>
      </c>
      <c r="D8" s="438">
        <f>((sumifs('Form responses'!$L$2:$L50,'Form responses'!$C$2:$C50,"&gt;="&amp;$M$1,'Form responses'!$C$2:$C50,"&lt;="&amp;$P$1,'Form responses'!$D$2:$D50,$B8))*Sum!$C$35)</f>
        <v>0</v>
      </c>
      <c r="E8" s="438">
        <f>((
sumifs('Form responses'!$U$2:$U50,'Form responses'!$C$2:$C50,"&gt;="&amp;$M$1,'Form responses'!$C$2:$C50,"&lt;="&amp;$P$1,'Form responses'!$D$2:$D50,$B8)
+
sumifs('Form responses'!$V$2:$V50,'Form responses'!$C$2:$C50,"&gt;="&amp;$M$1,'Form responses'!$C$2:$C50,"&lt;="&amp;$P$1,'Form responses'!$D$2:$D50,$B8)
)*Sum!$E$35
)</f>
        <v>0</v>
      </c>
      <c r="F8" s="438">
        <f>sumifs('Form responses'!$W$2:$W50,'Form responses'!$C$2:$C50,"&gt;="&amp;$M$1,'Form responses'!$C$2:$C50,"&lt;="&amp;$P$1,'Form responses'!$D$2:$D50,$B8)
*Sum!$D$35</f>
        <v>0</v>
      </c>
      <c r="G8" s="439">
        <f>sumifs('Form responses'!$GN$2:$GN50,'Form responses'!$B$2:$B50,"&gt;="&amp;$M$1,'Form responses'!$C$2:$C50,"&lt;="&amp;$P$1,'Form responses'!$D$2:$D50,$B8)*Sum!$V$35+sumifs('Form responses'!$GO$2:$GO50,'Form responses'!$B$2:$B50,"&gt;="&amp;$M$1,'Form responses'!$C$2:$C50,"&lt;="&amp;$P$1,'Form responses'!$D$2:$D50,$B8)*Sum!$W$35+sumifs('Form responses'!$GP$2:$GP50,'Form responses'!$B$2:$B50,"&gt;="&amp;$M$1,'Form responses'!$C$2:$C50,"&lt;="&amp;$P$1,'Form responses'!$D$2:$D50,$B8)*Sum!$X$35+sumifs('Form responses'!$GQ$2:$GQ50,'Form responses'!$B$2:$B50,"&gt;="&amp;$M$1,'Form responses'!$C$2:$C50,"&lt;="&amp;$P$1,'Form responses'!$D$2:$D50,$B8)*Sum!$Y$35</f>
        <v>0</v>
      </c>
      <c r="H8" s="438">
        <f>((
sumifs('Form responses'!$X$2:$X50,'Form responses'!$C$2:$C50,"&gt;="&amp;$M$1,'Form responses'!$C$2:$C50,"&lt;="&amp;$P$1,'Form responses'!$D$2:$D50,$B8)
)*
Sum!$F$35
)+((
sumifs('Form responses'!$Y$2:$Y50,'Form responses'!$C$2:$C50,"&gt;="&amp;$M$1,'Form responses'!$C$2:$C50,"&lt;="&amp;$P$1,'Form responses'!$D$2:$D50,$B8)
)*
Sum!$G$35
)</f>
        <v>0</v>
      </c>
      <c r="I8" s="438">
        <f>((
sumifs('Form responses'!$Z$2:$Z50,'Form responses'!$C$2:$C50,"&gt;="&amp;$M$1,'Form responses'!$C$2:$C50,"&lt;="&amp;$P$1,'Form responses'!$D$2:$D50,$B8)
)*Sum!$H$35)+((
sumifs('Form responses'!$AA$2:$AA50,'Form responses'!$C$2:$C50,"&gt;="&amp;$M$1,'Form responses'!$C$2:$C50,"&lt;="&amp;$P$1,'Form responses'!$D$2:$D50,$B8)
)*Sum!$I$35)+((
sumifs('Form responses'!$AB$2:$AB50,'Form responses'!$C$2:$C50,"&gt;="&amp;$M$1,'Form responses'!$C$2:$C50,"&lt;="&amp;$P$1,'Form responses'!$D$2:$D50,$B8)
)*Sum!$Z$35)+((
sumifs('Form responses'!$AC$2:$AC50,'Form responses'!$C$2:$C50,"&gt;="&amp;$M$1,'Form responses'!$C$2:$C50,"&lt;="&amp;$P$1,'Form responses'!$D$2:$D50,$B8)
)*Sum!$AA$35)+((
sumifs('Form responses'!$AD$2:$AD50,'Form responses'!$C$2:$C50,"&gt;="&amp;$M$1,'Form responses'!$C$2:$C50,"&lt;="&amp;$P$1,'Form responses'!$D$2:$D50,$B8)
)*Sum!$AB$35)</f>
        <v>0</v>
      </c>
      <c r="J8" s="438">
        <f t="shared" si="1"/>
        <v>650</v>
      </c>
      <c r="K8" s="438">
        <f>(
sumifs('Form responses'!$BF$2:$BF50,'Form responses'!$C$2:$C50,"&gt;="&amp;$M$1,'Form responses'!$C$2:$C50,"&lt;="&amp;$P$1,'Form responses'!$D$2:$D50,$B8)
+
sumifs('Form responses'!$BH$2:$BH50,'Form responses'!$C$2:$C50,"&gt;="&amp;$M$1,'Form responses'!$C$2:$C50,"&lt;="&amp;$P$1,'Form responses'!$D$2:$D50,$B8)
+
sumifs('Form responses'!$BJ$2:$BJ50,'Form responses'!$C$2:$C50,"&gt;="&amp;$M$1,'Form responses'!$C$2:$C50,"&lt;="&amp;$P$1,'Form responses'!$D$2:$D50,$B8)
+
sumifs('Form responses'!$BL$2:$BL50,'Form responses'!$C$2:$C50,"&gt;="&amp;$M$1,'Form responses'!$C$2:$C50,"&lt;="&amp;$P$1,'Form responses'!$D$2:$D50,$B8)
)*Sum!$Q$35</f>
        <v>1125</v>
      </c>
      <c r="L8" s="438">
        <f>(
sumifs('Form responses'!$BN$2:$BN50,'Form responses'!$C$2:$C50,"&gt;="&amp;$M$1,'Form responses'!$C$2:$C50,"&lt;="&amp;$P$1,'Form responses'!$D$2:$D50,$B8)
+
sumifs('Form responses'!$BP$2:$BP50,'Form responses'!$C$2:$C50,"&gt;="&amp;$M$1,'Form responses'!$C$2:$C50,"&lt;="&amp;$P$1,'Form responses'!$D$2:$D50,$B8)
)*Sum!$R$35</f>
        <v>0</v>
      </c>
      <c r="M8" s="438">
        <f>(sumifs('Form responses'!$BR$2:$BR50,'Form responses'!$C$2:$C50,"&gt;="&amp;$M$1,'Form responses'!$C$2:$C50,"&lt;="&amp;$P$1,'Form responses'!$D$2:$D50,$B8)+sumifs('Form responses'!$BT$2:$BT50,'Form responses'!$C$2:$C50,"&gt;="&amp;$M$1,'Form responses'!$C$2:$C50,"&lt;="&amp;$P$1,'Form responses'!$D$2:$D50,$B8)+sumifs('Form responses'!$BV$2:$BV50,'Form responses'!$C$2:$C50,"&gt;="&amp;$M$1,'Form responses'!$C$2:$C50,"&lt;="&amp;$P$1,'Form responses'!$D$2:$D50,$B8)+sumifs('Form responses'!$BX$2:$BX50,'Form responses'!$C$2:$C50,"&gt;="&amp;$M$1,'Form responses'!$C$2:$C50,"&lt;="&amp;$P$1,'Form responses'!$D$2:$D50,$B8))*Sum!$S$35</f>
        <v>0</v>
      </c>
      <c r="N8" s="438"/>
      <c r="O8" s="438">
        <f t="shared" si="2"/>
        <v>1125</v>
      </c>
      <c r="P8" s="438">
        <f>((sumifs('Form responses'!$BZ$2:$BZ50,'Form responses'!$C$2:$C50,"&gt;="&amp;$M$1,'Form responses'!$C$2:$C50,"&lt;="&amp;$P$1,'Form responses'!$D$2:$D50,$B8)+
sumifs('Form responses'!$CB$2:$CB50,'Form responses'!$C$2:$C50,"&gt;="&amp;$M$1,'Form responses'!$C$2:$C50,"&lt;="&amp;$P$1,'Form responses'!$D$2:$D50,$B8))*Sum!$U$35)</f>
        <v>375</v>
      </c>
      <c r="Q8" s="438">
        <f>sumifs('Form responses'!$CD$2:$CD50,'Form responses'!$C$2:$C50,"&gt;="&amp;$M$1,'Form responses'!$C$2:$C50,"&lt;="&amp;$P$1,'Form responses'!$D$2:$D50,$B8)*Sum!$S$35</f>
        <v>0</v>
      </c>
      <c r="R8" s="438">
        <f t="shared" si="3"/>
        <v>1500</v>
      </c>
      <c r="S8" s="440">
        <f t="shared" si="4"/>
        <v>2150</v>
      </c>
      <c r="T8" s="322"/>
    </row>
    <row r="9" ht="27.75" customHeight="1">
      <c r="A9" s="443">
        <v>7.0</v>
      </c>
      <c r="B9" s="442" t="s">
        <v>84</v>
      </c>
      <c r="C9" s="437">
        <f>((sumifs('Form responses'!$I$2:$I50,'Form responses'!$C$2:$C50,"&gt;="&amp;$M$1,'Form responses'!$C$2:$C50,"&lt;="&amp;$P$1,'Form responses'!$D$2:$D50,$B9)
+sumifs('Form responses'!$J$2:$J50,'Form responses'!$C$2:$C50,"&gt;="&amp;$M$1,'Form responses'!$C$2:$C50,"&lt;="&amp;$P$1,'Form responses'!$D$2:$D50,$B9)
+sumifs('Form responses'!$K$2:$K50,'Form responses'!$C$2:$C50,"&gt;="&amp;$M$1,'Form responses'!$C$2:$C50,"&lt;="&amp;$P$1,'Form responses'!$D$2:$D50,$B9)
)*Sum!$B$35)</f>
        <v>0</v>
      </c>
      <c r="D9" s="438">
        <f>((sumifs('Form responses'!$L$2:$L50,'Form responses'!$C$2:$C50,"&gt;="&amp;$M$1,'Form responses'!$C$2:$C50,"&lt;="&amp;$P$1,'Form responses'!$D$2:$D50,$B9))*Sum!$C$35)</f>
        <v>0</v>
      </c>
      <c r="E9" s="438">
        <f>((
sumifs('Form responses'!$U$2:$U50,'Form responses'!$C$2:$C50,"&gt;="&amp;$M$1,'Form responses'!$C$2:$C50,"&lt;="&amp;$P$1,'Form responses'!$D$2:$D50,$B9)
+
sumifs('Form responses'!$V$2:$V50,'Form responses'!$C$2:$C50,"&gt;="&amp;$M$1,'Form responses'!$C$2:$C50,"&lt;="&amp;$P$1,'Form responses'!$D$2:$D50,$B9)
)*Sum!$E$35
)</f>
        <v>0</v>
      </c>
      <c r="F9" s="438">
        <f>sumifs('Form responses'!$W$2:$W50,'Form responses'!$C$2:$C50,"&gt;="&amp;$M$1,'Form responses'!$C$2:$C50,"&lt;="&amp;$P$1,'Form responses'!$D$2:$D50,$B9)
*Sum!$D$35</f>
        <v>0</v>
      </c>
      <c r="G9" s="439">
        <f>sumifs('Form responses'!$GN$2:$GN50,'Form responses'!$B$2:$B50,"&gt;="&amp;$M$1,'Form responses'!$C$2:$C50,"&lt;="&amp;$P$1,'Form responses'!$D$2:$D50,$B9)*Sum!$V$35+sumifs('Form responses'!$GO$2:$GO50,'Form responses'!$B$2:$B50,"&gt;="&amp;$M$1,'Form responses'!$C$2:$C50,"&lt;="&amp;$P$1,'Form responses'!$D$2:$D50,$B9)*Sum!$W$35+sumifs('Form responses'!$GP$2:$GP50,'Form responses'!$B$2:$B50,"&gt;="&amp;$M$1,'Form responses'!$C$2:$C50,"&lt;="&amp;$P$1,'Form responses'!$D$2:$D50,$B9)*Sum!$X$35+sumifs('Form responses'!$GQ$2:$GQ50,'Form responses'!$B$2:$B50,"&gt;="&amp;$M$1,'Form responses'!$C$2:$C50,"&lt;="&amp;$P$1,'Form responses'!$D$2:$D50,$B9)*Sum!$Y$35</f>
        <v>0</v>
      </c>
      <c r="H9" s="438">
        <f>((
sumifs('Form responses'!$X$2:$X50,'Form responses'!$C$2:$C50,"&gt;="&amp;$M$1,'Form responses'!$C$2:$C50,"&lt;="&amp;$P$1,'Form responses'!$D$2:$D50,$B9)
)*
Sum!$F$35
)+((
sumifs('Form responses'!$Y$2:$Y50,'Form responses'!$C$2:$C50,"&gt;="&amp;$M$1,'Form responses'!$C$2:$C50,"&lt;="&amp;$P$1,'Form responses'!$D$2:$D50,$B9)
)*
Sum!$G$35
)</f>
        <v>0</v>
      </c>
      <c r="I9" s="438">
        <f>((
sumifs('Form responses'!$Z$2:$Z50,'Form responses'!$C$2:$C50,"&gt;="&amp;$M$1,'Form responses'!$C$2:$C50,"&lt;="&amp;$P$1,'Form responses'!$D$2:$D50,$B9)
)*Sum!$H$35)+((
sumifs('Form responses'!$AA$2:$AA50,'Form responses'!$C$2:$C50,"&gt;="&amp;$M$1,'Form responses'!$C$2:$C50,"&lt;="&amp;$P$1,'Form responses'!$D$2:$D50,$B9)
)*Sum!$I$35)+((
sumifs('Form responses'!$AB$2:$AB50,'Form responses'!$C$2:$C50,"&gt;="&amp;$M$1,'Form responses'!$C$2:$C50,"&lt;="&amp;$P$1,'Form responses'!$D$2:$D50,$B9)
)*Sum!$Z$35)+((
sumifs('Form responses'!$AC$2:$AC50,'Form responses'!$C$2:$C50,"&gt;="&amp;$M$1,'Form responses'!$C$2:$C50,"&lt;="&amp;$P$1,'Form responses'!$D$2:$D50,$B9)
)*Sum!$AA$35)+((
sumifs('Form responses'!$AD$2:$AD50,'Form responses'!$C$2:$C50,"&gt;="&amp;$M$1,'Form responses'!$C$2:$C50,"&lt;="&amp;$P$1,'Form responses'!$D$2:$D50,$B9)
)*Sum!$AB$35)</f>
        <v>0</v>
      </c>
      <c r="J9" s="438">
        <f t="shared" si="1"/>
        <v>0</v>
      </c>
      <c r="K9" s="438">
        <f>(
sumifs('Form responses'!$BF$2:$BF50,'Form responses'!$C$2:$C50,"&gt;="&amp;$M$1,'Form responses'!$C$2:$C50,"&lt;="&amp;$P$1,'Form responses'!$D$2:$D50,$B9)
+
sumifs('Form responses'!$BH$2:$BH50,'Form responses'!$C$2:$C50,"&gt;="&amp;$M$1,'Form responses'!$C$2:$C50,"&lt;="&amp;$P$1,'Form responses'!$D$2:$D50,$B9)
+
sumifs('Form responses'!$BJ$2:$BJ50,'Form responses'!$C$2:$C50,"&gt;="&amp;$M$1,'Form responses'!$C$2:$C50,"&lt;="&amp;$P$1,'Form responses'!$D$2:$D50,$B9)
+
sumifs('Form responses'!$BL$2:$BL50,'Form responses'!$C$2:$C50,"&gt;="&amp;$M$1,'Form responses'!$C$2:$C50,"&lt;="&amp;$P$1,'Form responses'!$D$2:$D50,$B9)
)*Sum!$Q$35</f>
        <v>0</v>
      </c>
      <c r="L9" s="438">
        <f>(
sumifs('Form responses'!$BN$2:$BN50,'Form responses'!$C$2:$C50,"&gt;="&amp;$M$1,'Form responses'!$C$2:$C50,"&lt;="&amp;$P$1,'Form responses'!$D$2:$D50,$B9)
+
sumifs('Form responses'!$BP$2:$BP50,'Form responses'!$C$2:$C50,"&gt;="&amp;$M$1,'Form responses'!$C$2:$C50,"&lt;="&amp;$P$1,'Form responses'!$D$2:$D50,$B9)
)*Sum!$R$35</f>
        <v>0</v>
      </c>
      <c r="M9" s="438">
        <f>(sumifs('Form responses'!$BR$2:$BR50,'Form responses'!$C$2:$C50,"&gt;="&amp;$M$1,'Form responses'!$C$2:$C50,"&lt;="&amp;$P$1,'Form responses'!$D$2:$D50,$B9)+sumifs('Form responses'!$BT$2:$BT50,'Form responses'!$C$2:$C50,"&gt;="&amp;$M$1,'Form responses'!$C$2:$C50,"&lt;="&amp;$P$1,'Form responses'!$D$2:$D50,$B9)+sumifs('Form responses'!$BV$2:$BV50,'Form responses'!$C$2:$C50,"&gt;="&amp;$M$1,'Form responses'!$C$2:$C50,"&lt;="&amp;$P$1,'Form responses'!$D$2:$D50,$B9)+sumifs('Form responses'!$BX$2:$BX50,'Form responses'!$C$2:$C50,"&gt;="&amp;$M$1,'Form responses'!$C$2:$C50,"&lt;="&amp;$P$1,'Form responses'!$D$2:$D50,$B9))*Sum!$S$35</f>
        <v>0</v>
      </c>
      <c r="N9" s="438"/>
      <c r="O9" s="438">
        <f t="shared" si="2"/>
        <v>0</v>
      </c>
      <c r="P9" s="438">
        <f>((sumifs('Form responses'!$BZ$2:$BZ50,'Form responses'!$C$2:$C50,"&gt;="&amp;$M$1,'Form responses'!$C$2:$C50,"&lt;="&amp;$P$1,'Form responses'!$D$2:$D50,$B9)+
sumifs('Form responses'!$CB$2:$CB50,'Form responses'!$C$2:$C50,"&gt;="&amp;$M$1,'Form responses'!$C$2:$C50,"&lt;="&amp;$P$1,'Form responses'!$D$2:$D50,$B9))*Sum!$U$35)</f>
        <v>0</v>
      </c>
      <c r="Q9" s="438">
        <f>(sumifs('Form responses'!$CD$2:$CD50,'Form responses'!$C$2:$C50,"&gt;="&amp;$M$1,'Form responses'!$C$2:$C50,"&lt;="&amp;$P$1,'Form responses'!$D$2:$D50,$B9)+sumifs('Form responses'!$CF$2:$CF50,'Form responses'!$C$2:$C50,"&gt;="&amp;$M$1,'Form responses'!$C$2:$C50,"&lt;="&amp;$P$1,'Form responses'!$D$2:$D50,$B9))*Sum!$S$35</f>
        <v>0</v>
      </c>
      <c r="R9" s="438">
        <f t="shared" si="3"/>
        <v>0</v>
      </c>
      <c r="S9" s="440">
        <f t="shared" si="4"/>
        <v>0</v>
      </c>
      <c r="T9" s="441">
        <f>sum(S9:S13)</f>
        <v>4925</v>
      </c>
    </row>
    <row r="10" ht="27.75" customHeight="1">
      <c r="A10" s="443">
        <v>8.0</v>
      </c>
      <c r="B10" s="436" t="s">
        <v>27</v>
      </c>
      <c r="C10" s="437">
        <f>((sumifs('Form responses'!$I$2:$I50,'Form responses'!$C$2:$C50,"&gt;="&amp;$M$1,'Form responses'!$C$2:$C50,"&lt;="&amp;$P$1,'Form responses'!$D$2:$D50,$B10)
+sumifs('Form responses'!$J$2:$J50,'Form responses'!$C$2:$C50,"&gt;="&amp;$M$1,'Form responses'!$C$2:$C50,"&lt;="&amp;$P$1,'Form responses'!$D$2:$D50,$B10)
+sumifs('Form responses'!$K$2:$K50,'Form responses'!$C$2:$C50,"&gt;="&amp;$M$1,'Form responses'!$C$2:$C50,"&lt;="&amp;$P$1,'Form responses'!$D$2:$D50,$B10)
)*Sum!$B$35)</f>
        <v>1030</v>
      </c>
      <c r="D10" s="438">
        <f>((sumifs('Form responses'!$L$2:$L50,'Form responses'!$C$2:$C50,"&gt;="&amp;$M$1,'Form responses'!$C$2:$C50,"&lt;="&amp;$P$1,'Form responses'!$D$2:$D50,$B10))*Sum!$C$35)</f>
        <v>0</v>
      </c>
      <c r="E10" s="438">
        <f>((
sumifs('Form responses'!$U$2:$U50,'Form responses'!$C$2:$C50,"&gt;="&amp;$M$1,'Form responses'!$C$2:$C50,"&lt;="&amp;$P$1,'Form responses'!$D$2:$D50,$B10)
+
sumifs('Form responses'!$V$2:$V50,'Form responses'!$C$2:$C50,"&gt;="&amp;$M$1,'Form responses'!$C$2:$C50,"&lt;="&amp;$P$1,'Form responses'!$D$2:$D50,$B10)
)*Sum!$E$35
)</f>
        <v>0</v>
      </c>
      <c r="F10" s="438">
        <f>sumifs('Form responses'!$W$2:$W50,'Form responses'!$C$2:$C50,"&gt;="&amp;$M$1,'Form responses'!$C$2:$C50,"&lt;="&amp;$P$1,'Form responses'!$D$2:$D50,$B10)
*Sum!$D$35</f>
        <v>0</v>
      </c>
      <c r="G10" s="439">
        <f>sumifs('Form responses'!$GN$2:$GN50,'Form responses'!$B$2:$B50,"&gt;="&amp;$M$1,'Form responses'!$C$2:$C50,"&lt;="&amp;$P$1,'Form responses'!$D$2:$D50,$B10)*Sum!$V$35+sumifs('Form responses'!$GO$2:$GO50,'Form responses'!$B$2:$B50,"&gt;="&amp;$M$1,'Form responses'!$C$2:$C50,"&lt;="&amp;$P$1,'Form responses'!$D$2:$D50,$B10)*Sum!$W$35+sumifs('Form responses'!$GP$2:$GP50,'Form responses'!$B$2:$B50,"&gt;="&amp;$M$1,'Form responses'!$C$2:$C50,"&lt;="&amp;$P$1,'Form responses'!$D$2:$D50,$B10)*Sum!$X$35+sumifs('Form responses'!$GQ$2:$GQ50,'Form responses'!$B$2:$B50,"&gt;="&amp;$M$1,'Form responses'!$C$2:$C50,"&lt;="&amp;$P$1,'Form responses'!$D$2:$D50,$B10)*Sum!$Y$35</f>
        <v>0</v>
      </c>
      <c r="H10" s="438">
        <f>((
sumifs('Form responses'!$X$2:$X50,'Form responses'!$C$2:$C50,"&gt;="&amp;$M$1,'Form responses'!$C$2:$C50,"&lt;="&amp;$P$1,'Form responses'!$D$2:$D50,$B10)
)*
Sum!$F$35
)+((
sumifs('Form responses'!$Y$2:$Y50,'Form responses'!$C$2:$C50,"&gt;="&amp;$M$1,'Form responses'!$C$2:$C50,"&lt;="&amp;$P$1,'Form responses'!$D$2:$D50,$B10)
)*
Sum!$G$35
)</f>
        <v>0</v>
      </c>
      <c r="I10" s="438">
        <f>((
sumifs('Form responses'!$Z$2:$Z50,'Form responses'!$C$2:$C50,"&gt;="&amp;$M$1,'Form responses'!$C$2:$C50,"&lt;="&amp;$P$1,'Form responses'!$D$2:$D50,$B10)
)*Sum!$H$35)+((
sumifs('Form responses'!$AA$2:$AA50,'Form responses'!$C$2:$C50,"&gt;="&amp;$M$1,'Form responses'!$C$2:$C50,"&lt;="&amp;$P$1,'Form responses'!$D$2:$D50,$B10)
)*Sum!$I$35)+((
sumifs('Form responses'!$AB$2:$AB50,'Form responses'!$C$2:$C50,"&gt;="&amp;$M$1,'Form responses'!$C$2:$C50,"&lt;="&amp;$P$1,'Form responses'!$D$2:$D50,$B10)
)*Sum!$Z$35)+((
sumifs('Form responses'!$AC$2:$AC50,'Form responses'!$C$2:$C50,"&gt;="&amp;$M$1,'Form responses'!$C$2:$C50,"&lt;="&amp;$P$1,'Form responses'!$D$2:$D50,$B10)
)*Sum!$AA$35)+((
sumifs('Form responses'!$AD$2:$AD50,'Form responses'!$C$2:$C50,"&gt;="&amp;$M$1,'Form responses'!$C$2:$C50,"&lt;="&amp;$P$1,'Form responses'!$D$2:$D50,$B10)
)*Sum!$AB$35)</f>
        <v>0</v>
      </c>
      <c r="J10" s="438">
        <f t="shared" si="1"/>
        <v>1030</v>
      </c>
      <c r="K10" s="438">
        <f>(
sumifs('Form responses'!$BF$2:$BF50,'Form responses'!$C$2:$C50,"&gt;="&amp;$M$1,'Form responses'!$C$2:$C50,"&lt;="&amp;$P$1,'Form responses'!$D$2:$D50,$B10)
+
sumifs('Form responses'!$BH$2:$BH50,'Form responses'!$C$2:$C50,"&gt;="&amp;$M$1,'Form responses'!$C$2:$C50,"&lt;="&amp;$P$1,'Form responses'!$D$2:$D50,$B10)
+
sumifs('Form responses'!$BJ$2:$BJ50,'Form responses'!$C$2:$C50,"&gt;="&amp;$M$1,'Form responses'!$C$2:$C50,"&lt;="&amp;$P$1,'Form responses'!$D$2:$D50,$B10)
+
sumifs('Form responses'!$BL$2:$BL50,'Form responses'!$C$2:$C50,"&gt;="&amp;$M$1,'Form responses'!$C$2:$C50,"&lt;="&amp;$P$1,'Form responses'!$D$2:$D50,$B10)
)*Sum!$Q$35</f>
        <v>0</v>
      </c>
      <c r="L10" s="438">
        <f>(
sumifs('Form responses'!$BN$2:$BN50,'Form responses'!$C$2:$C50,"&gt;="&amp;$M$1,'Form responses'!$C$2:$C50,"&lt;="&amp;$P$1,'Form responses'!$D$2:$D50,$B10)
+
sumifs('Form responses'!$BP$2:$BP50,'Form responses'!$C$2:$C50,"&gt;="&amp;$M$1,'Form responses'!$C$2:$C50,"&lt;="&amp;$P$1,'Form responses'!$D$2:$D50,$B10)
)*Sum!$R$35</f>
        <v>0</v>
      </c>
      <c r="M10" s="438">
        <f>(sumifs('Form responses'!$BR$2:$BR50,'Form responses'!$C$2:$C50,"&gt;="&amp;$M$1,'Form responses'!$C$2:$C50,"&lt;="&amp;$P$1,'Form responses'!$D$2:$D50,$B10)+sumifs('Form responses'!$BT$2:$BT50,'Form responses'!$C$2:$C50,"&gt;="&amp;$M$1,'Form responses'!$C$2:$C50,"&lt;="&amp;$P$1,'Form responses'!$D$2:$D50,$B10)+sumifs('Form responses'!$BV$2:$BV50,'Form responses'!$C$2:$C50,"&gt;="&amp;$M$1,'Form responses'!$C$2:$C50,"&lt;="&amp;$P$1,'Form responses'!$D$2:$D50,$B10)+sumifs('Form responses'!$BX$2:$BX50,'Form responses'!$C$2:$C50,"&gt;="&amp;$M$1,'Form responses'!$C$2:$C50,"&lt;="&amp;$P$1,'Form responses'!$D$2:$D50,$B10))*Sum!$S$35</f>
        <v>0</v>
      </c>
      <c r="N10" s="438"/>
      <c r="O10" s="438">
        <f t="shared" si="2"/>
        <v>0</v>
      </c>
      <c r="P10" s="438">
        <f>((sumifs('Form responses'!$BZ$2:$BZ50,'Form responses'!$C$2:$C50,"&gt;="&amp;$M$1,'Form responses'!$C$2:$C50,"&lt;="&amp;$P$1,'Form responses'!$D$2:$D50,$B10)+
sumifs('Form responses'!$CB$2:$CB50,'Form responses'!$C$2:$C50,"&gt;="&amp;$M$1,'Form responses'!$C$2:$C50,"&lt;="&amp;$P$1,'Form responses'!$D$2:$D50,$B10))*Sum!$U$35)</f>
        <v>1125</v>
      </c>
      <c r="Q10" s="438">
        <f>(sumifs('Form responses'!$CD$2:$CD50,'Form responses'!$C$2:$C50,"&gt;="&amp;$M$1,'Form responses'!$C$2:$C50,"&lt;="&amp;$P$1,'Form responses'!$D$2:$D50,$B10)+sumifs('Form responses'!$CF$2:$CF50,'Form responses'!$C$2:$C50,"&gt;="&amp;$M$1,'Form responses'!$C$2:$C50,"&lt;="&amp;$P$1,'Form responses'!$D$2:$D50,$B10))*Sum!$S$35</f>
        <v>0</v>
      </c>
      <c r="R10" s="438">
        <f t="shared" si="3"/>
        <v>1125</v>
      </c>
      <c r="S10" s="440">
        <f t="shared" si="4"/>
        <v>2155</v>
      </c>
      <c r="T10" s="331"/>
    </row>
    <row r="11" ht="27.75" customHeight="1">
      <c r="A11" s="435">
        <v>9.0</v>
      </c>
      <c r="B11" s="442" t="s">
        <v>126</v>
      </c>
      <c r="C11" s="437">
        <f>((sumifs('Form responses'!$I$2:$I50,'Form responses'!$C$2:$C50,"&gt;="&amp;$M$1,'Form responses'!$C$2:$C50,"&lt;="&amp;$P$1,'Form responses'!$D$2:$D50,$B11)
+sumifs('Form responses'!$J$2:$J50,'Form responses'!$C$2:$C50,"&gt;="&amp;$M$1,'Form responses'!$C$2:$C50,"&lt;="&amp;$P$1,'Form responses'!$D$2:$D50,$B11)
+sumifs('Form responses'!$K$2:$K50,'Form responses'!$C$2:$C50,"&gt;="&amp;$M$1,'Form responses'!$C$2:$C50,"&lt;="&amp;$P$1,'Form responses'!$D$2:$D50,$B11)
)*Sum!$B$35)</f>
        <v>0</v>
      </c>
      <c r="D11" s="438">
        <f>((sumifs('Form responses'!$L$2:$L50,'Form responses'!$C$2:$C50,"&gt;="&amp;$M$1,'Form responses'!$C$2:$C50,"&lt;="&amp;$P$1,'Form responses'!$D$2:$D50,$B11))*Sum!$C$35)</f>
        <v>0</v>
      </c>
      <c r="E11" s="438">
        <f>((
sumifs('Form responses'!$U$2:$U50,'Form responses'!$C$2:$C50,"&gt;="&amp;$M$1,'Form responses'!$C$2:$C50,"&lt;="&amp;$P$1,'Form responses'!$D$2:$D50,$B11)
+
sumifs('Form responses'!$V$2:$V50,'Form responses'!$C$2:$C50,"&gt;="&amp;$M$1,'Form responses'!$C$2:$C50,"&lt;="&amp;$P$1,'Form responses'!$D$2:$D50,$B11)
)*Sum!$E$35
)</f>
        <v>0</v>
      </c>
      <c r="F11" s="438">
        <f>sumifs('Form responses'!$W$2:$W50,'Form responses'!$C$2:$C50,"&gt;="&amp;$M$1,'Form responses'!$C$2:$C50,"&lt;="&amp;$P$1,'Form responses'!$D$2:$D50,$B11)
*Sum!$D$35</f>
        <v>0</v>
      </c>
      <c r="G11" s="439">
        <f>sumifs('Form responses'!$GN$2:$GN50,'Form responses'!$B$2:$B50,"&gt;="&amp;$M$1,'Form responses'!$C$2:$C50,"&lt;="&amp;$P$1,'Form responses'!$D$2:$D50,$B11)*Sum!$V$35+sumifs('Form responses'!$GO$2:$GO50,'Form responses'!$B$2:$B50,"&gt;="&amp;$M$1,'Form responses'!$C$2:$C50,"&lt;="&amp;$P$1,'Form responses'!$D$2:$D50,$B11)*Sum!$W$35+sumifs('Form responses'!$GP$2:$GP50,'Form responses'!$B$2:$B50,"&gt;="&amp;$M$1,'Form responses'!$C$2:$C50,"&lt;="&amp;$P$1,'Form responses'!$D$2:$D50,$B11)*Sum!$X$35+sumifs('Form responses'!$GQ$2:$GQ50,'Form responses'!$B$2:$B50,"&gt;="&amp;$M$1,'Form responses'!$C$2:$C50,"&lt;="&amp;$P$1,'Form responses'!$D$2:$D50,$B11)*Sum!$Y$35</f>
        <v>0</v>
      </c>
      <c r="H11" s="438">
        <f>((
sumifs('Form responses'!$X$2:$X50,'Form responses'!$C$2:$C50,"&gt;="&amp;$M$1,'Form responses'!$C$2:$C50,"&lt;="&amp;$P$1,'Form responses'!$D$2:$D50,$B11)
)*
Sum!$F$35
)+((
sumifs('Form responses'!$Y$2:$Y50,'Form responses'!$C$2:$C50,"&gt;="&amp;$M$1,'Form responses'!$C$2:$C50,"&lt;="&amp;$P$1,'Form responses'!$D$2:$D50,$B11)
)*
Sum!$G$35
)</f>
        <v>0</v>
      </c>
      <c r="I11" s="438">
        <f>((
sumifs('Form responses'!$Z$2:$Z50,'Form responses'!$C$2:$C50,"&gt;="&amp;$M$1,'Form responses'!$C$2:$C50,"&lt;="&amp;$P$1,'Form responses'!$D$2:$D50,$B11)
)*Sum!$H$35)+((
sumifs('Form responses'!$AA$2:$AA50,'Form responses'!$C$2:$C50,"&gt;="&amp;$M$1,'Form responses'!$C$2:$C50,"&lt;="&amp;$P$1,'Form responses'!$D$2:$D50,$B11)
)*Sum!$I$35)+((
sumifs('Form responses'!$AB$2:$AB50,'Form responses'!$C$2:$C50,"&gt;="&amp;$M$1,'Form responses'!$C$2:$C50,"&lt;="&amp;$P$1,'Form responses'!$D$2:$D50,$B11)
)*Sum!$Z$35)+((
sumifs('Form responses'!$AC$2:$AC50,'Form responses'!$C$2:$C50,"&gt;="&amp;$M$1,'Form responses'!$C$2:$C50,"&lt;="&amp;$P$1,'Form responses'!$D$2:$D50,$B11)
)*Sum!$AA$35)+((
sumifs('Form responses'!$AD$2:$AD50,'Form responses'!$C$2:$C50,"&gt;="&amp;$M$1,'Form responses'!$C$2:$C50,"&lt;="&amp;$P$1,'Form responses'!$D$2:$D50,$B11)
)*Sum!$AB$35)</f>
        <v>0</v>
      </c>
      <c r="J11" s="438">
        <f t="shared" si="1"/>
        <v>0</v>
      </c>
      <c r="K11" s="438">
        <f>(
sumifs('Form responses'!$BF$2:$BF50,'Form responses'!$C$2:$C50,"&gt;="&amp;$M$1,'Form responses'!$C$2:$C50,"&lt;="&amp;$P$1,'Form responses'!$D$2:$D50,$B11)
+
sumifs('Form responses'!$BH$2:$BH50,'Form responses'!$C$2:$C50,"&gt;="&amp;$M$1,'Form responses'!$C$2:$C50,"&lt;="&amp;$P$1,'Form responses'!$D$2:$D50,$B11)
+
sumifs('Form responses'!$BJ$2:$BJ50,'Form responses'!$C$2:$C50,"&gt;="&amp;$M$1,'Form responses'!$C$2:$C50,"&lt;="&amp;$P$1,'Form responses'!$D$2:$D50,$B11)
+
sumifs('Form responses'!$BL$2:$BL50,'Form responses'!$C$2:$C50,"&gt;="&amp;$M$1,'Form responses'!$C$2:$C50,"&lt;="&amp;$P$1,'Form responses'!$D$2:$D50,$B11)
)*Sum!$Q$35</f>
        <v>0</v>
      </c>
      <c r="L11" s="438">
        <f>(
sumifs('Form responses'!$BN$2:$BN50,'Form responses'!$C$2:$C50,"&gt;="&amp;$M$1,'Form responses'!$C$2:$C50,"&lt;="&amp;$P$1,'Form responses'!$D$2:$D50,$B11)
+
sumifs('Form responses'!$BP$2:$BP50,'Form responses'!$C$2:$C50,"&gt;="&amp;$M$1,'Form responses'!$C$2:$C50,"&lt;="&amp;$P$1,'Form responses'!$D$2:$D50,$B11)
)*Sum!$R$35</f>
        <v>0</v>
      </c>
      <c r="M11" s="438">
        <f>(sumifs('Form responses'!$BR$2:$BR50,'Form responses'!$C$2:$C50,"&gt;="&amp;$M$1,'Form responses'!$C$2:$C50,"&lt;="&amp;$P$1,'Form responses'!$D$2:$D50,$B11)+sumifs('Form responses'!$BT$2:$BT50,'Form responses'!$C$2:$C50,"&gt;="&amp;$M$1,'Form responses'!$C$2:$C50,"&lt;="&amp;$P$1,'Form responses'!$D$2:$D50,$B11)+sumifs('Form responses'!$BV$2:$BV50,'Form responses'!$C$2:$C50,"&gt;="&amp;$M$1,'Form responses'!$C$2:$C50,"&lt;="&amp;$P$1,'Form responses'!$D$2:$D50,$B11)+sumifs('Form responses'!$BX$2:$BX50,'Form responses'!$C$2:$C50,"&gt;="&amp;$M$1,'Form responses'!$C$2:$C50,"&lt;="&amp;$P$1,'Form responses'!$D$2:$D50,$B11))*Sum!$S$35</f>
        <v>0</v>
      </c>
      <c r="N11" s="438"/>
      <c r="O11" s="438">
        <f t="shared" si="2"/>
        <v>0</v>
      </c>
      <c r="P11" s="438">
        <f>((sumifs('Form responses'!$BZ$2:$BZ50,'Form responses'!$C$2:$C50,"&gt;="&amp;$M$1,'Form responses'!$C$2:$C50,"&lt;="&amp;$P$1,'Form responses'!$D$2:$D50,$B11)+
sumifs('Form responses'!$CB$2:$CB50,'Form responses'!$C$2:$C50,"&gt;="&amp;$M$1,'Form responses'!$C$2:$C50,"&lt;="&amp;$P$1,'Form responses'!$D$2:$D50,$B11))*Sum!$U$35)</f>
        <v>0</v>
      </c>
      <c r="Q11" s="438">
        <f>(sumifs('Form responses'!$CD$2:$CD50,'Form responses'!$C$2:$C50,"&gt;="&amp;$M$1,'Form responses'!$C$2:$C50,"&lt;="&amp;$P$1,'Form responses'!$D$2:$D50,$B11)+sumifs('Form responses'!$CF$2:$CF50,'Form responses'!$C$2:$C50,"&gt;="&amp;$M$1,'Form responses'!$C$2:$C50,"&lt;="&amp;$P$1,'Form responses'!$D$2:$D50,$B11))*Sum!$S$35</f>
        <v>0</v>
      </c>
      <c r="R11" s="438">
        <f t="shared" si="3"/>
        <v>0</v>
      </c>
      <c r="S11" s="440">
        <f t="shared" si="4"/>
        <v>0</v>
      </c>
      <c r="T11" s="331"/>
    </row>
    <row r="12" ht="27.75" customHeight="1">
      <c r="A12" s="443">
        <v>10.0</v>
      </c>
      <c r="B12" s="442" t="s">
        <v>32</v>
      </c>
      <c r="C12" s="437">
        <f>((sumifs('Form responses'!$I$2:$I50,'Form responses'!$C$2:$C50,"&gt;="&amp;$M$1,'Form responses'!$C$2:$C50,"&lt;="&amp;$P$1,'Form responses'!$D$2:$D50,$B12)
+sumifs('Form responses'!$J$2:$J50,'Form responses'!$C$2:$C50,"&gt;="&amp;$M$1,'Form responses'!$C$2:$C50,"&lt;="&amp;$P$1,'Form responses'!$D$2:$D50,$B12)
+sumifs('Form responses'!$K$2:$K50,'Form responses'!$C$2:$C50,"&gt;="&amp;$M$1,'Form responses'!$C$2:$C50,"&lt;="&amp;$P$1,'Form responses'!$D$2:$D50,$B12)
)*Sum!$B$35)</f>
        <v>450</v>
      </c>
      <c r="D12" s="438">
        <f>((sumifs('Form responses'!$L$2:$L50,'Form responses'!$C$2:$C50,"&gt;="&amp;$M$1,'Form responses'!$C$2:$C50,"&lt;="&amp;$P$1,'Form responses'!$D$2:$D50,$B12))*Sum!$C$35)</f>
        <v>0</v>
      </c>
      <c r="E12" s="438">
        <f>((
sumifs('Form responses'!$U$2:$U50,'Form responses'!$C$2:$C50,"&gt;="&amp;$M$1,'Form responses'!$C$2:$C50,"&lt;="&amp;$P$1,'Form responses'!$D$2:$D50,$B12)
+
sumifs('Form responses'!$V$2:$V50,'Form responses'!$C$2:$C50,"&gt;="&amp;$M$1,'Form responses'!$C$2:$C50,"&lt;="&amp;$P$1,'Form responses'!$D$2:$D50,$B12)
)*Sum!$E$35
)</f>
        <v>0</v>
      </c>
      <c r="F12" s="438">
        <f>sumifs('Form responses'!$W$2:$W50,'Form responses'!$C$2:$C50,"&gt;="&amp;$M$1,'Form responses'!$C$2:$C50,"&lt;="&amp;$P$1,'Form responses'!$D$2:$D50,$B12)
*Sum!$D$35</f>
        <v>0</v>
      </c>
      <c r="G12" s="439">
        <f>sumifs('Form responses'!$GN$2:$GN50,'Form responses'!$B$2:$B50,"&gt;="&amp;$M$1,'Form responses'!$C$2:$C50,"&lt;="&amp;$P$1,'Form responses'!$D$2:$D50,$B12)*Sum!$V$35+sumifs('Form responses'!$GO$2:$GO50,'Form responses'!$B$2:$B50,"&gt;="&amp;$M$1,'Form responses'!$C$2:$C50,"&lt;="&amp;$P$1,'Form responses'!$D$2:$D50,$B12)*Sum!$W$35+sumifs('Form responses'!$GP$2:$GP50,'Form responses'!$B$2:$B50,"&gt;="&amp;$M$1,'Form responses'!$C$2:$C50,"&lt;="&amp;$P$1,'Form responses'!$D$2:$D50,$B12)*Sum!$X$35+sumifs('Form responses'!$GQ$2:$GQ50,'Form responses'!$B$2:$B50,"&gt;="&amp;$M$1,'Form responses'!$C$2:$C50,"&lt;="&amp;$P$1,'Form responses'!$D$2:$D50,$B12)*Sum!$Y$35</f>
        <v>0</v>
      </c>
      <c r="H12" s="438">
        <f>((
sumifs('Form responses'!$X$2:$X50,'Form responses'!$C$2:$C50,"&gt;="&amp;$M$1,'Form responses'!$C$2:$C50,"&lt;="&amp;$P$1,'Form responses'!$D$2:$D50,$B12)
)*
Sum!$F$35
)+((
sumifs('Form responses'!$Y$2:$Y50,'Form responses'!$C$2:$C50,"&gt;="&amp;$M$1,'Form responses'!$C$2:$C50,"&lt;="&amp;$P$1,'Form responses'!$D$2:$D50,$B12)
)*
Sum!$G$35
)</f>
        <v>0</v>
      </c>
      <c r="I12" s="438">
        <f>((
sumifs('Form responses'!$Z$2:$Z50,'Form responses'!$C$2:$C50,"&gt;="&amp;$M$1,'Form responses'!$C$2:$C50,"&lt;="&amp;$P$1,'Form responses'!$D$2:$D50,$B12)
)*Sum!$H$35)+((
sumifs('Form responses'!$AA$2:$AA50,'Form responses'!$C$2:$C50,"&gt;="&amp;$M$1,'Form responses'!$C$2:$C50,"&lt;="&amp;$P$1,'Form responses'!$D$2:$D50,$B12)
)*Sum!$I$35)+((
sumifs('Form responses'!$AB$2:$AB50,'Form responses'!$C$2:$C50,"&gt;="&amp;$M$1,'Form responses'!$C$2:$C50,"&lt;="&amp;$P$1,'Form responses'!$D$2:$D50,$B12)
)*Sum!$Z$35)+((
sumifs('Form responses'!$AC$2:$AC50,'Form responses'!$C$2:$C50,"&gt;="&amp;$M$1,'Form responses'!$C$2:$C50,"&lt;="&amp;$P$1,'Form responses'!$D$2:$D50,$B12)
)*Sum!$AA$35)+((
sumifs('Form responses'!$AD$2:$AD50,'Form responses'!$C$2:$C50,"&gt;="&amp;$M$1,'Form responses'!$C$2:$C50,"&lt;="&amp;$P$1,'Form responses'!$D$2:$D50,$B12)
)*Sum!$AB$35)</f>
        <v>0</v>
      </c>
      <c r="J12" s="438">
        <f t="shared" si="1"/>
        <v>450</v>
      </c>
      <c r="K12" s="438">
        <f>(
sumifs('Form responses'!$BF$2:$BF50,'Form responses'!$C$2:$C50,"&gt;="&amp;$M$1,'Form responses'!$C$2:$C50,"&lt;="&amp;$P$1,'Form responses'!$D$2:$D50,$B12)
+
sumifs('Form responses'!$BH$2:$BH50,'Form responses'!$C$2:$C50,"&gt;="&amp;$M$1,'Form responses'!$C$2:$C50,"&lt;="&amp;$P$1,'Form responses'!$D$2:$D50,$B12)
+
sumifs('Form responses'!$BJ$2:$BJ50,'Form responses'!$C$2:$C50,"&gt;="&amp;$M$1,'Form responses'!$C$2:$C50,"&lt;="&amp;$P$1,'Form responses'!$D$2:$D50,$B12)
+
sumifs('Form responses'!$BL$2:$BL50,'Form responses'!$C$2:$C50,"&gt;="&amp;$M$1,'Form responses'!$C$2:$C50,"&lt;="&amp;$P$1,'Form responses'!$D$2:$D50,$B12)
)*Sum!$Q$35</f>
        <v>550</v>
      </c>
      <c r="L12" s="438">
        <f>(
sumifs('Form responses'!$BN$2:$BN50,'Form responses'!$C$2:$C50,"&gt;="&amp;$M$1,'Form responses'!$C$2:$C50,"&lt;="&amp;$P$1,'Form responses'!$D$2:$D50,$B12)
+
sumifs('Form responses'!$BP$2:$BP50,'Form responses'!$C$2:$C50,"&gt;="&amp;$M$1,'Form responses'!$C$2:$C50,"&lt;="&amp;$P$1,'Form responses'!$D$2:$D50,$B12)
)*Sum!$R$35</f>
        <v>210</v>
      </c>
      <c r="M12" s="438">
        <f>(sumifs('Form responses'!$BR$2:$BR50,'Form responses'!$C$2:$C50,"&gt;="&amp;$M$1,'Form responses'!$C$2:$C50,"&lt;="&amp;$P$1,'Form responses'!$D$2:$D50,$B12)+sumifs('Form responses'!$BT$2:$BT50,'Form responses'!$C$2:$C50,"&gt;="&amp;$M$1,'Form responses'!$C$2:$C50,"&lt;="&amp;$P$1,'Form responses'!$D$2:$D50,$B12)+sumifs('Form responses'!$BV$2:$BV50,'Form responses'!$C$2:$C50,"&gt;="&amp;$M$1,'Form responses'!$C$2:$C50,"&lt;="&amp;$P$1,'Form responses'!$D$2:$D50,$B12)+sumifs('Form responses'!$BX$2:$BX50,'Form responses'!$C$2:$C50,"&gt;="&amp;$M$1,'Form responses'!$C$2:$C50,"&lt;="&amp;$P$1,'Form responses'!$D$2:$D50,$B12))*Sum!$S$35</f>
        <v>0</v>
      </c>
      <c r="N12" s="438"/>
      <c r="O12" s="438">
        <f t="shared" si="2"/>
        <v>760</v>
      </c>
      <c r="P12" s="438">
        <f>((sumifs('Form responses'!$BZ$2:$BZ50,'Form responses'!$C$2:$C50,"&gt;="&amp;$M$1,'Form responses'!$C$2:$C50,"&lt;="&amp;$P$1,'Form responses'!$D$2:$D50,$B12)+
sumifs('Form responses'!$CB$2:$CB50,'Form responses'!$C$2:$C50,"&gt;="&amp;$M$1,'Form responses'!$C$2:$C50,"&lt;="&amp;$P$1,'Form responses'!$D$2:$D50,$B12))*Sum!$U$35)</f>
        <v>200</v>
      </c>
      <c r="Q12" s="438">
        <f>(sumifs('Form responses'!$CD$2:$CD50,'Form responses'!$C$2:$C50,"&gt;="&amp;$M$1,'Form responses'!$C$2:$C50,"&lt;="&amp;$P$1,'Form responses'!$D$2:$D50,$B12)+sumifs('Form responses'!$CF$2:$CF50,'Form responses'!$C$2:$C50,"&gt;="&amp;$M$1,'Form responses'!$C$2:$C50,"&lt;="&amp;$P$1,'Form responses'!$D$2:$D50,$B12))*Sum!$S$35</f>
        <v>0</v>
      </c>
      <c r="R12" s="438">
        <f t="shared" si="3"/>
        <v>960</v>
      </c>
      <c r="S12" s="440">
        <f t="shared" si="4"/>
        <v>1410</v>
      </c>
      <c r="T12" s="331"/>
    </row>
    <row r="13" ht="27.75" customHeight="1">
      <c r="A13" s="435">
        <v>11.0</v>
      </c>
      <c r="B13" s="436" t="s">
        <v>31</v>
      </c>
      <c r="C13" s="437">
        <f>((sumifs('Form responses'!$I$2:$I50,'Form responses'!$C$2:$C50,"&gt;="&amp;$M$1,'Form responses'!$C$2:$C50,"&lt;="&amp;$P$1,'Form responses'!$D$2:$D50,$B13)
+sumifs('Form responses'!$J$2:$J50,'Form responses'!$C$2:$C50,"&gt;="&amp;$M$1,'Form responses'!$C$2:$C50,"&lt;="&amp;$P$1,'Form responses'!$D$2:$D50,$B13)
+sumifs('Form responses'!$K$2:$K50,'Form responses'!$C$2:$C50,"&gt;="&amp;$M$1,'Form responses'!$C$2:$C50,"&lt;="&amp;$P$1,'Form responses'!$D$2:$D50,$B13)
)*Sum!$B$35)</f>
        <v>610</v>
      </c>
      <c r="D13" s="438">
        <f>((sumifs('Form responses'!$L$2:$L50,'Form responses'!$C$2:$C50,"&gt;="&amp;$M$1,'Form responses'!$C$2:$C50,"&lt;="&amp;$P$1,'Form responses'!$D$2:$D50,$B13))*Sum!$C$35)</f>
        <v>0</v>
      </c>
      <c r="E13" s="438">
        <f>((
sumifs('Form responses'!$U$2:$U50,'Form responses'!$C$2:$C50,"&gt;="&amp;$M$1,'Form responses'!$C$2:$C50,"&lt;="&amp;$P$1,'Form responses'!$D$2:$D50,$B13)
+
sumifs('Form responses'!$V$2:$V50,'Form responses'!$C$2:$C50,"&gt;="&amp;$M$1,'Form responses'!$C$2:$C50,"&lt;="&amp;$P$1,'Form responses'!$D$2:$D50,$B13)
)*Sum!$E$35
)</f>
        <v>0</v>
      </c>
      <c r="F13" s="438">
        <f>sumifs('Form responses'!$W$2:$W50,'Form responses'!$C$2:$C50,"&gt;="&amp;$M$1,'Form responses'!$C$2:$C50,"&lt;="&amp;$P$1,'Form responses'!$D$2:$D50,$B13)
*Sum!$D$35</f>
        <v>0</v>
      </c>
      <c r="G13" s="439">
        <f>sumifs('Form responses'!$GN$2:$GN50,'Form responses'!$B$2:$B50,"&gt;="&amp;$M$1,'Form responses'!$C$2:$C50,"&lt;="&amp;$P$1,'Form responses'!$D$2:$D50,$B13)*Sum!$V$35+sumifs('Form responses'!$GO$2:$GO50,'Form responses'!$B$2:$B50,"&gt;="&amp;$M$1,'Form responses'!$C$2:$C50,"&lt;="&amp;$P$1,'Form responses'!$D$2:$D50,$B13)*Sum!$W$35+sumifs('Form responses'!$GP$2:$GP50,'Form responses'!$B$2:$B50,"&gt;="&amp;$M$1,'Form responses'!$C$2:$C50,"&lt;="&amp;$P$1,'Form responses'!$D$2:$D50,$B13)*Sum!$X$35+sumifs('Form responses'!$GQ$2:$GQ50,'Form responses'!$B$2:$B50,"&gt;="&amp;$M$1,'Form responses'!$C$2:$C50,"&lt;="&amp;$P$1,'Form responses'!$D$2:$D50,$B13)*Sum!$Y$35</f>
        <v>0</v>
      </c>
      <c r="H13" s="438">
        <f>((
sumifs('Form responses'!$X$2:$X50,'Form responses'!$C$2:$C50,"&gt;="&amp;$M$1,'Form responses'!$C$2:$C50,"&lt;="&amp;$P$1,'Form responses'!$D$2:$D50,$B13)
)*
Sum!$F$35
)+((
sumifs('Form responses'!$Y$2:$Y50,'Form responses'!$C$2:$C50,"&gt;="&amp;$M$1,'Form responses'!$C$2:$C50,"&lt;="&amp;$P$1,'Form responses'!$D$2:$D50,$B13)
)*
Sum!$G$35
)</f>
        <v>0</v>
      </c>
      <c r="I13" s="438">
        <f>((
sumifs('Form responses'!$Z$2:$Z50,'Form responses'!$C$2:$C50,"&gt;="&amp;$M$1,'Form responses'!$C$2:$C50,"&lt;="&amp;$P$1,'Form responses'!$D$2:$D50,$B13)
)*Sum!$H$35)+((
sumifs('Form responses'!$AA$2:$AA50,'Form responses'!$C$2:$C50,"&gt;="&amp;$M$1,'Form responses'!$C$2:$C50,"&lt;="&amp;$P$1,'Form responses'!$D$2:$D50,$B13)
)*Sum!$I$35)+((
sumifs('Form responses'!$AB$2:$AB50,'Form responses'!$C$2:$C50,"&gt;="&amp;$M$1,'Form responses'!$C$2:$C50,"&lt;="&amp;$P$1,'Form responses'!$D$2:$D50,$B13)
)*Sum!$Z$35)+((
sumifs('Form responses'!$AC$2:$AC50,'Form responses'!$C$2:$C50,"&gt;="&amp;$M$1,'Form responses'!$C$2:$C50,"&lt;="&amp;$P$1,'Form responses'!$D$2:$D50,$B13)
)*Sum!$AA$35)+((
sumifs('Form responses'!$AD$2:$AD50,'Form responses'!$C$2:$C50,"&gt;="&amp;$M$1,'Form responses'!$C$2:$C50,"&lt;="&amp;$P$1,'Form responses'!$D$2:$D50,$B13)
)*Sum!$AB$35)</f>
        <v>0</v>
      </c>
      <c r="J13" s="438">
        <f t="shared" si="1"/>
        <v>610</v>
      </c>
      <c r="K13" s="438">
        <f>(
sumifs('Form responses'!$BF$2:$BF50,'Form responses'!$C$2:$C50,"&gt;="&amp;$M$1,'Form responses'!$C$2:$C50,"&lt;="&amp;$P$1,'Form responses'!$D$2:$D50,$B13)
+
sumifs('Form responses'!$BH$2:$BH50,'Form responses'!$C$2:$C50,"&gt;="&amp;$M$1,'Form responses'!$C$2:$C50,"&lt;="&amp;$P$1,'Form responses'!$D$2:$D50,$B13)
+
sumifs('Form responses'!$BJ$2:$BJ50,'Form responses'!$C$2:$C50,"&gt;="&amp;$M$1,'Form responses'!$C$2:$C50,"&lt;="&amp;$P$1,'Form responses'!$D$2:$D50,$B13)
+
sumifs('Form responses'!$BL$2:$BL50,'Form responses'!$C$2:$C50,"&gt;="&amp;$M$1,'Form responses'!$C$2:$C50,"&lt;="&amp;$P$1,'Form responses'!$D$2:$D50,$B13)
)*Sum!$Q$35</f>
        <v>600</v>
      </c>
      <c r="L13" s="438">
        <f>(
sumifs('Form responses'!$BN$2:$BN50,'Form responses'!$C$2:$C50,"&gt;="&amp;$M$1,'Form responses'!$C$2:$C50,"&lt;="&amp;$P$1,'Form responses'!$D$2:$D50,$B13)
+
sumifs('Form responses'!$BP$2:$BP50,'Form responses'!$C$2:$C50,"&gt;="&amp;$M$1,'Form responses'!$C$2:$C50,"&lt;="&amp;$P$1,'Form responses'!$D$2:$D50,$B13)
)*Sum!$R$35</f>
        <v>0</v>
      </c>
      <c r="M13" s="438">
        <f>(sumifs('Form responses'!$BR$2:$BR50,'Form responses'!$C$2:$C50,"&gt;="&amp;$M$1,'Form responses'!$C$2:$C50,"&lt;="&amp;$P$1,'Form responses'!$D$2:$D50,$B13)+sumifs('Form responses'!$BT$2:$BT50,'Form responses'!$C$2:$C50,"&gt;="&amp;$M$1,'Form responses'!$C$2:$C50,"&lt;="&amp;$P$1,'Form responses'!$D$2:$D50,$B13)+sumifs('Form responses'!$BV$2:$BV50,'Form responses'!$C$2:$C50,"&gt;="&amp;$M$1,'Form responses'!$C$2:$C50,"&lt;="&amp;$P$1,'Form responses'!$D$2:$D50,$B13)+sumifs('Form responses'!$BX$2:$BX50,'Form responses'!$C$2:$C50,"&gt;="&amp;$M$1,'Form responses'!$C$2:$C50,"&lt;="&amp;$P$1,'Form responses'!$D$2:$D50,$B13))*Sum!$S$35</f>
        <v>0</v>
      </c>
      <c r="N13" s="438"/>
      <c r="O13" s="438">
        <f t="shared" si="2"/>
        <v>600</v>
      </c>
      <c r="P13" s="438">
        <f>((sumifs('Form responses'!$BZ$2:$BZ50,'Form responses'!$C$2:$C50,"&gt;="&amp;$M$1,'Form responses'!$C$2:$C50,"&lt;="&amp;$P$1,'Form responses'!$D$2:$D50,$B13)+
sumifs('Form responses'!$CB$2:$CB50,'Form responses'!$C$2:$C50,"&gt;="&amp;$M$1,'Form responses'!$C$2:$C50,"&lt;="&amp;$P$1,'Form responses'!$D$2:$D50,$B13))*Sum!$U$35)</f>
        <v>150</v>
      </c>
      <c r="Q13" s="438">
        <f>(sumifs('Form responses'!$CD$2:$CD50,'Form responses'!$C$2:$C50,"&gt;="&amp;$M$1,'Form responses'!$C$2:$C50,"&lt;="&amp;$P$1,'Form responses'!$D$2:$D50,$B13)+sumifs('Form responses'!$CF$2:$CF50,'Form responses'!$C$2:$C50,"&gt;="&amp;$M$1,'Form responses'!$C$2:$C50,"&lt;="&amp;$P$1,'Form responses'!$D$2:$D50,$B13))*Sum!$S$35</f>
        <v>0</v>
      </c>
      <c r="R13" s="438">
        <f t="shared" si="3"/>
        <v>750</v>
      </c>
      <c r="S13" s="440">
        <f t="shared" si="4"/>
        <v>1360</v>
      </c>
      <c r="T13" s="322"/>
    </row>
    <row r="14" ht="27.75" customHeight="1">
      <c r="A14" s="443">
        <v>12.0</v>
      </c>
      <c r="B14" s="436" t="s">
        <v>127</v>
      </c>
      <c r="C14" s="437">
        <f>((sumifs('Form responses'!$I$2:$I50,'Form responses'!$C$2:$C50,"&gt;="&amp;$M$1,'Form responses'!$C$2:$C50,"&lt;="&amp;$P$1,'Form responses'!$D$2:$D50,$B14)
+sumifs('Form responses'!$J$2:$J50,'Form responses'!$C$2:$C50,"&gt;="&amp;$M$1,'Form responses'!$C$2:$C50,"&lt;="&amp;$P$1,'Form responses'!$D$2:$D50,$B14)
+sumifs('Form responses'!$K$2:$K50,'Form responses'!$C$2:$C50,"&gt;="&amp;$M$1,'Form responses'!$C$2:$C50,"&lt;="&amp;$P$1,'Form responses'!$D$2:$D50,$B14)
)*Sum!$B$35)</f>
        <v>0</v>
      </c>
      <c r="D14" s="438">
        <f>((sumifs('Form responses'!$L$2:$L50,'Form responses'!$C$2:$C50,"&gt;="&amp;$M$1,'Form responses'!$C$2:$C50,"&lt;="&amp;$P$1,'Form responses'!$D$2:$D50,$B14))*Sum!$C$35)</f>
        <v>0</v>
      </c>
      <c r="E14" s="438">
        <f>((
sumifs('Form responses'!$U$2:$U50,'Form responses'!$C$2:$C50,"&gt;="&amp;$M$1,'Form responses'!$C$2:$C50,"&lt;="&amp;$P$1,'Form responses'!$D$2:$D50,$B14)
+
sumifs('Form responses'!$V$2:$V50,'Form responses'!$C$2:$C50,"&gt;="&amp;$M$1,'Form responses'!$C$2:$C50,"&lt;="&amp;$P$1,'Form responses'!$D$2:$D50,$B14)
)*Sum!$E$35
)</f>
        <v>0</v>
      </c>
      <c r="F14" s="438">
        <f>sumifs('Form responses'!$W$2:$W50,'Form responses'!$C$2:$C50,"&gt;="&amp;$M$1,'Form responses'!$C$2:$C50,"&lt;="&amp;$P$1,'Form responses'!$D$2:$D50,$B14)
*Sum!$D$35</f>
        <v>0</v>
      </c>
      <c r="G14" s="439">
        <f>sumifs('Form responses'!$GN$2:$GN50,'Form responses'!$B$2:$B50,"&gt;="&amp;$M$1,'Form responses'!$C$2:$C50,"&lt;="&amp;$P$1,'Form responses'!$D$2:$D50,$B14)*Sum!$V$35+sumifs('Form responses'!$GO$2:$GO50,'Form responses'!$B$2:$B50,"&gt;="&amp;$M$1,'Form responses'!$C$2:$C50,"&lt;="&amp;$P$1,'Form responses'!$D$2:$D50,$B14)*Sum!$W$35+sumifs('Form responses'!$GP$2:$GP50,'Form responses'!$B$2:$B50,"&gt;="&amp;$M$1,'Form responses'!$C$2:$C50,"&lt;="&amp;$P$1,'Form responses'!$D$2:$D50,$B14)*Sum!$X$35+sumifs('Form responses'!$GQ$2:$GQ50,'Form responses'!$B$2:$B50,"&gt;="&amp;$M$1,'Form responses'!$C$2:$C50,"&lt;="&amp;$P$1,'Form responses'!$D$2:$D50,$B14)*Sum!$Y$35</f>
        <v>0</v>
      </c>
      <c r="H14" s="438">
        <f>((
sumifs('Form responses'!$X$2:$X50,'Form responses'!$C$2:$C50,"&gt;="&amp;$M$1,'Form responses'!$C$2:$C50,"&lt;="&amp;$P$1,'Form responses'!$D$2:$D50,$B14)
)*
Sum!$F$35
)+((
sumifs('Form responses'!$Y$2:$Y50,'Form responses'!$C$2:$C50,"&gt;="&amp;$M$1,'Form responses'!$C$2:$C50,"&lt;="&amp;$P$1,'Form responses'!$D$2:$D50,$B14)
)*
Sum!$G$35
)</f>
        <v>0</v>
      </c>
      <c r="I14" s="438">
        <f>((
sumifs('Form responses'!$Z$2:$Z50,'Form responses'!$C$2:$C50,"&gt;="&amp;$M$1,'Form responses'!$C$2:$C50,"&lt;="&amp;$P$1,'Form responses'!$D$2:$D50,$B14)
)*Sum!$H$35)+((
sumifs('Form responses'!$AA$2:$AA50,'Form responses'!$C$2:$C50,"&gt;="&amp;$M$1,'Form responses'!$C$2:$C50,"&lt;="&amp;$P$1,'Form responses'!$D$2:$D50,$B14)
)*Sum!$I$35)+((
sumifs('Form responses'!$AB$2:$AB50,'Form responses'!$C$2:$C50,"&gt;="&amp;$M$1,'Form responses'!$C$2:$C50,"&lt;="&amp;$P$1,'Form responses'!$D$2:$D50,$B14)
)*Sum!$Z$35)+((
sumifs('Form responses'!$AC$2:$AC50,'Form responses'!$C$2:$C50,"&gt;="&amp;$M$1,'Form responses'!$C$2:$C50,"&lt;="&amp;$P$1,'Form responses'!$D$2:$D50,$B14)
)*Sum!$AA$35)+((
sumifs('Form responses'!$AD$2:$AD50,'Form responses'!$C$2:$C50,"&gt;="&amp;$M$1,'Form responses'!$C$2:$C50,"&lt;="&amp;$P$1,'Form responses'!$D$2:$D50,$B14)
)*Sum!$AB$35)</f>
        <v>0</v>
      </c>
      <c r="J14" s="438">
        <f t="shared" si="1"/>
        <v>0</v>
      </c>
      <c r="K14" s="438">
        <f>(
sumifs('Form responses'!$BF$2:$BF50,'Form responses'!$C$2:$C50,"&gt;="&amp;$M$1,'Form responses'!$C$2:$C50,"&lt;="&amp;$P$1,'Form responses'!$D$2:$D50,$B14)
+
sumifs('Form responses'!$BH$2:$BH50,'Form responses'!$C$2:$C50,"&gt;="&amp;$M$1,'Form responses'!$C$2:$C50,"&lt;="&amp;$P$1,'Form responses'!$D$2:$D50,$B14)
+
sumifs('Form responses'!$BJ$2:$BJ50,'Form responses'!$C$2:$C50,"&gt;="&amp;$M$1,'Form responses'!$C$2:$C50,"&lt;="&amp;$P$1,'Form responses'!$D$2:$D50,$B14)
+
sumifs('Form responses'!$BL$2:$BL50,'Form responses'!$C$2:$C50,"&gt;="&amp;$M$1,'Form responses'!$C$2:$C50,"&lt;="&amp;$P$1,'Form responses'!$D$2:$D50,$B14)
)*Sum!$Q$35</f>
        <v>0</v>
      </c>
      <c r="L14" s="438">
        <f>(
sumifs('Form responses'!$BN$2:$BN50,'Form responses'!$C$2:$C50,"&gt;="&amp;$M$1,'Form responses'!$C$2:$C50,"&lt;="&amp;$P$1,'Form responses'!$D$2:$D50,$B14)
+
sumifs('Form responses'!$BP$2:$BP50,'Form responses'!$C$2:$C50,"&gt;="&amp;$M$1,'Form responses'!$C$2:$C50,"&lt;="&amp;$P$1,'Form responses'!$D$2:$D50,$B14)
)*Sum!$R$35</f>
        <v>0</v>
      </c>
      <c r="M14" s="438">
        <f>(sumifs('Form responses'!$BR$2:$BR50,'Form responses'!$C$2:$C50,"&gt;="&amp;$M$1,'Form responses'!$C$2:$C50,"&lt;="&amp;$P$1,'Form responses'!$D$2:$D50,$B14)+sumifs('Form responses'!$BT$2:$BT50,'Form responses'!$C$2:$C50,"&gt;="&amp;$M$1,'Form responses'!$C$2:$C50,"&lt;="&amp;$P$1,'Form responses'!$D$2:$D50,$B14)+sumifs('Form responses'!$BV$2:$BV50,'Form responses'!$C$2:$C50,"&gt;="&amp;$M$1,'Form responses'!$C$2:$C50,"&lt;="&amp;$P$1,'Form responses'!$D$2:$D50,$B14)+sumifs('Form responses'!$BX$2:$BX50,'Form responses'!$C$2:$C50,"&gt;="&amp;$M$1,'Form responses'!$C$2:$C50,"&lt;="&amp;$P$1,'Form responses'!$D$2:$D50,$B14))*Sum!$S$35</f>
        <v>0</v>
      </c>
      <c r="N14" s="438"/>
      <c r="O14" s="438">
        <f t="shared" si="2"/>
        <v>0</v>
      </c>
      <c r="P14" s="438">
        <f>((sumifs('Form responses'!$BZ$2:$BZ50,'Form responses'!$C$2:$C50,"&gt;="&amp;$M$1,'Form responses'!$C$2:$C50,"&lt;="&amp;$P$1,'Form responses'!$D$2:$D50,$B14)+
sumifs('Form responses'!$CB$2:$CB50,'Form responses'!$C$2:$C50,"&gt;="&amp;$M$1,'Form responses'!$C$2:$C50,"&lt;="&amp;$P$1,'Form responses'!$D$2:$D50,$B14))*Sum!$U$35)</f>
        <v>0</v>
      </c>
      <c r="Q14" s="438">
        <f>(sumifs('Form responses'!$CD$2:$CD50,'Form responses'!$C$2:$C50,"&gt;="&amp;$M$1,'Form responses'!$C$2:$C50,"&lt;="&amp;$P$1,'Form responses'!$D$2:$D50,$B14)+sumifs('Form responses'!$CF$2:$CF50,'Form responses'!$C$2:$C50,"&gt;="&amp;$M$1,'Form responses'!$C$2:$C50,"&lt;="&amp;$P$1,'Form responses'!$D$2:$D50,$B14))*Sum!$S$35</f>
        <v>0</v>
      </c>
      <c r="R14" s="438">
        <f t="shared" si="3"/>
        <v>0</v>
      </c>
      <c r="S14" s="440">
        <f t="shared" si="4"/>
        <v>0</v>
      </c>
      <c r="T14" s="441">
        <f>sum(S14:S16)</f>
        <v>3905</v>
      </c>
    </row>
    <row r="15" ht="27.75" customHeight="1">
      <c r="A15" s="435">
        <v>13.0</v>
      </c>
      <c r="B15" s="436" t="s">
        <v>33</v>
      </c>
      <c r="C15" s="437">
        <f>((sumifs('Form responses'!$I$2:$I50,'Form responses'!$C$2:$C50,"&gt;="&amp;$M$1,'Form responses'!$C$2:$C50,"&lt;="&amp;$P$1,'Form responses'!$D$2:$D50,$B15)
+sumifs('Form responses'!$J$2:$J50,'Form responses'!$C$2:$C50,"&gt;="&amp;$M$1,'Form responses'!$C$2:$C50,"&lt;="&amp;$P$1,'Form responses'!$D$2:$D50,$B15)
+sumifs('Form responses'!$K$2:$K50,'Form responses'!$C$2:$C50,"&gt;="&amp;$M$1,'Form responses'!$C$2:$C50,"&lt;="&amp;$P$1,'Form responses'!$D$2:$D50,$B15)
)*Sum!$B$35)</f>
        <v>1020</v>
      </c>
      <c r="D15" s="438">
        <f>((sumifs('Form responses'!$L$2:$L50,'Form responses'!$C$2:$C50,"&gt;="&amp;$M$1,'Form responses'!$C$2:$C50,"&lt;="&amp;$P$1,'Form responses'!$D$2:$D50,$B15))*Sum!$C$35)</f>
        <v>0</v>
      </c>
      <c r="E15" s="438">
        <f>((
sumifs('Form responses'!$U$2:$U50,'Form responses'!$C$2:$C50,"&gt;="&amp;$M$1,'Form responses'!$C$2:$C50,"&lt;="&amp;$P$1,'Form responses'!$D$2:$D50,$B15)
+
sumifs('Form responses'!$V$2:$V50,'Form responses'!$C$2:$C50,"&gt;="&amp;$M$1,'Form responses'!$C$2:$C50,"&lt;="&amp;$P$1,'Form responses'!$D$2:$D50,$B15)
)*Sum!$E$35
)</f>
        <v>0</v>
      </c>
      <c r="F15" s="438">
        <f>sumifs('Form responses'!$W$2:$W50,'Form responses'!$C$2:$C50,"&gt;="&amp;$M$1,'Form responses'!$C$2:$C50,"&lt;="&amp;$P$1,'Form responses'!$D$2:$D50,$B15)
*Sum!$D$35</f>
        <v>0</v>
      </c>
      <c r="G15" s="439">
        <f>sumifs('Form responses'!$GN$2:$GN50,'Form responses'!$B$2:$B50,"&gt;="&amp;$M$1,'Form responses'!$C$2:$C50,"&lt;="&amp;$P$1,'Form responses'!$D$2:$D50,$B15)*Sum!$V$35+sumifs('Form responses'!$GO$2:$GO50,'Form responses'!$B$2:$B50,"&gt;="&amp;$M$1,'Form responses'!$C$2:$C50,"&lt;="&amp;$P$1,'Form responses'!$D$2:$D50,$B15)*Sum!$W$35+sumifs('Form responses'!$GP$2:$GP50,'Form responses'!$B$2:$B50,"&gt;="&amp;$M$1,'Form responses'!$C$2:$C50,"&lt;="&amp;$P$1,'Form responses'!$D$2:$D50,$B15)*Sum!$X$35+sumifs('Form responses'!$GQ$2:$GQ50,'Form responses'!$B$2:$B50,"&gt;="&amp;$M$1,'Form responses'!$C$2:$C50,"&lt;="&amp;$P$1,'Form responses'!$D$2:$D50,$B15)*Sum!$Y$35</f>
        <v>0</v>
      </c>
      <c r="H15" s="438">
        <f>((
sumifs('Form responses'!$X$2:$X50,'Form responses'!$C$2:$C50,"&gt;="&amp;$M$1,'Form responses'!$C$2:$C50,"&lt;="&amp;$P$1,'Form responses'!$D$2:$D50,$B15)
)*
Sum!$F$35
)+((
sumifs('Form responses'!$Y$2:$Y50,'Form responses'!$C$2:$C50,"&gt;="&amp;$M$1,'Form responses'!$C$2:$C50,"&lt;="&amp;$P$1,'Form responses'!$D$2:$D50,$B15)
)*
Sum!$G$35
)</f>
        <v>0</v>
      </c>
      <c r="I15" s="438">
        <f>((
sumifs('Form responses'!$Z$2:$Z50,'Form responses'!$C$2:$C50,"&gt;="&amp;$M$1,'Form responses'!$C$2:$C50,"&lt;="&amp;$P$1,'Form responses'!$D$2:$D50,$B15)
)*Sum!$H$35)+((
sumifs('Form responses'!$AA$2:$AA50,'Form responses'!$C$2:$C50,"&gt;="&amp;$M$1,'Form responses'!$C$2:$C50,"&lt;="&amp;$P$1,'Form responses'!$D$2:$D50,$B15)
)*Sum!$I$35)+((
sumifs('Form responses'!$AB$2:$AB50,'Form responses'!$C$2:$C50,"&gt;="&amp;$M$1,'Form responses'!$C$2:$C50,"&lt;="&amp;$P$1,'Form responses'!$D$2:$D50,$B15)
)*Sum!$Z$35)+((
sumifs('Form responses'!$AC$2:$AC50,'Form responses'!$C$2:$C50,"&gt;="&amp;$M$1,'Form responses'!$C$2:$C50,"&lt;="&amp;$P$1,'Form responses'!$D$2:$D50,$B15)
)*Sum!$AA$35)+((
sumifs('Form responses'!$AD$2:$AD50,'Form responses'!$C$2:$C50,"&gt;="&amp;$M$1,'Form responses'!$C$2:$C50,"&lt;="&amp;$P$1,'Form responses'!$D$2:$D50,$B15)
)*Sum!$AB$35)</f>
        <v>0</v>
      </c>
      <c r="J15" s="438">
        <f t="shared" si="1"/>
        <v>1020</v>
      </c>
      <c r="K15" s="438">
        <f>(
sumifs('Form responses'!$BF$2:$BF50,'Form responses'!$C$2:$C50,"&gt;="&amp;$M$1,'Form responses'!$C$2:$C50,"&lt;="&amp;$P$1,'Form responses'!$D$2:$D50,$B15)
+
sumifs('Form responses'!$BH$2:$BH50,'Form responses'!$C$2:$C50,"&gt;="&amp;$M$1,'Form responses'!$C$2:$C50,"&lt;="&amp;$P$1,'Form responses'!$D$2:$D50,$B15)
+
sumifs('Form responses'!$BJ$2:$BJ50,'Form responses'!$C$2:$C50,"&gt;="&amp;$M$1,'Form responses'!$C$2:$C50,"&lt;="&amp;$P$1,'Form responses'!$D$2:$D50,$B15)
+
sumifs('Form responses'!$BL$2:$BL50,'Form responses'!$C$2:$C50,"&gt;="&amp;$M$1,'Form responses'!$C$2:$C50,"&lt;="&amp;$P$1,'Form responses'!$D$2:$D50,$B15)
)*Sum!$Q$35</f>
        <v>750</v>
      </c>
      <c r="L15" s="438">
        <f>(
sumifs('Form responses'!$BN$2:$BN50,'Form responses'!$C$2:$C50,"&gt;="&amp;$M$1,'Form responses'!$C$2:$C50,"&lt;="&amp;$P$1,'Form responses'!$D$2:$D50,$B15)
+
sumifs('Form responses'!$BP$2:$BP50,'Form responses'!$C$2:$C50,"&gt;="&amp;$M$1,'Form responses'!$C$2:$C50,"&lt;="&amp;$P$1,'Form responses'!$D$2:$D50,$B15)
)*Sum!$R$35</f>
        <v>0</v>
      </c>
      <c r="M15" s="438">
        <f>(sumifs('Form responses'!$BR$2:$BR50,'Form responses'!$C$2:$C50,"&gt;="&amp;$M$1,'Form responses'!$C$2:$C50,"&lt;="&amp;$P$1,'Form responses'!$D$2:$D50,$B15)+sumifs('Form responses'!$BT$2:$BT50,'Form responses'!$C$2:$C50,"&gt;="&amp;$M$1,'Form responses'!$C$2:$C50,"&lt;="&amp;$P$1,'Form responses'!$D$2:$D50,$B15)+sumifs('Form responses'!$BV$2:$BV50,'Form responses'!$C$2:$C50,"&gt;="&amp;$M$1,'Form responses'!$C$2:$C50,"&lt;="&amp;$P$1,'Form responses'!$D$2:$D50,$B15)+sumifs('Form responses'!$BX$2:$BX50,'Form responses'!$C$2:$C50,"&gt;="&amp;$M$1,'Form responses'!$C$2:$C50,"&lt;="&amp;$P$1,'Form responses'!$D$2:$D50,$B15))*Sum!$S$35</f>
        <v>0</v>
      </c>
      <c r="N15" s="438"/>
      <c r="O15" s="438">
        <f t="shared" si="2"/>
        <v>750</v>
      </c>
      <c r="P15" s="438">
        <f>((sumifs('Form responses'!$BZ$2:$BZ50,'Form responses'!$C$2:$C50,"&gt;="&amp;$M$1,'Form responses'!$C$2:$C50,"&lt;="&amp;$P$1,'Form responses'!$D$2:$D50,$B15)+
sumifs('Form responses'!$CB$2:$CB50,'Form responses'!$C$2:$C50,"&gt;="&amp;$M$1,'Form responses'!$C$2:$C50,"&lt;="&amp;$P$1,'Form responses'!$D$2:$D50,$B15))*Sum!$U$35)</f>
        <v>1125</v>
      </c>
      <c r="Q15" s="438">
        <f>(sumifs('Form responses'!$CD$2:$CD50,'Form responses'!$C$2:$C50,"&gt;="&amp;$M$1,'Form responses'!$C$2:$C50,"&lt;="&amp;$P$1,'Form responses'!$D$2:$D50,$B15)+sumifs('Form responses'!$CF$2:$CF50,'Form responses'!$C$2:$C50,"&gt;="&amp;$M$1,'Form responses'!$C$2:$C50,"&lt;="&amp;$P$1,'Form responses'!$D$2:$D50,$B15))*Sum!$S$35</f>
        <v>0</v>
      </c>
      <c r="R15" s="438">
        <f t="shared" si="3"/>
        <v>1875</v>
      </c>
      <c r="S15" s="440">
        <f t="shared" si="4"/>
        <v>2895</v>
      </c>
      <c r="T15" s="331"/>
    </row>
    <row r="16" ht="27.75" customHeight="1">
      <c r="A16" s="435">
        <v>14.0</v>
      </c>
      <c r="B16" s="436" t="s">
        <v>24</v>
      </c>
      <c r="C16" s="437">
        <f>((sumifs('Form responses'!$I$2:$I50,'Form responses'!$C$2:$C50,"&gt;="&amp;$M$1,'Form responses'!$C$2:$C50,"&lt;="&amp;$P$1,'Form responses'!$D$2:$D50,$B16)
+sumifs('Form responses'!$J$2:$J50,'Form responses'!$C$2:$C50,"&gt;="&amp;$M$1,'Form responses'!$C$2:$C50,"&lt;="&amp;$P$1,'Form responses'!$D$2:$D50,$B16)
+sumifs('Form responses'!$K$2:$K50,'Form responses'!$C$2:$C50,"&gt;="&amp;$M$1,'Form responses'!$C$2:$C50,"&lt;="&amp;$P$1,'Form responses'!$D$2:$D50,$B16)
)*Sum!$B$35)</f>
        <v>460</v>
      </c>
      <c r="D16" s="438">
        <f>((sumifs('Form responses'!$L$2:$L50,'Form responses'!$C$2:$C50,"&gt;="&amp;$M$1,'Form responses'!$C$2:$C50,"&lt;="&amp;$P$1,'Form responses'!$D$2:$D50,$B16))*Sum!$C$35)</f>
        <v>0</v>
      </c>
      <c r="E16" s="438">
        <f>((
sumifs('Form responses'!$U$2:$U50,'Form responses'!$C$2:$C50,"&gt;="&amp;$M$1,'Form responses'!$C$2:$C50,"&lt;="&amp;$P$1,'Form responses'!$D$2:$D50,$B16)
+
sumifs('Form responses'!$V$2:$V50,'Form responses'!$C$2:$C50,"&gt;="&amp;$M$1,'Form responses'!$C$2:$C50,"&lt;="&amp;$P$1,'Form responses'!$D$2:$D50,$B16)
)*Sum!$E$35
)</f>
        <v>0</v>
      </c>
      <c r="F16" s="438">
        <f>sumifs('Form responses'!$W$2:$W50,'Form responses'!$C$2:$C50,"&gt;="&amp;$M$1,'Form responses'!$C$2:$C50,"&lt;="&amp;$P$1,'Form responses'!$D$2:$D50,$B16)
*Sum!$D$35</f>
        <v>0</v>
      </c>
      <c r="G16" s="439">
        <f>sumifs('Form responses'!$GN$2:$GN50,'Form responses'!$B$2:$B50,"&gt;="&amp;$M$1,'Form responses'!$C$2:$C50,"&lt;="&amp;$P$1,'Form responses'!$D$2:$D50,$B16)*Sum!$V$35+sumifs('Form responses'!$GO$2:$GO50,'Form responses'!$B$2:$B50,"&gt;="&amp;$M$1,'Form responses'!$C$2:$C50,"&lt;="&amp;$P$1,'Form responses'!$D$2:$D50,$B16)*Sum!$W$35+sumifs('Form responses'!$GP$2:$GP50,'Form responses'!$B$2:$B50,"&gt;="&amp;$M$1,'Form responses'!$C$2:$C50,"&lt;="&amp;$P$1,'Form responses'!$D$2:$D50,$B16)*Sum!$X$35+sumifs('Form responses'!$GQ$2:$GQ50,'Form responses'!$B$2:$B50,"&gt;="&amp;$M$1,'Form responses'!$C$2:$C50,"&lt;="&amp;$P$1,'Form responses'!$D$2:$D50,$B16)*Sum!$Y$35</f>
        <v>0</v>
      </c>
      <c r="H16" s="438">
        <f>((
sumifs('Form responses'!$X$2:$X50,'Form responses'!$C$2:$C50,"&gt;="&amp;$M$1,'Form responses'!$C$2:$C50,"&lt;="&amp;$P$1,'Form responses'!$D$2:$D50,$B16)
)*
Sum!$F$35
)+((
sumifs('Form responses'!$Y$2:$Y50,'Form responses'!$C$2:$C50,"&gt;="&amp;$M$1,'Form responses'!$C$2:$C50,"&lt;="&amp;$P$1,'Form responses'!$D$2:$D50,$B16)
)*
Sum!$G$35
)</f>
        <v>0</v>
      </c>
      <c r="I16" s="438">
        <f>((
sumifs('Form responses'!$Z$2:$Z50,'Form responses'!$C$2:$C50,"&gt;="&amp;$M$1,'Form responses'!$C$2:$C50,"&lt;="&amp;$P$1,'Form responses'!$D$2:$D50,$B16)
)*Sum!$H$35)+((
sumifs('Form responses'!$AA$2:$AA50,'Form responses'!$C$2:$C50,"&gt;="&amp;$M$1,'Form responses'!$C$2:$C50,"&lt;="&amp;$P$1,'Form responses'!$D$2:$D50,$B16)
)*Sum!$I$35)+((
sumifs('Form responses'!$AB$2:$AB50,'Form responses'!$C$2:$C50,"&gt;="&amp;$M$1,'Form responses'!$C$2:$C50,"&lt;="&amp;$P$1,'Form responses'!$D$2:$D50,$B16)
)*Sum!$Z$35)+((
sumifs('Form responses'!$AC$2:$AC50,'Form responses'!$C$2:$C50,"&gt;="&amp;$M$1,'Form responses'!$C$2:$C50,"&lt;="&amp;$P$1,'Form responses'!$D$2:$D50,$B16)
)*Sum!$AA$35)+((
sumifs('Form responses'!$AD$2:$AD50,'Form responses'!$C$2:$C50,"&gt;="&amp;$M$1,'Form responses'!$C$2:$C50,"&lt;="&amp;$P$1,'Form responses'!$D$2:$D50,$B16)
)*Sum!$AB$35)</f>
        <v>0</v>
      </c>
      <c r="J16" s="438">
        <f t="shared" si="1"/>
        <v>460</v>
      </c>
      <c r="K16" s="438">
        <f>(
sumifs('Form responses'!$BF$2:$BF50,'Form responses'!$C$2:$C50,"&gt;="&amp;$M$1,'Form responses'!$C$2:$C50,"&lt;="&amp;$P$1,'Form responses'!$D$2:$D50,$B16)
+
sumifs('Form responses'!$BH$2:$BH50,'Form responses'!$C$2:$C50,"&gt;="&amp;$M$1,'Form responses'!$C$2:$C50,"&lt;="&amp;$P$1,'Form responses'!$D$2:$D50,$B16)
+
sumifs('Form responses'!$BJ$2:$BJ50,'Form responses'!$C$2:$C50,"&gt;="&amp;$M$1,'Form responses'!$C$2:$C50,"&lt;="&amp;$P$1,'Form responses'!$D$2:$D50,$B16)
+
sumifs('Form responses'!$BL$2:$BL50,'Form responses'!$C$2:$C50,"&gt;="&amp;$M$1,'Form responses'!$C$2:$C50,"&lt;="&amp;$P$1,'Form responses'!$D$2:$D50,$B16)
)*Sum!$Q$35</f>
        <v>375</v>
      </c>
      <c r="L16" s="438">
        <f>(
sumifs('Form responses'!$BN$2:$BN50,'Form responses'!$C$2:$C50,"&gt;="&amp;$M$1,'Form responses'!$C$2:$C50,"&lt;="&amp;$P$1,'Form responses'!$D$2:$D50,$B16)
+
sumifs('Form responses'!$BP$2:$BP50,'Form responses'!$C$2:$C50,"&gt;="&amp;$M$1,'Form responses'!$C$2:$C50,"&lt;="&amp;$P$1,'Form responses'!$D$2:$D50,$B16)
)*Sum!$R$35</f>
        <v>0</v>
      </c>
      <c r="M16" s="438">
        <f>(sumifs('Form responses'!$BR$2:$BR50,'Form responses'!$C$2:$C50,"&gt;="&amp;$M$1,'Form responses'!$C$2:$C50,"&lt;="&amp;$P$1,'Form responses'!$D$2:$D50,$B16)+sumifs('Form responses'!$BT$2:$BT50,'Form responses'!$C$2:$C50,"&gt;="&amp;$M$1,'Form responses'!$C$2:$C50,"&lt;="&amp;$P$1,'Form responses'!$D$2:$D50,$B16)+sumifs('Form responses'!$BV$2:$BV50,'Form responses'!$C$2:$C50,"&gt;="&amp;$M$1,'Form responses'!$C$2:$C50,"&lt;="&amp;$P$1,'Form responses'!$D$2:$D50,$B16)+sumifs('Form responses'!$BX$2:$BX50,'Form responses'!$C$2:$C50,"&gt;="&amp;$M$1,'Form responses'!$C$2:$C50,"&lt;="&amp;$P$1,'Form responses'!$D$2:$D50,$B16))*Sum!$S$35</f>
        <v>0</v>
      </c>
      <c r="N16" s="438"/>
      <c r="O16" s="438">
        <f t="shared" si="2"/>
        <v>375</v>
      </c>
      <c r="P16" s="438">
        <f>((sumifs('Form responses'!$BZ$2:$BZ50,'Form responses'!$C$2:$C50,"&gt;="&amp;$M$1,'Form responses'!$C$2:$C50,"&lt;="&amp;$P$1,'Form responses'!$D$2:$D50,$B16)+
sumifs('Form responses'!$CB$2:$CB50,'Form responses'!$C$2:$C50,"&gt;="&amp;$M$1,'Form responses'!$C$2:$C50,"&lt;="&amp;$P$1,'Form responses'!$D$2:$D50,$B16))*Sum!$U$35)</f>
        <v>175</v>
      </c>
      <c r="Q16" s="438">
        <f>(sumifs('Form responses'!$CD$2:$CD50,'Form responses'!$C$2:$C50,"&gt;="&amp;$M$1,'Form responses'!$C$2:$C50,"&lt;="&amp;$P$1,'Form responses'!$D$2:$D50,$B16)+sumifs('Form responses'!$CF$2:$CF50,'Form responses'!$C$2:$C50,"&gt;="&amp;$M$1,'Form responses'!$C$2:$C50,"&lt;="&amp;$P$1,'Form responses'!$D$2:$D50,$B16))*Sum!$S$35</f>
        <v>0</v>
      </c>
      <c r="R16" s="438">
        <f t="shared" si="3"/>
        <v>550</v>
      </c>
      <c r="S16" s="440">
        <f t="shared" si="4"/>
        <v>1010</v>
      </c>
      <c r="T16" s="322"/>
    </row>
    <row r="17" ht="27.75" customHeight="1">
      <c r="A17" s="435">
        <v>15.0</v>
      </c>
      <c r="B17" s="436" t="s">
        <v>156</v>
      </c>
      <c r="C17" s="437">
        <f>((sumifs('Form responses'!$I$2:$I50,'Form responses'!$C$2:$C50,"&gt;="&amp;$M$1,'Form responses'!$C$2:$C50,"&lt;="&amp;$P$1,'Form responses'!$D$2:$D50,$B17)
+sumifs('Form responses'!$J$2:$J50,'Form responses'!$C$2:$C50,"&gt;="&amp;$M$1,'Form responses'!$C$2:$C50,"&lt;="&amp;$P$1,'Form responses'!$D$2:$D50,$B17)
+sumifs('Form responses'!$K$2:$K50,'Form responses'!$C$2:$C50,"&gt;="&amp;$M$1,'Form responses'!$C$2:$C50,"&lt;="&amp;$P$1,'Form responses'!$D$2:$D50,$B17)
)*Sum!$B$35)</f>
        <v>0</v>
      </c>
      <c r="D17" s="438">
        <f>((sumifs('Form responses'!$L$2:$L50,'Form responses'!$C$2:$C50,"&gt;="&amp;$M$1,'Form responses'!$C$2:$C50,"&lt;="&amp;$P$1,'Form responses'!$D$2:$D50,$B17))*Sum!$C$35)</f>
        <v>0</v>
      </c>
      <c r="E17" s="438">
        <f>((
sumifs('Form responses'!$U$2:$U50,'Form responses'!$C$2:$C50,"&gt;="&amp;$M$1,'Form responses'!$C$2:$C50,"&lt;="&amp;$P$1,'Form responses'!$D$2:$D50,$B17)
+
sumifs('Form responses'!$V$2:$V50,'Form responses'!$C$2:$C50,"&gt;="&amp;$M$1,'Form responses'!$C$2:$C50,"&lt;="&amp;$P$1,'Form responses'!$D$2:$D50,$B17)
)*Sum!$E$35
)</f>
        <v>0</v>
      </c>
      <c r="F17" s="438">
        <f>sumifs('Form responses'!$W$2:$W50,'Form responses'!$C$2:$C50,"&gt;="&amp;$M$1,'Form responses'!$C$2:$C50,"&lt;="&amp;$P$1,'Form responses'!$D$2:$D50,$B17)
*Sum!$D$35</f>
        <v>0</v>
      </c>
      <c r="G17" s="439">
        <f>sumifs('Form responses'!$GN$2:$GN50,'Form responses'!$B$2:$B50,"&gt;="&amp;$M$1,'Form responses'!$C$2:$C50,"&lt;="&amp;$P$1,'Form responses'!$D$2:$D50,$B17)*Sum!$V$35+sumifs('Form responses'!$GO$2:$GO50,'Form responses'!$B$2:$B50,"&gt;="&amp;$M$1,'Form responses'!$C$2:$C50,"&lt;="&amp;$P$1,'Form responses'!$D$2:$D50,$B17)*Sum!$W$35+sumifs('Form responses'!$GP$2:$GP50,'Form responses'!$B$2:$B50,"&gt;="&amp;$M$1,'Form responses'!$C$2:$C50,"&lt;="&amp;$P$1,'Form responses'!$D$2:$D50,$B17)*Sum!$X$35+sumifs('Form responses'!$GQ$2:$GQ50,'Form responses'!$B$2:$B50,"&gt;="&amp;$M$1,'Form responses'!$C$2:$C50,"&lt;="&amp;$P$1,'Form responses'!$D$2:$D50,$B17)*Sum!$Y$35</f>
        <v>0</v>
      </c>
      <c r="H17" s="438">
        <f>((
sumifs('Form responses'!$X$2:$X50,'Form responses'!$C$2:$C50,"&gt;="&amp;$M$1,'Form responses'!$C$2:$C50,"&lt;="&amp;$P$1,'Form responses'!$D$2:$D50,$B17)
)*
Sum!$F$35
)+((
sumifs('Form responses'!$Y$2:$Y50,'Form responses'!$C$2:$C50,"&gt;="&amp;$M$1,'Form responses'!$C$2:$C50,"&lt;="&amp;$P$1,'Form responses'!$D$2:$D50,$B17)
)*
Sum!$G$35
)</f>
        <v>0</v>
      </c>
      <c r="I17" s="438">
        <f>((
sumifs('Form responses'!$Z$2:$Z50,'Form responses'!$C$2:$C50,"&gt;="&amp;$M$1,'Form responses'!$C$2:$C50,"&lt;="&amp;$P$1,'Form responses'!$D$2:$D50,$B17)
)*Sum!$H$35)+((
sumifs('Form responses'!$AA$2:$AA50,'Form responses'!$C$2:$C50,"&gt;="&amp;$M$1,'Form responses'!$C$2:$C50,"&lt;="&amp;$P$1,'Form responses'!$D$2:$D50,$B17)
)*Sum!$I$35)+((
sumifs('Form responses'!$AB$2:$AB50,'Form responses'!$C$2:$C50,"&gt;="&amp;$M$1,'Form responses'!$C$2:$C50,"&lt;="&amp;$P$1,'Form responses'!$D$2:$D50,$B17)
)*Sum!$Z$35)+((
sumifs('Form responses'!$AC$2:$AC50,'Form responses'!$C$2:$C50,"&gt;="&amp;$M$1,'Form responses'!$C$2:$C50,"&lt;="&amp;$P$1,'Form responses'!$D$2:$D50,$B17)
)*Sum!$AA$35)+((
sumifs('Form responses'!$AD$2:$AD50,'Form responses'!$C$2:$C50,"&gt;="&amp;$M$1,'Form responses'!$C$2:$C50,"&lt;="&amp;$P$1,'Form responses'!$D$2:$D50,$B17)
)*Sum!$AB$35)</f>
        <v>0</v>
      </c>
      <c r="J17" s="438">
        <f t="shared" si="1"/>
        <v>0</v>
      </c>
      <c r="K17" s="438">
        <f>(
sumifs('Form responses'!$BF$2:$BF50,'Form responses'!$C$2:$C50,"&gt;="&amp;$M$1,'Form responses'!$C$2:$C50,"&lt;="&amp;$P$1,'Form responses'!$D$2:$D50,$B17)
+
sumifs('Form responses'!$BH$2:$BH50,'Form responses'!$C$2:$C50,"&gt;="&amp;$M$1,'Form responses'!$C$2:$C50,"&lt;="&amp;$P$1,'Form responses'!$D$2:$D50,$B17)
+
sumifs('Form responses'!$BJ$2:$BJ50,'Form responses'!$C$2:$C50,"&gt;="&amp;$M$1,'Form responses'!$C$2:$C50,"&lt;="&amp;$P$1,'Form responses'!$D$2:$D50,$B17)
+
sumifs('Form responses'!$BL$2:$BL50,'Form responses'!$C$2:$C50,"&gt;="&amp;$M$1,'Form responses'!$C$2:$C50,"&lt;="&amp;$P$1,'Form responses'!$D$2:$D50,$B17)
)*Sum!$Q$35</f>
        <v>0</v>
      </c>
      <c r="L17" s="438">
        <f>(
sumifs('Form responses'!$BN$2:$BN50,'Form responses'!$C$2:$C50,"&gt;="&amp;$M$1,'Form responses'!$C$2:$C50,"&lt;="&amp;$P$1,'Form responses'!$D$2:$D50,$B17)
+
sumifs('Form responses'!$BP$2:$BP50,'Form responses'!$C$2:$C50,"&gt;="&amp;$M$1,'Form responses'!$C$2:$C50,"&lt;="&amp;$P$1,'Form responses'!$D$2:$D50,$B17)
)*Sum!$R$35</f>
        <v>0</v>
      </c>
      <c r="M17" s="438">
        <f>(sumifs('Form responses'!$BR$2:$BR50,'Form responses'!$C$2:$C50,"&gt;="&amp;$M$1,'Form responses'!$C$2:$C50,"&lt;="&amp;$P$1,'Form responses'!$D$2:$D50,$B17)+sumifs('Form responses'!$BT$2:$BT50,'Form responses'!$C$2:$C50,"&gt;="&amp;$M$1,'Form responses'!$C$2:$C50,"&lt;="&amp;$P$1,'Form responses'!$D$2:$D50,$B17)+sumifs('Form responses'!$BV$2:$BV50,'Form responses'!$C$2:$C50,"&gt;="&amp;$M$1,'Form responses'!$C$2:$C50,"&lt;="&amp;$P$1,'Form responses'!$D$2:$D50,$B17)+sumifs('Form responses'!$BX$2:$BX50,'Form responses'!$C$2:$C50,"&gt;="&amp;$M$1,'Form responses'!$C$2:$C50,"&lt;="&amp;$P$1,'Form responses'!$D$2:$D50,$B17))*Sum!$S$35</f>
        <v>0</v>
      </c>
      <c r="N17" s="438"/>
      <c r="O17" s="438">
        <f t="shared" si="2"/>
        <v>0</v>
      </c>
      <c r="P17" s="438">
        <f>((sumifs('Form responses'!$BZ$2:$BZ50,'Form responses'!$C$2:$C50,"&gt;="&amp;$M$1,'Form responses'!$C$2:$C50,"&lt;="&amp;$P$1,'Form responses'!$D$2:$D50,$B17)+
sumifs('Form responses'!$CB$2:$CB50,'Form responses'!$C$2:$C50,"&gt;="&amp;$M$1,'Form responses'!$C$2:$C50,"&lt;="&amp;$P$1,'Form responses'!$D$2:$D50,$B17))*Sum!$U$35)</f>
        <v>0</v>
      </c>
      <c r="Q17" s="438">
        <f>(sumifs('Form responses'!$CD$2:$CD50,'Form responses'!$C$2:$C50,"&gt;="&amp;$M$1,'Form responses'!$C$2:$C50,"&lt;="&amp;$P$1,'Form responses'!$D$2:$D50,$B17)+sumifs('Form responses'!$CF$2:$CF50,'Form responses'!$C$2:$C50,"&gt;="&amp;$M$1,'Form responses'!$C$2:$C50,"&lt;="&amp;$P$1,'Form responses'!$D$2:$D50,$B17))*Sum!$S$35</f>
        <v>0</v>
      </c>
      <c r="R17" s="438">
        <f t="shared" si="3"/>
        <v>0</v>
      </c>
      <c r="S17" s="440">
        <f t="shared" si="4"/>
        <v>0</v>
      </c>
      <c r="T17" s="441">
        <f>sum(S17:S21)</f>
        <v>10800</v>
      </c>
    </row>
    <row r="18" ht="27.75" customHeight="1">
      <c r="A18" s="435">
        <v>16.0</v>
      </c>
      <c r="B18" s="436" t="s">
        <v>34</v>
      </c>
      <c r="C18" s="437">
        <f>((sumifs('Form responses'!$I$2:$I50,'Form responses'!$C$2:$C50,"&gt;="&amp;$M$1,'Form responses'!$C$2:$C50,"&lt;="&amp;$P$1,'Form responses'!$D$2:$D50,$B18)
+sumifs('Form responses'!$J$2:$J50,'Form responses'!$C$2:$C50,"&gt;="&amp;$M$1,'Form responses'!$C$2:$C50,"&lt;="&amp;$P$1,'Form responses'!$D$2:$D50,$B18)
+sumifs('Form responses'!$K$2:$K50,'Form responses'!$C$2:$C50,"&gt;="&amp;$M$1,'Form responses'!$C$2:$C50,"&lt;="&amp;$P$1,'Form responses'!$D$2:$D50,$B18)
)*Sum!$B$35)</f>
        <v>600</v>
      </c>
      <c r="D18" s="438">
        <f>((sumifs('Form responses'!$L$2:$L50,'Form responses'!$C$2:$C50,"&gt;="&amp;$M$1,'Form responses'!$C$2:$C50,"&lt;="&amp;$P$1,'Form responses'!$D$2:$D50,$B18))*Sum!$C$35)</f>
        <v>0</v>
      </c>
      <c r="E18" s="438">
        <f>((
sumifs('Form responses'!$U$2:$U50,'Form responses'!$C$2:$C50,"&gt;="&amp;$M$1,'Form responses'!$C$2:$C50,"&lt;="&amp;$P$1,'Form responses'!$D$2:$D50,$B18)
+
sumifs('Form responses'!$V$2:$V50,'Form responses'!$C$2:$C50,"&gt;="&amp;$M$1,'Form responses'!$C$2:$C50,"&lt;="&amp;$P$1,'Form responses'!$D$2:$D50,$B18)
)*Sum!$E$35
)</f>
        <v>0</v>
      </c>
      <c r="F18" s="438">
        <f>sumifs('Form responses'!$W$2:$W50,'Form responses'!$C$2:$C50,"&gt;="&amp;$M$1,'Form responses'!$C$2:$C50,"&lt;="&amp;$P$1,'Form responses'!$D$2:$D50,$B18)
*Sum!$D$35</f>
        <v>0</v>
      </c>
      <c r="G18" s="439">
        <f>sumifs('Form responses'!$GN$2:$GN50,'Form responses'!$B$2:$B50,"&gt;="&amp;$M$1,'Form responses'!$C$2:$C50,"&lt;="&amp;$P$1,'Form responses'!$D$2:$D50,$B18)*Sum!$V$35+sumifs('Form responses'!$GO$2:$GO50,'Form responses'!$B$2:$B50,"&gt;="&amp;$M$1,'Form responses'!$C$2:$C50,"&lt;="&amp;$P$1,'Form responses'!$D$2:$D50,$B18)*Sum!$W$35+sumifs('Form responses'!$GP$2:$GP50,'Form responses'!$B$2:$B50,"&gt;="&amp;$M$1,'Form responses'!$C$2:$C50,"&lt;="&amp;$P$1,'Form responses'!$D$2:$D50,$B18)*Sum!$X$35+sumifs('Form responses'!$GQ$2:$GQ50,'Form responses'!$B$2:$B50,"&gt;="&amp;$M$1,'Form responses'!$C$2:$C50,"&lt;="&amp;$P$1,'Form responses'!$D$2:$D50,$B18)*Sum!$Y$35</f>
        <v>0</v>
      </c>
      <c r="H18" s="438">
        <f>((
sumifs('Form responses'!$X$2:$X50,'Form responses'!$C$2:$C50,"&gt;="&amp;$M$1,'Form responses'!$C$2:$C50,"&lt;="&amp;$P$1,'Form responses'!$D$2:$D50,$B18)
)*
Sum!$F$35
)+((
sumifs('Form responses'!$Y$2:$Y50,'Form responses'!$C$2:$C50,"&gt;="&amp;$M$1,'Form responses'!$C$2:$C50,"&lt;="&amp;$P$1,'Form responses'!$D$2:$D50,$B18)
)*
Sum!$G$35
)</f>
        <v>0</v>
      </c>
      <c r="I18" s="438">
        <f>((
sumifs('Form responses'!$Z$2:$Z50,'Form responses'!$C$2:$C50,"&gt;="&amp;$M$1,'Form responses'!$C$2:$C50,"&lt;="&amp;$P$1,'Form responses'!$D$2:$D50,$B18)
)*Sum!$H$35)+((
sumifs('Form responses'!$AA$2:$AA50,'Form responses'!$C$2:$C50,"&gt;="&amp;$M$1,'Form responses'!$C$2:$C50,"&lt;="&amp;$P$1,'Form responses'!$D$2:$D50,$B18)
)*Sum!$I$35)+((
sumifs('Form responses'!$AB$2:$AB50,'Form responses'!$C$2:$C50,"&gt;="&amp;$M$1,'Form responses'!$C$2:$C50,"&lt;="&amp;$P$1,'Form responses'!$D$2:$D50,$B18)
)*Sum!$Z$35)+((
sumifs('Form responses'!$AC$2:$AC50,'Form responses'!$C$2:$C50,"&gt;="&amp;$M$1,'Form responses'!$C$2:$C50,"&lt;="&amp;$P$1,'Form responses'!$D$2:$D50,$B18)
)*Sum!$AA$35)+((
sumifs('Form responses'!$AD$2:$AD50,'Form responses'!$C$2:$C50,"&gt;="&amp;$M$1,'Form responses'!$C$2:$C50,"&lt;="&amp;$P$1,'Form responses'!$D$2:$D50,$B18)
)*Sum!$AB$35)</f>
        <v>0</v>
      </c>
      <c r="J18" s="438">
        <f t="shared" si="1"/>
        <v>600</v>
      </c>
      <c r="K18" s="438">
        <f>(
sumifs('Form responses'!$BF$2:$BF50,'Form responses'!$C$2:$C50,"&gt;="&amp;$M$1,'Form responses'!$C$2:$C50,"&lt;="&amp;$P$1,'Form responses'!$D$2:$D50,$B18)
+
sumifs('Form responses'!$BH$2:$BH50,'Form responses'!$C$2:$C50,"&gt;="&amp;$M$1,'Form responses'!$C$2:$C50,"&lt;="&amp;$P$1,'Form responses'!$D$2:$D50,$B18)
+
sumifs('Form responses'!$BJ$2:$BJ50,'Form responses'!$C$2:$C50,"&gt;="&amp;$M$1,'Form responses'!$C$2:$C50,"&lt;="&amp;$P$1,'Form responses'!$D$2:$D50,$B18)
+
sumifs('Form responses'!$BL$2:$BL50,'Form responses'!$C$2:$C50,"&gt;="&amp;$M$1,'Form responses'!$C$2:$C50,"&lt;="&amp;$P$1,'Form responses'!$D$2:$D50,$B18)
)*Sum!$Q$35</f>
        <v>2500</v>
      </c>
      <c r="L18" s="438">
        <f>(
sumifs('Form responses'!$BN$2:$BN50,'Form responses'!$C$2:$C50,"&gt;="&amp;$M$1,'Form responses'!$C$2:$C50,"&lt;="&amp;$P$1,'Form responses'!$D$2:$D50,$B18)
+
sumifs('Form responses'!$BP$2:$BP50,'Form responses'!$C$2:$C50,"&gt;="&amp;$M$1,'Form responses'!$C$2:$C50,"&lt;="&amp;$P$1,'Form responses'!$D$2:$D50,$B18)
)*Sum!$R$35</f>
        <v>2450</v>
      </c>
      <c r="M18" s="438">
        <f>(sumifs('Form responses'!$BR$2:$BR50,'Form responses'!$C$2:$C50,"&gt;="&amp;$M$1,'Form responses'!$C$2:$C50,"&lt;="&amp;$P$1,'Form responses'!$D$2:$D50,$B18)+sumifs('Form responses'!$BT$2:$BT50,'Form responses'!$C$2:$C50,"&gt;="&amp;$M$1,'Form responses'!$C$2:$C50,"&lt;="&amp;$P$1,'Form responses'!$D$2:$D50,$B18)+sumifs('Form responses'!$BV$2:$BV50,'Form responses'!$C$2:$C50,"&gt;="&amp;$M$1,'Form responses'!$C$2:$C50,"&lt;="&amp;$P$1,'Form responses'!$D$2:$D50,$B18)+sumifs('Form responses'!$BX$2:$BX50,'Form responses'!$C$2:$C50,"&gt;="&amp;$M$1,'Form responses'!$C$2:$C50,"&lt;="&amp;$P$1,'Form responses'!$D$2:$D50,$B18))*Sum!$S$35</f>
        <v>0</v>
      </c>
      <c r="N18" s="438"/>
      <c r="O18" s="438">
        <f t="shared" si="2"/>
        <v>4950</v>
      </c>
      <c r="P18" s="438">
        <f>((sumifs('Form responses'!$BZ$2:$BZ50,'Form responses'!$C$2:$C50,"&gt;="&amp;$M$1,'Form responses'!$C$2:$C50,"&lt;="&amp;$P$1,'Form responses'!$D$2:$D50,$B18)+
sumifs('Form responses'!$CB$2:$CB50,'Form responses'!$C$2:$C50,"&gt;="&amp;$M$1,'Form responses'!$C$2:$C50,"&lt;="&amp;$P$1,'Form responses'!$D$2:$D50,$B18))*Sum!$U$35)</f>
        <v>2250</v>
      </c>
      <c r="Q18" s="438">
        <f>(sumifs('Form responses'!$CD$2:$CD50,'Form responses'!$C$2:$C50,"&gt;="&amp;$M$1,'Form responses'!$C$2:$C50,"&lt;="&amp;$P$1,'Form responses'!$D$2:$D50,$B18)+sumifs('Form responses'!$CF$2:$CF50,'Form responses'!$C$2:$C50,"&gt;="&amp;$M$1,'Form responses'!$C$2:$C50,"&lt;="&amp;$P$1,'Form responses'!$D$2:$D50,$B18))*Sum!$S$35</f>
        <v>0</v>
      </c>
      <c r="R18" s="438">
        <f t="shared" si="3"/>
        <v>7200</v>
      </c>
      <c r="S18" s="440">
        <f t="shared" si="4"/>
        <v>7800</v>
      </c>
      <c r="T18" s="331"/>
    </row>
    <row r="19" ht="27.75" customHeight="1">
      <c r="A19" s="443">
        <v>17.0</v>
      </c>
      <c r="B19" s="442" t="s">
        <v>40</v>
      </c>
      <c r="C19" s="437">
        <f>((sumifs('Form responses'!$I$2:$I50,'Form responses'!$C$2:$C50,"&gt;="&amp;$M$1,'Form responses'!$C$2:$C50,"&lt;="&amp;$P$1,'Form responses'!$D$2:$D50,$B19)
+sumifs('Form responses'!$J$2:$J50,'Form responses'!$C$2:$C50,"&gt;="&amp;$M$1,'Form responses'!$C$2:$C50,"&lt;="&amp;$P$1,'Form responses'!$D$2:$D50,$B19)
+sumifs('Form responses'!$K$2:$K50,'Form responses'!$C$2:$C50,"&gt;="&amp;$M$1,'Form responses'!$C$2:$C50,"&lt;="&amp;$P$1,'Form responses'!$D$2:$D50,$B19)
)*Sum!$B$35)</f>
        <v>0</v>
      </c>
      <c r="D19" s="438">
        <f>((sumifs('Form responses'!$L$2:$L50,'Form responses'!$C$2:$C50,"&gt;="&amp;$M$1,'Form responses'!$C$2:$C50,"&lt;="&amp;$P$1,'Form responses'!$D$2:$D50,$B19))*Sum!$C$35)</f>
        <v>0</v>
      </c>
      <c r="E19" s="438">
        <f>((
sumifs('Form responses'!$U$2:$U50,'Form responses'!$C$2:$C50,"&gt;="&amp;$M$1,'Form responses'!$C$2:$C50,"&lt;="&amp;$P$1,'Form responses'!$D$2:$D50,$B19)
+
sumifs('Form responses'!$V$2:$V50,'Form responses'!$C$2:$C50,"&gt;="&amp;$M$1,'Form responses'!$C$2:$C50,"&lt;="&amp;$P$1,'Form responses'!$D$2:$D50,$B19)
)*Sum!$E$35
)</f>
        <v>0</v>
      </c>
      <c r="F19" s="438">
        <f>sumifs('Form responses'!$W$2:$W50,'Form responses'!$C$2:$C50,"&gt;="&amp;$M$1,'Form responses'!$C$2:$C50,"&lt;="&amp;$P$1,'Form responses'!$D$2:$D50,$B19)
*Sum!$D$35</f>
        <v>0</v>
      </c>
      <c r="G19" s="439">
        <f>sumifs('Form responses'!$GN$2:$GN50,'Form responses'!$B$2:$B50,"&gt;="&amp;$M$1,'Form responses'!$C$2:$C50,"&lt;="&amp;$P$1,'Form responses'!$D$2:$D50,$B19)*Sum!$V$35+sumifs('Form responses'!$GO$2:$GO50,'Form responses'!$B$2:$B50,"&gt;="&amp;$M$1,'Form responses'!$C$2:$C50,"&lt;="&amp;$P$1,'Form responses'!$D$2:$D50,$B19)*Sum!$W$35+sumifs('Form responses'!$GP$2:$GP50,'Form responses'!$B$2:$B50,"&gt;="&amp;$M$1,'Form responses'!$C$2:$C50,"&lt;="&amp;$P$1,'Form responses'!$D$2:$D50,$B19)*Sum!$X$35+sumifs('Form responses'!$GQ$2:$GQ50,'Form responses'!$B$2:$B50,"&gt;="&amp;$M$1,'Form responses'!$C$2:$C50,"&lt;="&amp;$P$1,'Form responses'!$D$2:$D50,$B19)*Sum!$Y$35</f>
        <v>0</v>
      </c>
      <c r="H19" s="438">
        <f>((
sumifs('Form responses'!$X$2:$X50,'Form responses'!$C$2:$C50,"&gt;="&amp;$M$1,'Form responses'!$C$2:$C50,"&lt;="&amp;$P$1,'Form responses'!$D$2:$D50,$B19)
)*
Sum!$F$35
)+((
sumifs('Form responses'!$Y$2:$Y50,'Form responses'!$C$2:$C50,"&gt;="&amp;$M$1,'Form responses'!$C$2:$C50,"&lt;="&amp;$P$1,'Form responses'!$D$2:$D50,$B19)
)*
Sum!$G$35
)</f>
        <v>0</v>
      </c>
      <c r="I19" s="438">
        <f>((
sumifs('Form responses'!$Z$2:$Z50,'Form responses'!$C$2:$C50,"&gt;="&amp;$M$1,'Form responses'!$C$2:$C50,"&lt;="&amp;$P$1,'Form responses'!$D$2:$D50,$B19)
)*Sum!$H$35)+((
sumifs('Form responses'!$AA$2:$AA50,'Form responses'!$C$2:$C50,"&gt;="&amp;$M$1,'Form responses'!$C$2:$C50,"&lt;="&amp;$P$1,'Form responses'!$D$2:$D50,$B19)
)*Sum!$I$35)+((
sumifs('Form responses'!$AB$2:$AB50,'Form responses'!$C$2:$C50,"&gt;="&amp;$M$1,'Form responses'!$C$2:$C50,"&lt;="&amp;$P$1,'Form responses'!$D$2:$D50,$B19)
)*Sum!$Z$35)+((
sumifs('Form responses'!$AC$2:$AC50,'Form responses'!$C$2:$C50,"&gt;="&amp;$M$1,'Form responses'!$C$2:$C50,"&lt;="&amp;$P$1,'Form responses'!$D$2:$D50,$B19)
)*Sum!$AA$35)+((
sumifs('Form responses'!$AD$2:$AD50,'Form responses'!$C$2:$C50,"&gt;="&amp;$M$1,'Form responses'!$C$2:$C50,"&lt;="&amp;$P$1,'Form responses'!$D$2:$D50,$B19)
)*Sum!$AB$35)</f>
        <v>0</v>
      </c>
      <c r="J19" s="438">
        <f t="shared" si="1"/>
        <v>0</v>
      </c>
      <c r="K19" s="438">
        <f>(
sumifs('Form responses'!$BF$2:$BF50,'Form responses'!$C$2:$C50,"&gt;="&amp;$M$1,'Form responses'!$C$2:$C50,"&lt;="&amp;$P$1,'Form responses'!$D$2:$D50,$B19)
+
sumifs('Form responses'!$BH$2:$BH50,'Form responses'!$C$2:$C50,"&gt;="&amp;$M$1,'Form responses'!$C$2:$C50,"&lt;="&amp;$P$1,'Form responses'!$D$2:$D50,$B19)
+
sumifs('Form responses'!$BJ$2:$BJ50,'Form responses'!$C$2:$C50,"&gt;="&amp;$M$1,'Form responses'!$C$2:$C50,"&lt;="&amp;$P$1,'Form responses'!$D$2:$D50,$B19)
+
sumifs('Form responses'!$BL$2:$BL50,'Form responses'!$C$2:$C50,"&gt;="&amp;$M$1,'Form responses'!$C$2:$C50,"&lt;="&amp;$P$1,'Form responses'!$D$2:$D50,$B19)
)*Sum!$Q$35</f>
        <v>750</v>
      </c>
      <c r="L19" s="438">
        <f>(
sumifs('Form responses'!$BN$2:$BN50,'Form responses'!$C$2:$C50,"&gt;="&amp;$M$1,'Form responses'!$C$2:$C50,"&lt;="&amp;$P$1,'Form responses'!$D$2:$D50,$B19)
+
sumifs('Form responses'!$BP$2:$BP50,'Form responses'!$C$2:$C50,"&gt;="&amp;$M$1,'Form responses'!$C$2:$C50,"&lt;="&amp;$P$1,'Form responses'!$D$2:$D50,$B19)
)*Sum!$R$35</f>
        <v>0</v>
      </c>
      <c r="M19" s="438">
        <f>(sumifs('Form responses'!$BR$2:$BR50,'Form responses'!$C$2:$C50,"&gt;="&amp;$M$1,'Form responses'!$C$2:$C50,"&lt;="&amp;$P$1,'Form responses'!$D$2:$D50,$B19)+sumifs('Form responses'!$BT$2:$BT50,'Form responses'!$C$2:$C50,"&gt;="&amp;$M$1,'Form responses'!$C$2:$C50,"&lt;="&amp;$P$1,'Form responses'!$D$2:$D50,$B19)+sumifs('Form responses'!$BV$2:$BV50,'Form responses'!$C$2:$C50,"&gt;="&amp;$M$1,'Form responses'!$C$2:$C50,"&lt;="&amp;$P$1,'Form responses'!$D$2:$D50,$B19)+sumifs('Form responses'!$BX$2:$BX50,'Form responses'!$C$2:$C50,"&gt;="&amp;$M$1,'Form responses'!$C$2:$C50,"&lt;="&amp;$P$1,'Form responses'!$D$2:$D50,$B19))*Sum!$S$35</f>
        <v>0</v>
      </c>
      <c r="N19" s="438"/>
      <c r="O19" s="438">
        <f t="shared" si="2"/>
        <v>750</v>
      </c>
      <c r="P19" s="438">
        <f>((sumifs('Form responses'!$BZ$2:$BZ50,'Form responses'!$C$2:$C50,"&gt;="&amp;$M$1,'Form responses'!$C$2:$C50,"&lt;="&amp;$P$1,'Form responses'!$D$2:$D50,$B19)+
sumifs('Form responses'!$CB$2:$CB50,'Form responses'!$C$2:$C50,"&gt;="&amp;$M$1,'Form responses'!$C$2:$C50,"&lt;="&amp;$P$1,'Form responses'!$D$2:$D50,$B19))*Sum!$U$35)</f>
        <v>0</v>
      </c>
      <c r="Q19" s="438">
        <f>(sumifs('Form responses'!$CD$2:$CD50,'Form responses'!$C$2:$C50,"&gt;="&amp;$M$1,'Form responses'!$C$2:$C50,"&lt;="&amp;$P$1,'Form responses'!$D$2:$D50,$B19)+sumifs('Form responses'!$CF$2:$CF50,'Form responses'!$C$2:$C50,"&gt;="&amp;$M$1,'Form responses'!$C$2:$C50,"&lt;="&amp;$P$1,'Form responses'!$D$2:$D50,$B19))*Sum!$S$35</f>
        <v>0</v>
      </c>
      <c r="R19" s="438">
        <f t="shared" si="3"/>
        <v>750</v>
      </c>
      <c r="S19" s="440">
        <f t="shared" si="4"/>
        <v>750</v>
      </c>
      <c r="T19" s="331"/>
    </row>
    <row r="20" ht="27.75" customHeight="1">
      <c r="A20" s="444">
        <v>18.0</v>
      </c>
      <c r="B20" s="436" t="s">
        <v>39</v>
      </c>
      <c r="C20" s="445">
        <f>((sumifs('Form responses'!$I$2:$I50,'Form responses'!$C$2:$C50,"&gt;="&amp;$M$1,'Form responses'!$C$2:$C50,"&lt;="&amp;$P$1,'Form responses'!$D$2:$D50,$B20)
+sumifs('Form responses'!$J$2:$J50,'Form responses'!$C$2:$C50,"&gt;="&amp;$M$1,'Form responses'!$C$2:$C50,"&lt;="&amp;$P$1,'Form responses'!$D$2:$D50,$B20)
+sumifs('Form responses'!$K$2:$K50,'Form responses'!$C$2:$C50,"&gt;="&amp;$M$1,'Form responses'!$C$2:$C50,"&lt;="&amp;$P$1,'Form responses'!$D$2:$D50,$B20)
)*Sum!$B$35)</f>
        <v>0</v>
      </c>
      <c r="D20" s="446">
        <f>((sumifs('Form responses'!$L$2:$L50,'Form responses'!$C$2:$C50,"&gt;="&amp;$M$1,'Form responses'!$C$2:$C50,"&lt;="&amp;$P$1,'Form responses'!$D$2:$D50,$B20))*Sum!$C$35)</f>
        <v>0</v>
      </c>
      <c r="E20" s="446">
        <f>((
sumifs('Form responses'!$U$2:$U50,'Form responses'!$C$2:$C50,"&gt;="&amp;$M$1,'Form responses'!$C$2:$C50,"&lt;="&amp;$P$1,'Form responses'!$D$2:$D50,$B20)
+
sumifs('Form responses'!$V$2:$V50,'Form responses'!$C$2:$C50,"&gt;="&amp;$M$1,'Form responses'!$C$2:$C50,"&lt;="&amp;$P$1,'Form responses'!$D$2:$D50,$B20)
)*Sum!$E$35
)</f>
        <v>0</v>
      </c>
      <c r="F20" s="446">
        <f>sumifs('Form responses'!$W$2:$W50,'Form responses'!$C$2:$C50,"&gt;="&amp;$M$1,'Form responses'!$C$2:$C50,"&lt;="&amp;$P$1,'Form responses'!$D$2:$D50,$B20)
*Sum!$D$35</f>
        <v>0</v>
      </c>
      <c r="G20" s="447">
        <f>sumifs('Form responses'!$GN$2:$GN50,'Form responses'!$B$2:$B50,"&gt;="&amp;$M$1,'Form responses'!$C$2:$C50,"&lt;="&amp;$P$1,'Form responses'!$D$2:$D50,$B20)*Sum!$V$35+sumifs('Form responses'!$GO$2:$GO50,'Form responses'!$B$2:$B50,"&gt;="&amp;$M$1,'Form responses'!$C$2:$C50,"&lt;="&amp;$P$1,'Form responses'!$D$2:$D50,$B20)*Sum!$W$35+sumifs('Form responses'!$GP$2:$GP50,'Form responses'!$B$2:$B50,"&gt;="&amp;$M$1,'Form responses'!$C$2:$C50,"&lt;="&amp;$P$1,'Form responses'!$D$2:$D50,$B20)*Sum!$X$35+sumifs('Form responses'!$GQ$2:$GQ50,'Form responses'!$B$2:$B50,"&gt;="&amp;$M$1,'Form responses'!$C$2:$C50,"&lt;="&amp;$P$1,'Form responses'!$D$2:$D50,$B20)*Sum!$Y$35</f>
        <v>0</v>
      </c>
      <c r="H20" s="446">
        <f>((
sumifs('Form responses'!$X$2:$X50,'Form responses'!$C$2:$C50,"&gt;="&amp;$M$1,'Form responses'!$C$2:$C50,"&lt;="&amp;$P$1,'Form responses'!$D$2:$D50,$B20)
)*
Sum!$F$35
)+((
sumifs('Form responses'!$Y$2:$Y50,'Form responses'!$C$2:$C50,"&gt;="&amp;$M$1,'Form responses'!$C$2:$C50,"&lt;="&amp;$P$1,'Form responses'!$D$2:$D50,$B20)
)*
Sum!$G$35
)</f>
        <v>0</v>
      </c>
      <c r="I20" s="446">
        <f>((
sumifs('Form responses'!$Z$2:$Z50,'Form responses'!$C$2:$C50,"&gt;="&amp;$M$1,'Form responses'!$C$2:$C50,"&lt;="&amp;$P$1,'Form responses'!$D$2:$D50,$B20)
)*Sum!$H$35)+((
sumifs('Form responses'!$AA$2:$AA50,'Form responses'!$C$2:$C50,"&gt;="&amp;$M$1,'Form responses'!$C$2:$C50,"&lt;="&amp;$P$1,'Form responses'!$D$2:$D50,$B20)
)*Sum!$I$35)+((
sumifs('Form responses'!$AB$2:$AB50,'Form responses'!$C$2:$C50,"&gt;="&amp;$M$1,'Form responses'!$C$2:$C50,"&lt;="&amp;$P$1,'Form responses'!$D$2:$D50,$B20)
)*Sum!$Z$35)+((
sumifs('Form responses'!$AC$2:$AC50,'Form responses'!$C$2:$C50,"&gt;="&amp;$M$1,'Form responses'!$C$2:$C50,"&lt;="&amp;$P$1,'Form responses'!$D$2:$D50,$B20)
)*Sum!$AA$35)+((
sumifs('Form responses'!$AD$2:$AD50,'Form responses'!$C$2:$C50,"&gt;="&amp;$M$1,'Form responses'!$C$2:$C50,"&lt;="&amp;$P$1,'Form responses'!$D$2:$D50,$B20)
)*Sum!$AB$35)</f>
        <v>0</v>
      </c>
      <c r="J20" s="446">
        <f t="shared" si="1"/>
        <v>0</v>
      </c>
      <c r="K20" s="446">
        <f>(
sumifs('Form responses'!$BF$2:$BF50,'Form responses'!$C$2:$C50,"&gt;="&amp;$M$1,'Form responses'!$C$2:$C50,"&lt;="&amp;$P$1,'Form responses'!$D$2:$D50,$B20)
+
sumifs('Form responses'!$BH$2:$BH50,'Form responses'!$C$2:$C50,"&gt;="&amp;$M$1,'Form responses'!$C$2:$C50,"&lt;="&amp;$P$1,'Form responses'!$D$2:$D50,$B20)
+
sumifs('Form responses'!$BJ$2:$BJ50,'Form responses'!$C$2:$C50,"&gt;="&amp;$M$1,'Form responses'!$C$2:$C50,"&lt;="&amp;$P$1,'Form responses'!$D$2:$D50,$B20)
+
sumifs('Form responses'!$BL$2:$BL50,'Form responses'!$C$2:$C50,"&gt;="&amp;$M$1,'Form responses'!$C$2:$C50,"&lt;="&amp;$P$1,'Form responses'!$D$2:$D50,$B20)
)*Sum!$Q$35</f>
        <v>0</v>
      </c>
      <c r="L20" s="446">
        <f>(
sumifs('Form responses'!$BN$2:$BN50,'Form responses'!$C$2:$C50,"&gt;="&amp;$M$1,'Form responses'!$C$2:$C50,"&lt;="&amp;$P$1,'Form responses'!$D$2:$D50,$B20)
+
sumifs('Form responses'!$BP$2:$BP50,'Form responses'!$C$2:$C50,"&gt;="&amp;$M$1,'Form responses'!$C$2:$C50,"&lt;="&amp;$P$1,'Form responses'!$D$2:$D50,$B20)
)*Sum!$R$35</f>
        <v>0</v>
      </c>
      <c r="M20" s="446">
        <f>(sumifs('Form responses'!$BR$2:$BR50,'Form responses'!$C$2:$C50,"&gt;="&amp;$M$1,'Form responses'!$C$2:$C50,"&lt;="&amp;$P$1,'Form responses'!$D$2:$D50,$B20)+sumifs('Form responses'!$BT$2:$BT50,'Form responses'!$C$2:$C50,"&gt;="&amp;$M$1,'Form responses'!$C$2:$C50,"&lt;="&amp;$P$1,'Form responses'!$D$2:$D50,$B20)+sumifs('Form responses'!$BV$2:$BV50,'Form responses'!$C$2:$C50,"&gt;="&amp;$M$1,'Form responses'!$C$2:$C50,"&lt;="&amp;$P$1,'Form responses'!$D$2:$D50,$B20)+sumifs('Form responses'!$BX$2:$BX50,'Form responses'!$C$2:$C50,"&gt;="&amp;$M$1,'Form responses'!$C$2:$C50,"&lt;="&amp;$P$1,'Form responses'!$D$2:$D50,$B20))*Sum!$S$35</f>
        <v>0</v>
      </c>
      <c r="N20" s="446"/>
      <c r="O20" s="446">
        <f t="shared" si="2"/>
        <v>0</v>
      </c>
      <c r="P20" s="446">
        <f>((sumifs('Form responses'!$BZ$2:$BZ50,'Form responses'!$C$2:$C50,"&gt;="&amp;$M$1,'Form responses'!$C$2:$C50,"&lt;="&amp;$P$1,'Form responses'!$D$2:$D50,$B20)+
sumifs('Form responses'!$CB$2:$CB50,'Form responses'!$C$2:$C50,"&gt;="&amp;$M$1,'Form responses'!$C$2:$C50,"&lt;="&amp;$P$1,'Form responses'!$D$2:$D50,$B20))*Sum!$U$35)</f>
        <v>0</v>
      </c>
      <c r="Q20" s="446">
        <f>(sumifs('Form responses'!$CD$2:$CD50,'Form responses'!$C$2:$C50,"&gt;="&amp;$M$1,'Form responses'!$C$2:$C50,"&lt;="&amp;$P$1,'Form responses'!$D$2:$D50,$B20)+sumifs('Form responses'!$CF$2:$CF50,'Form responses'!$C$2:$C50,"&gt;="&amp;$M$1,'Form responses'!$C$2:$C50,"&lt;="&amp;$P$1,'Form responses'!$D$2:$D50,$B20))*Sum!$S$35</f>
        <v>0</v>
      </c>
      <c r="R20" s="446">
        <f t="shared" si="3"/>
        <v>0</v>
      </c>
      <c r="S20" s="448">
        <f t="shared" si="4"/>
        <v>0</v>
      </c>
      <c r="T20" s="331"/>
    </row>
    <row r="21" ht="27.75" customHeight="1">
      <c r="A21" s="435">
        <v>19.0</v>
      </c>
      <c r="B21" s="442" t="s">
        <v>36</v>
      </c>
      <c r="C21" s="437">
        <f>((sumifs('Form responses'!$I$2:$I50,'Form responses'!$C$2:$C50,"&gt;="&amp;$M$1,'Form responses'!$C$2:$C50,"&lt;="&amp;$P$1,'Form responses'!$D$2:$D50,$B21)
+sumifs('Form responses'!$J$2:$J50,'Form responses'!$C$2:$C50,"&gt;="&amp;$M$1,'Form responses'!$C$2:$C50,"&lt;="&amp;$P$1,'Form responses'!$D$2:$D50,$B21)
+sumifs('Form responses'!$K$2:$K50,'Form responses'!$C$2:$C50,"&gt;="&amp;$M$1,'Form responses'!$C$2:$C50,"&lt;="&amp;$P$1,'Form responses'!$D$2:$D50,$B21)
)*Sum!$B$35)</f>
        <v>600</v>
      </c>
      <c r="D21" s="438">
        <f>((sumifs('Form responses'!$L$2:$L50,'Form responses'!$C$2:$C50,"&gt;="&amp;$M$1,'Form responses'!$C$2:$C50,"&lt;="&amp;$P$1,'Form responses'!$D$2:$D50,$B21))*Sum!$C$35)</f>
        <v>0</v>
      </c>
      <c r="E21" s="438">
        <f>((
sumifs('Form responses'!$U$2:$U50,'Form responses'!$C$2:$C50,"&gt;="&amp;$M$1,'Form responses'!$C$2:$C50,"&lt;="&amp;$P$1,'Form responses'!$D$2:$D50,$B21)
+
sumifs('Form responses'!$V$2:$V50,'Form responses'!$C$2:$C50,"&gt;="&amp;$M$1,'Form responses'!$C$2:$C50,"&lt;="&amp;$P$1,'Form responses'!$D$2:$D50,$B21)
)*Sum!$E$35
)</f>
        <v>0</v>
      </c>
      <c r="F21" s="438">
        <f>sumifs('Form responses'!$W$2:$W50,'Form responses'!$C$2:$C50,"&gt;="&amp;$M$1,'Form responses'!$C$2:$C50,"&lt;="&amp;$P$1,'Form responses'!$D$2:$D50,$B21)
*Sum!$D$35</f>
        <v>0</v>
      </c>
      <c r="G21" s="439">
        <f>sumifs('Form responses'!$GN$2:$GN50,'Form responses'!$B$2:$B50,"&gt;="&amp;$M$1,'Form responses'!$C$2:$C50,"&lt;="&amp;$P$1,'Form responses'!$D$2:$D50,$B21)*Sum!$V$35+sumifs('Form responses'!$GO$2:$GO50,'Form responses'!$B$2:$B50,"&gt;="&amp;$M$1,'Form responses'!$C$2:$C50,"&lt;="&amp;$P$1,'Form responses'!$D$2:$D50,$B21)*Sum!$W$35+sumifs('Form responses'!$GP$2:$GP50,'Form responses'!$B$2:$B50,"&gt;="&amp;$M$1,'Form responses'!$C$2:$C50,"&lt;="&amp;$P$1,'Form responses'!$D$2:$D50,$B21)*Sum!$X$35+sumifs('Form responses'!$GQ$2:$GQ50,'Form responses'!$B$2:$B50,"&gt;="&amp;$M$1,'Form responses'!$C$2:$C50,"&lt;="&amp;$P$1,'Form responses'!$D$2:$D50,$B21)*Sum!$Y$35</f>
        <v>0</v>
      </c>
      <c r="H21" s="438">
        <f>((
sumifs('Form responses'!$X$2:$X50,'Form responses'!$C$2:$C50,"&gt;="&amp;$M$1,'Form responses'!$C$2:$C50,"&lt;="&amp;$P$1,'Form responses'!$D$2:$D50,$B21)
)*
Sum!$F$35
)+((
sumifs('Form responses'!$Y$2:$Y50,'Form responses'!$C$2:$C50,"&gt;="&amp;$M$1,'Form responses'!$C$2:$C50,"&lt;="&amp;$P$1,'Form responses'!$D$2:$D50,$B21)
)*
Sum!$G$35
)</f>
        <v>0</v>
      </c>
      <c r="I21" s="438">
        <f>((
sumifs('Form responses'!$Z$2:$Z50,'Form responses'!$C$2:$C50,"&gt;="&amp;$M$1,'Form responses'!$C$2:$C50,"&lt;="&amp;$P$1,'Form responses'!$D$2:$D50,$B21)
)*Sum!$H$35)+((
sumifs('Form responses'!$AA$2:$AA50,'Form responses'!$C$2:$C50,"&gt;="&amp;$M$1,'Form responses'!$C$2:$C50,"&lt;="&amp;$P$1,'Form responses'!$D$2:$D50,$B21)
)*Sum!$I$35)+((
sumifs('Form responses'!$AB$2:$AB50,'Form responses'!$C$2:$C50,"&gt;="&amp;$M$1,'Form responses'!$C$2:$C50,"&lt;="&amp;$P$1,'Form responses'!$D$2:$D50,$B21)
)*Sum!$Z$35)+((
sumifs('Form responses'!$AC$2:$AC50,'Form responses'!$C$2:$C50,"&gt;="&amp;$M$1,'Form responses'!$C$2:$C50,"&lt;="&amp;$P$1,'Form responses'!$D$2:$D50,$B21)
)*Sum!$AA$35)+((
sumifs('Form responses'!$AD$2:$AD50,'Form responses'!$C$2:$C50,"&gt;="&amp;$M$1,'Form responses'!$C$2:$C50,"&lt;="&amp;$P$1,'Form responses'!$D$2:$D50,$B21)
)*Sum!$AB$35)</f>
        <v>0</v>
      </c>
      <c r="J21" s="438">
        <f t="shared" si="1"/>
        <v>600</v>
      </c>
      <c r="K21" s="438">
        <f>(
sumifs('Form responses'!$BF$2:$BF50,'Form responses'!$C$2:$C50,"&gt;="&amp;$M$1,'Form responses'!$C$2:$C50,"&lt;="&amp;$P$1,'Form responses'!$D$2:$D50,$B21)
+
sumifs('Form responses'!$BH$2:$BH50,'Form responses'!$C$2:$C50,"&gt;="&amp;$M$1,'Form responses'!$C$2:$C50,"&lt;="&amp;$P$1,'Form responses'!$D$2:$D50,$B21)
+
sumifs('Form responses'!$BJ$2:$BJ50,'Form responses'!$C$2:$C50,"&gt;="&amp;$M$1,'Form responses'!$C$2:$C50,"&lt;="&amp;$P$1,'Form responses'!$D$2:$D50,$B21)
+
sumifs('Form responses'!$BL$2:$BL50,'Form responses'!$C$2:$C50,"&gt;="&amp;$M$1,'Form responses'!$C$2:$C50,"&lt;="&amp;$P$1,'Form responses'!$D$2:$D50,$B21)
)*Sum!$Q$35</f>
        <v>375</v>
      </c>
      <c r="L21" s="438">
        <f>(
sumifs('Form responses'!$BN$2:$BN50,'Form responses'!$C$2:$C50,"&gt;="&amp;$M$1,'Form responses'!$C$2:$C50,"&lt;="&amp;$P$1,'Form responses'!$D$2:$D50,$B21)
+
sumifs('Form responses'!$BP$2:$BP50,'Form responses'!$C$2:$C50,"&gt;="&amp;$M$1,'Form responses'!$C$2:$C50,"&lt;="&amp;$P$1,'Form responses'!$D$2:$D50,$B21)
)*Sum!$R$35</f>
        <v>525</v>
      </c>
      <c r="M21" s="438">
        <f>(sumifs('Form responses'!$BR$2:$BR50,'Form responses'!$C$2:$C50,"&gt;="&amp;$M$1,'Form responses'!$C$2:$C50,"&lt;="&amp;$P$1,'Form responses'!$D$2:$D50,$B21)+sumifs('Form responses'!$BT$2:$BT50,'Form responses'!$C$2:$C50,"&gt;="&amp;$M$1,'Form responses'!$C$2:$C50,"&lt;="&amp;$P$1,'Form responses'!$D$2:$D50,$B21)+sumifs('Form responses'!$BV$2:$BV50,'Form responses'!$C$2:$C50,"&gt;="&amp;$M$1,'Form responses'!$C$2:$C50,"&lt;="&amp;$P$1,'Form responses'!$D$2:$D50,$B21)+sumifs('Form responses'!$BX$2:$BX50,'Form responses'!$C$2:$C50,"&gt;="&amp;$M$1,'Form responses'!$C$2:$C50,"&lt;="&amp;$P$1,'Form responses'!$D$2:$D50,$B21))*Sum!$S$35</f>
        <v>0</v>
      </c>
      <c r="N21" s="438"/>
      <c r="O21" s="438">
        <f t="shared" si="2"/>
        <v>900</v>
      </c>
      <c r="P21" s="438">
        <f>((sumifs('Form responses'!$BZ$2:$BZ50,'Form responses'!$C$2:$C50,"&gt;="&amp;$M$1,'Form responses'!$C$2:$C50,"&lt;="&amp;$P$1,'Form responses'!$D$2:$D50,$B21)+
sumifs('Form responses'!$CB$2:$CB50,'Form responses'!$C$2:$C50,"&gt;="&amp;$M$1,'Form responses'!$C$2:$C50,"&lt;="&amp;$P$1,'Form responses'!$D$2:$D50,$B21))*Sum!$U$35)</f>
        <v>750</v>
      </c>
      <c r="Q21" s="438">
        <f>(sumifs('Form responses'!$CD$2:$CD50,'Form responses'!$C$2:$C50,"&gt;="&amp;$M$1,'Form responses'!$C$2:$C50,"&lt;="&amp;$P$1,'Form responses'!$D$2:$D50,$B21)+sumifs('Form responses'!$CF$2:$CF50,'Form responses'!$C$2:$C50,"&gt;="&amp;$M$1,'Form responses'!$C$2:$C50,"&lt;="&amp;$P$1,'Form responses'!$D$2:$D50,$B21))*Sum!$S$35</f>
        <v>0</v>
      </c>
      <c r="R21" s="438">
        <f t="shared" si="3"/>
        <v>1650</v>
      </c>
      <c r="S21" s="440">
        <f t="shared" si="4"/>
        <v>2250</v>
      </c>
      <c r="T21" s="322"/>
    </row>
    <row r="22" ht="27.75" customHeight="1">
      <c r="A22" s="435">
        <v>20.0</v>
      </c>
      <c r="B22" s="442" t="s">
        <v>38</v>
      </c>
      <c r="C22" s="437">
        <f>((sumifs('Form responses'!$I$2:$I50,'Form responses'!$C$2:$C50,"&gt;="&amp;$M$1,'Form responses'!$C$2:$C50,"&lt;="&amp;$P$1,'Form responses'!$D$2:$D50,$B22)
+sumifs('Form responses'!$J$2:$J50,'Form responses'!$C$2:$C50,"&gt;="&amp;$M$1,'Form responses'!$C$2:$C50,"&lt;="&amp;$P$1,'Form responses'!$D$2:$D50,$B22)
+sumifs('Form responses'!$K$2:$K50,'Form responses'!$C$2:$C50,"&gt;="&amp;$M$1,'Form responses'!$C$2:$C50,"&lt;="&amp;$P$1,'Form responses'!$D$2:$D50,$B22)
)*Sum!$B$35)</f>
        <v>1500</v>
      </c>
      <c r="D22" s="438">
        <f>((sumifs('Form responses'!$L$2:$L50,'Form responses'!$C$2:$C50,"&gt;="&amp;$M$1,'Form responses'!$C$2:$C50,"&lt;="&amp;$P$1,'Form responses'!$D$2:$D50,$B22))*Sum!$C$35)</f>
        <v>0</v>
      </c>
      <c r="E22" s="438">
        <f>((
sumifs('Form responses'!$U$2:$U50,'Form responses'!$C$2:$C50,"&gt;="&amp;$M$1,'Form responses'!$C$2:$C50,"&lt;="&amp;$P$1,'Form responses'!$D$2:$D50,$B22)
+
sumifs('Form responses'!$V$2:$V50,'Form responses'!$C$2:$C50,"&gt;="&amp;$M$1,'Form responses'!$C$2:$C50,"&lt;="&amp;$P$1,'Form responses'!$D$2:$D50,$B22)
)*Sum!$E$35
)</f>
        <v>0</v>
      </c>
      <c r="F22" s="438">
        <f>sumifs('Form responses'!$W$2:$W50,'Form responses'!$C$2:$C50,"&gt;="&amp;$M$1,'Form responses'!$C$2:$C50,"&lt;="&amp;$P$1,'Form responses'!$D$2:$D50,$B22)
*Sum!$D$35</f>
        <v>0</v>
      </c>
      <c r="G22" s="439">
        <f>sumifs('Form responses'!$GN$2:$GN50,'Form responses'!$B$2:$B50,"&gt;="&amp;$M$1,'Form responses'!$C$2:$C50,"&lt;="&amp;$P$1,'Form responses'!$D$2:$D50,$B22)*Sum!$V$35+sumifs('Form responses'!$GO$2:$GO50,'Form responses'!$B$2:$B50,"&gt;="&amp;$M$1,'Form responses'!$C$2:$C50,"&lt;="&amp;$P$1,'Form responses'!$D$2:$D50,$B22)*Sum!$W$35+sumifs('Form responses'!$GP$2:$GP50,'Form responses'!$B$2:$B50,"&gt;="&amp;$M$1,'Form responses'!$C$2:$C50,"&lt;="&amp;$P$1,'Form responses'!$D$2:$D50,$B22)*Sum!$X$35+sumifs('Form responses'!$GQ$2:$GQ50,'Form responses'!$B$2:$B50,"&gt;="&amp;$M$1,'Form responses'!$C$2:$C50,"&lt;="&amp;$P$1,'Form responses'!$D$2:$D50,$B22)*Sum!$Y$35</f>
        <v>0</v>
      </c>
      <c r="H22" s="438">
        <f>((
sumifs('Form responses'!$X$2:$X50,'Form responses'!$C$2:$C50,"&gt;="&amp;$M$1,'Form responses'!$C$2:$C50,"&lt;="&amp;$P$1,'Form responses'!$D$2:$D50,$B22)
)*
Sum!$F$35
)+((
sumifs('Form responses'!$Y$2:$Y50,'Form responses'!$C$2:$C50,"&gt;="&amp;$M$1,'Form responses'!$C$2:$C50,"&lt;="&amp;$P$1,'Form responses'!$D$2:$D50,$B22)
)*
Sum!$G$35
)</f>
        <v>0</v>
      </c>
      <c r="I22" s="438">
        <f>((
sumifs('Form responses'!$Z$2:$Z50,'Form responses'!$C$2:$C50,"&gt;="&amp;$M$1,'Form responses'!$C$2:$C50,"&lt;="&amp;$P$1,'Form responses'!$D$2:$D50,$B22)
)*Sum!$H$35)+((
sumifs('Form responses'!$AA$2:$AA50,'Form responses'!$C$2:$C50,"&gt;="&amp;$M$1,'Form responses'!$C$2:$C50,"&lt;="&amp;$P$1,'Form responses'!$D$2:$D50,$B22)
)*Sum!$I$35)+((
sumifs('Form responses'!$AB$2:$AB50,'Form responses'!$C$2:$C50,"&gt;="&amp;$M$1,'Form responses'!$C$2:$C50,"&lt;="&amp;$P$1,'Form responses'!$D$2:$D50,$B22)
)*Sum!$Z$35)+((
sumifs('Form responses'!$AC$2:$AC50,'Form responses'!$C$2:$C50,"&gt;="&amp;$M$1,'Form responses'!$C$2:$C50,"&lt;="&amp;$P$1,'Form responses'!$D$2:$D50,$B22)
)*Sum!$AA$35)+((
sumifs('Form responses'!$AD$2:$AD50,'Form responses'!$C$2:$C50,"&gt;="&amp;$M$1,'Form responses'!$C$2:$C50,"&lt;="&amp;$P$1,'Form responses'!$D$2:$D50,$B22)
)*Sum!$AB$35)</f>
        <v>0</v>
      </c>
      <c r="J22" s="438">
        <f t="shared" si="1"/>
        <v>1500</v>
      </c>
      <c r="K22" s="438">
        <f>(
sumifs('Form responses'!$BF$2:$BF50,'Form responses'!$C$2:$C50,"&gt;="&amp;$M$1,'Form responses'!$C$2:$C50,"&lt;="&amp;$P$1,'Form responses'!$D$2:$D50,$B22)
+
sumifs('Form responses'!$BH$2:$BH50,'Form responses'!$C$2:$C50,"&gt;="&amp;$M$1,'Form responses'!$C$2:$C50,"&lt;="&amp;$P$1,'Form responses'!$D$2:$D50,$B22)
+
sumifs('Form responses'!$BJ$2:$BJ50,'Form responses'!$C$2:$C50,"&gt;="&amp;$M$1,'Form responses'!$C$2:$C50,"&lt;="&amp;$P$1,'Form responses'!$D$2:$D50,$B22)
+
sumifs('Form responses'!$BL$2:$BL50,'Form responses'!$C$2:$C50,"&gt;="&amp;$M$1,'Form responses'!$C$2:$C50,"&lt;="&amp;$P$1,'Form responses'!$D$2:$D50,$B22)
)*Sum!$Q$35</f>
        <v>500</v>
      </c>
      <c r="L22" s="438">
        <f>(
sumifs('Form responses'!$BN$2:$BN50,'Form responses'!$C$2:$C50,"&gt;="&amp;$M$1,'Form responses'!$C$2:$C50,"&lt;="&amp;$P$1,'Form responses'!$D$2:$D50,$B22)
+
sumifs('Form responses'!$BP$2:$BP50,'Form responses'!$C$2:$C50,"&gt;="&amp;$M$1,'Form responses'!$C$2:$C50,"&lt;="&amp;$P$1,'Form responses'!$D$2:$D50,$B22)
)*Sum!$R$35</f>
        <v>0</v>
      </c>
      <c r="M22" s="438">
        <f>(sumifs('Form responses'!$BR$2:$BR50,'Form responses'!$C$2:$C50,"&gt;="&amp;$M$1,'Form responses'!$C$2:$C50,"&lt;="&amp;$P$1,'Form responses'!$D$2:$D50,$B22)+sumifs('Form responses'!$BT$2:$BT50,'Form responses'!$C$2:$C50,"&gt;="&amp;$M$1,'Form responses'!$C$2:$C50,"&lt;="&amp;$P$1,'Form responses'!$D$2:$D50,$B22)+sumifs('Form responses'!$BV$2:$BV50,'Form responses'!$C$2:$C50,"&gt;="&amp;$M$1,'Form responses'!$C$2:$C50,"&lt;="&amp;$P$1,'Form responses'!$D$2:$D50,$B22)+sumifs('Form responses'!$BX$2:$BX50,'Form responses'!$C$2:$C50,"&gt;="&amp;$M$1,'Form responses'!$C$2:$C50,"&lt;="&amp;$P$1,'Form responses'!$D$2:$D50,$B22))*Sum!$S$35</f>
        <v>0</v>
      </c>
      <c r="N22" s="438"/>
      <c r="O22" s="438">
        <f t="shared" si="2"/>
        <v>500</v>
      </c>
      <c r="P22" s="438">
        <f>((sumifs('Form responses'!$BZ$2:$BZ50,'Form responses'!$C$2:$C50,"&gt;="&amp;$M$1,'Form responses'!$C$2:$C50,"&lt;="&amp;$P$1,'Form responses'!$D$2:$D50,$B22)+
sumifs('Form responses'!$CB$2:$CB50,'Form responses'!$C$2:$C50,"&gt;="&amp;$M$1,'Form responses'!$C$2:$C50,"&lt;="&amp;$P$1,'Form responses'!$D$2:$D50,$B22))*Sum!$U$35)</f>
        <v>375</v>
      </c>
      <c r="Q22" s="438">
        <f>(sumifs('Form responses'!$CD$2:$CD50,'Form responses'!$C$2:$C50,"&gt;="&amp;$M$1,'Form responses'!$C$2:$C50,"&lt;="&amp;$P$1,'Form responses'!$D$2:$D50,$B22)+sumifs('Form responses'!$CF$2:$CF50,'Form responses'!$C$2:$C50,"&gt;="&amp;$M$1,'Form responses'!$C$2:$C50,"&lt;="&amp;$P$1,'Form responses'!$D$2:$D50,$B22))*Sum!$S$35</f>
        <v>0</v>
      </c>
      <c r="R22" s="438">
        <f t="shared" si="3"/>
        <v>875</v>
      </c>
      <c r="S22" s="440">
        <f t="shared" si="4"/>
        <v>2375</v>
      </c>
      <c r="T22" s="441">
        <f>sum(S22:S23)</f>
        <v>3375</v>
      </c>
    </row>
    <row r="23" ht="27.75" customHeight="1">
      <c r="A23" s="435">
        <v>21.0</v>
      </c>
      <c r="B23" s="436" t="s">
        <v>192</v>
      </c>
      <c r="C23" s="437">
        <f>((sumifs('Form responses'!$I$2:$I50,'Form responses'!$C$2:$C50,"&gt;="&amp;$M$1,'Form responses'!$C$2:$C50,"&lt;="&amp;$P$1,'Form responses'!$D$2:$D50,$B23)
+sumifs('Form responses'!$J$2:$J50,'Form responses'!$C$2:$C50,"&gt;="&amp;$M$1,'Form responses'!$C$2:$C50,"&lt;="&amp;$P$1,'Form responses'!$D$2:$D50,$B23)
+sumifs('Form responses'!$K$2:$K50,'Form responses'!$C$2:$C50,"&gt;="&amp;$M$1,'Form responses'!$C$2:$C50,"&lt;="&amp;$P$1,'Form responses'!$D$2:$D50,$B23)
)*Sum!$B$35)</f>
        <v>0</v>
      </c>
      <c r="D23" s="438">
        <f>((sumifs('Form responses'!$L$2:$L50,'Form responses'!$C$2:$C50,"&gt;="&amp;$M$1,'Form responses'!$C$2:$C50,"&lt;="&amp;$P$1,'Form responses'!$D$2:$D50,$B23))*Sum!$C$35)</f>
        <v>0</v>
      </c>
      <c r="E23" s="438">
        <f>((
sumifs('Form responses'!$U$2:$U50,'Form responses'!$C$2:$C50,"&gt;="&amp;$M$1,'Form responses'!$C$2:$C50,"&lt;="&amp;$P$1,'Form responses'!$D$2:$D50,$B23)
+
sumifs('Form responses'!$V$2:$V50,'Form responses'!$C$2:$C50,"&gt;="&amp;$M$1,'Form responses'!$C$2:$C50,"&lt;="&amp;$P$1,'Form responses'!$D$2:$D50,$B23)
)*Sum!$E$35
)</f>
        <v>0</v>
      </c>
      <c r="F23" s="438">
        <f>sumifs('Form responses'!$W$2:$W50,'Form responses'!$C$2:$C50,"&gt;="&amp;$M$1,'Form responses'!$C$2:$C50,"&lt;="&amp;$P$1,'Form responses'!$D$2:$D50,$B23)
*Sum!$D$35</f>
        <v>0</v>
      </c>
      <c r="G23" s="439">
        <f>sumifs('Form responses'!$GN$2:$GN50,'Form responses'!$B$2:$B50,"&gt;="&amp;$M$1,'Form responses'!$C$2:$C50,"&lt;="&amp;$P$1,'Form responses'!$D$2:$D50,$B23)*Sum!$V$35+sumifs('Form responses'!$GO$2:$GO50,'Form responses'!$B$2:$B50,"&gt;="&amp;$M$1,'Form responses'!$C$2:$C50,"&lt;="&amp;$P$1,'Form responses'!$D$2:$D50,$B23)*Sum!$W$35+sumifs('Form responses'!$GP$2:$GP50,'Form responses'!$B$2:$B50,"&gt;="&amp;$M$1,'Form responses'!$C$2:$C50,"&lt;="&amp;$P$1,'Form responses'!$D$2:$D50,$B23)*Sum!$X$35+sumifs('Form responses'!$GQ$2:$GQ50,'Form responses'!$B$2:$B50,"&gt;="&amp;$M$1,'Form responses'!$C$2:$C50,"&lt;="&amp;$P$1,'Form responses'!$D$2:$D50,$B23)*Sum!$Y$35</f>
        <v>0</v>
      </c>
      <c r="H23" s="438">
        <f>((
sumifs('Form responses'!$X$2:$X50,'Form responses'!$C$2:$C50,"&gt;="&amp;$M$1,'Form responses'!$C$2:$C50,"&lt;="&amp;$P$1,'Form responses'!$D$2:$D50,$B23)
)*
Sum!$F$35
)+((
sumifs('Form responses'!$Y$2:$Y50,'Form responses'!$C$2:$C50,"&gt;="&amp;$M$1,'Form responses'!$C$2:$C50,"&lt;="&amp;$P$1,'Form responses'!$D$2:$D50,$B23)
)*
Sum!$G$35
)</f>
        <v>0</v>
      </c>
      <c r="I23" s="438">
        <f>((
sumifs('Form responses'!$Z$2:$Z50,'Form responses'!$C$2:$C50,"&gt;="&amp;$M$1,'Form responses'!$C$2:$C50,"&lt;="&amp;$P$1,'Form responses'!$D$2:$D50,$B23)
)*Sum!$H$35)+((
sumifs('Form responses'!$AA$2:$AA50,'Form responses'!$C$2:$C50,"&gt;="&amp;$M$1,'Form responses'!$C$2:$C50,"&lt;="&amp;$P$1,'Form responses'!$D$2:$D50,$B23)
)*Sum!$I$35)+((
sumifs('Form responses'!$AB$2:$AB50,'Form responses'!$C$2:$C50,"&gt;="&amp;$M$1,'Form responses'!$C$2:$C50,"&lt;="&amp;$P$1,'Form responses'!$D$2:$D50,$B23)
)*Sum!$Z$35)+((
sumifs('Form responses'!$AC$2:$AC50,'Form responses'!$C$2:$C50,"&gt;="&amp;$M$1,'Form responses'!$C$2:$C50,"&lt;="&amp;$P$1,'Form responses'!$D$2:$D50,$B23)
)*Sum!$AA$35)+((
sumifs('Form responses'!$AD$2:$AD50,'Form responses'!$C$2:$C50,"&gt;="&amp;$M$1,'Form responses'!$C$2:$C50,"&lt;="&amp;$P$1,'Form responses'!$D$2:$D50,$B23)
)*Sum!$AB$35)</f>
        <v>0</v>
      </c>
      <c r="J23" s="438">
        <f t="shared" si="1"/>
        <v>0</v>
      </c>
      <c r="K23" s="438">
        <f>(
sumifs('Form responses'!$BF$2:$BF50,'Form responses'!$C$2:$C50,"&gt;="&amp;$M$1,'Form responses'!$C$2:$C50,"&lt;="&amp;$P$1,'Form responses'!$D$2:$D50,$B23)
+
sumifs('Form responses'!$BH$2:$BH50,'Form responses'!$C$2:$C50,"&gt;="&amp;$M$1,'Form responses'!$C$2:$C50,"&lt;="&amp;$P$1,'Form responses'!$D$2:$D50,$B23)
+
sumifs('Form responses'!$BJ$2:$BJ50,'Form responses'!$C$2:$C50,"&gt;="&amp;$M$1,'Form responses'!$C$2:$C50,"&lt;="&amp;$P$1,'Form responses'!$D$2:$D50,$B23)
+
sumifs('Form responses'!$BL$2:$BL50,'Form responses'!$C$2:$C50,"&gt;="&amp;$M$1,'Form responses'!$C$2:$C50,"&lt;="&amp;$P$1,'Form responses'!$D$2:$D50,$B23)
)*Sum!$Q$35</f>
        <v>625</v>
      </c>
      <c r="L23" s="438">
        <f>(
sumifs('Form responses'!$BN$2:$BN50,'Form responses'!$C$2:$C50,"&gt;="&amp;$M$1,'Form responses'!$C$2:$C50,"&lt;="&amp;$P$1,'Form responses'!$D$2:$D50,$B23)
+
sumifs('Form responses'!$BP$2:$BP50,'Form responses'!$C$2:$C50,"&gt;="&amp;$M$1,'Form responses'!$C$2:$C50,"&lt;="&amp;$P$1,'Form responses'!$D$2:$D50,$B23)
)*Sum!$R$35</f>
        <v>0</v>
      </c>
      <c r="M23" s="438">
        <f>(sumifs('Form responses'!$BR$2:$BR50,'Form responses'!$C$2:$C50,"&gt;="&amp;$M$1,'Form responses'!$C$2:$C50,"&lt;="&amp;$P$1,'Form responses'!$D$2:$D50,$B23)+sumifs('Form responses'!$BT$2:$BT50,'Form responses'!$C$2:$C50,"&gt;="&amp;$M$1,'Form responses'!$C$2:$C50,"&lt;="&amp;$P$1,'Form responses'!$D$2:$D50,$B23)+sumifs('Form responses'!$BV$2:$BV50,'Form responses'!$C$2:$C50,"&gt;="&amp;$M$1,'Form responses'!$C$2:$C50,"&lt;="&amp;$P$1,'Form responses'!$D$2:$D50,$B23)+sumifs('Form responses'!$BX$2:$BX50,'Form responses'!$C$2:$C50,"&gt;="&amp;$M$1,'Form responses'!$C$2:$C50,"&lt;="&amp;$P$1,'Form responses'!$D$2:$D50,$B23))*Sum!$S$35</f>
        <v>0</v>
      </c>
      <c r="N23" s="438"/>
      <c r="O23" s="438">
        <f t="shared" si="2"/>
        <v>625</v>
      </c>
      <c r="P23" s="438">
        <f>((sumifs('Form responses'!$BZ$2:$BZ50,'Form responses'!$C$2:$C50,"&gt;="&amp;$M$1,'Form responses'!$C$2:$C50,"&lt;="&amp;$P$1,'Form responses'!$D$2:$D50,$B23)+
sumifs('Form responses'!$CB$2:$CB50,'Form responses'!$C$2:$C50,"&gt;="&amp;$M$1,'Form responses'!$C$2:$C50,"&lt;="&amp;$P$1,'Form responses'!$D$2:$D50,$B23))*Sum!$U$35)</f>
        <v>375</v>
      </c>
      <c r="Q23" s="438">
        <f>(sumifs('Form responses'!$CD$2:$CD50,'Form responses'!$C$2:$C50,"&gt;="&amp;$M$1,'Form responses'!$C$2:$C50,"&lt;="&amp;$P$1,'Form responses'!$D$2:$D50,$B23)+sumifs('Form responses'!$CF$2:$CF50,'Form responses'!$C$2:$C50,"&gt;="&amp;$M$1,'Form responses'!$C$2:$C50,"&lt;="&amp;$P$1,'Form responses'!$D$2:$D50,$B23))*Sum!$S$35</f>
        <v>0</v>
      </c>
      <c r="R23" s="438">
        <f t="shared" si="3"/>
        <v>1000</v>
      </c>
      <c r="S23" s="440">
        <f t="shared" si="4"/>
        <v>1000</v>
      </c>
      <c r="T23" s="322"/>
    </row>
    <row r="24" ht="27.75" customHeight="1">
      <c r="A24" s="443">
        <v>22.0</v>
      </c>
      <c r="B24" s="436" t="s">
        <v>201</v>
      </c>
      <c r="C24" s="437">
        <f>((sumifs('Form responses'!$I$2:$I50,'Form responses'!$C$2:$C50,"&gt;="&amp;$M$1,'Form responses'!$C$2:$C50,"&lt;="&amp;$P$1,'Form responses'!$D$2:$D50,$B24)
+sumifs('Form responses'!$J$2:$J50,'Form responses'!$C$2:$C50,"&gt;="&amp;$M$1,'Form responses'!$C$2:$C50,"&lt;="&amp;$P$1,'Form responses'!$D$2:$D50,$B24)
+sumifs('Form responses'!$K$2:$K50,'Form responses'!$C$2:$C50,"&gt;="&amp;$M$1,'Form responses'!$C$2:$C50,"&lt;="&amp;$P$1,'Form responses'!$D$2:$D50,$B24)
)*Sum!$B$35)</f>
        <v>1220</v>
      </c>
      <c r="D24" s="438">
        <f>((sumifs('Form responses'!$L$2:$L50,'Form responses'!$C$2:$C50,"&gt;="&amp;$M$1,'Form responses'!$C$2:$C50,"&lt;="&amp;$P$1,'Form responses'!$D$2:$D50,$B24))*Sum!$C$35)</f>
        <v>0</v>
      </c>
      <c r="E24" s="438">
        <f>((
sumifs('Form responses'!$U$2:$U50,'Form responses'!$C$2:$C50,"&gt;="&amp;$M$1,'Form responses'!$C$2:$C50,"&lt;="&amp;$P$1,'Form responses'!$D$2:$D50,$B24)
+
sumifs('Form responses'!$V$2:$V50,'Form responses'!$C$2:$C50,"&gt;="&amp;$M$1,'Form responses'!$C$2:$C50,"&lt;="&amp;$P$1,'Form responses'!$D$2:$D50,$B24)
)*Sum!$E$35
)</f>
        <v>0</v>
      </c>
      <c r="F24" s="438">
        <f>sumifs('Form responses'!$W$2:$W50,'Form responses'!$C$2:$C50,"&gt;="&amp;$M$1,'Form responses'!$C$2:$C50,"&lt;="&amp;$P$1,'Form responses'!$D$2:$D50,$B24)
*Sum!$D$35</f>
        <v>0</v>
      </c>
      <c r="G24" s="439">
        <f>sumifs('Form responses'!$GN$2:$GN50,'Form responses'!$B$2:$B50,"&gt;="&amp;$M$1,'Form responses'!$C$2:$C50,"&lt;="&amp;$P$1,'Form responses'!$D$2:$D50,$B24)*Sum!$V$35+sumifs('Form responses'!$GO$2:$GO50,'Form responses'!$B$2:$B50,"&gt;="&amp;$M$1,'Form responses'!$C$2:$C50,"&lt;="&amp;$P$1,'Form responses'!$D$2:$D50,$B24)*Sum!$W$35+sumifs('Form responses'!$GP$2:$GP50,'Form responses'!$B$2:$B50,"&gt;="&amp;$M$1,'Form responses'!$C$2:$C50,"&lt;="&amp;$P$1,'Form responses'!$D$2:$D50,$B24)*Sum!$X$35+sumifs('Form responses'!$GQ$2:$GQ50,'Form responses'!$B$2:$B50,"&gt;="&amp;$M$1,'Form responses'!$C$2:$C50,"&lt;="&amp;$P$1,'Form responses'!$D$2:$D50,$B24)*Sum!$Y$35</f>
        <v>0</v>
      </c>
      <c r="H24" s="438">
        <f>((
sumifs('Form responses'!$X$2:$X50,'Form responses'!$C$2:$C50,"&gt;="&amp;$M$1,'Form responses'!$C$2:$C50,"&lt;="&amp;$P$1,'Form responses'!$D$2:$D50,$B24)
)*
Sum!$F$35
)+((
sumifs('Form responses'!$Y$2:$Y50,'Form responses'!$C$2:$C50,"&gt;="&amp;$M$1,'Form responses'!$C$2:$C50,"&lt;="&amp;$P$1,'Form responses'!$D$2:$D50,$B24)
)*
Sum!$G$35
)</f>
        <v>0</v>
      </c>
      <c r="I24" s="438">
        <f>((
sumifs('Form responses'!$Z$2:$Z50,'Form responses'!$C$2:$C50,"&gt;="&amp;$M$1,'Form responses'!$C$2:$C50,"&lt;="&amp;$P$1,'Form responses'!$D$2:$D50,$B24)
)*Sum!$H$35)+((
sumifs('Form responses'!$AA$2:$AA50,'Form responses'!$C$2:$C50,"&gt;="&amp;$M$1,'Form responses'!$C$2:$C50,"&lt;="&amp;$P$1,'Form responses'!$D$2:$D50,$B24)
)*Sum!$I$35)+((
sumifs('Form responses'!$AB$2:$AB50,'Form responses'!$C$2:$C50,"&gt;="&amp;$M$1,'Form responses'!$C$2:$C50,"&lt;="&amp;$P$1,'Form responses'!$D$2:$D50,$B24)
)*Sum!$Z$35)+((
sumifs('Form responses'!$AC$2:$AC50,'Form responses'!$C$2:$C50,"&gt;="&amp;$M$1,'Form responses'!$C$2:$C50,"&lt;="&amp;$P$1,'Form responses'!$D$2:$D50,$B24)
)*Sum!$AA$35)+((
sumifs('Form responses'!$AD$2:$AD50,'Form responses'!$C$2:$C50,"&gt;="&amp;$M$1,'Form responses'!$C$2:$C50,"&lt;="&amp;$P$1,'Form responses'!$D$2:$D50,$B24)
)*Sum!$AB$35)</f>
        <v>100</v>
      </c>
      <c r="J24" s="438">
        <f t="shared" si="1"/>
        <v>1320</v>
      </c>
      <c r="K24" s="438">
        <f>(
sumifs('Form responses'!$BF$2:$BF50,'Form responses'!$C$2:$C50,"&gt;="&amp;$M$1,'Form responses'!$C$2:$C50,"&lt;="&amp;$P$1,'Form responses'!$D$2:$D50,$B24)
+
sumifs('Form responses'!$BH$2:$BH50,'Form responses'!$C$2:$C50,"&gt;="&amp;$M$1,'Form responses'!$C$2:$C50,"&lt;="&amp;$P$1,'Form responses'!$D$2:$D50,$B24)
+
sumifs('Form responses'!$BJ$2:$BJ50,'Form responses'!$C$2:$C50,"&gt;="&amp;$M$1,'Form responses'!$C$2:$C50,"&lt;="&amp;$P$1,'Form responses'!$D$2:$D50,$B24)
+
sumifs('Form responses'!$BL$2:$BL50,'Form responses'!$C$2:$C50,"&gt;="&amp;$M$1,'Form responses'!$C$2:$C50,"&lt;="&amp;$P$1,'Form responses'!$D$2:$D50,$B24)
)*Sum!$Q$35</f>
        <v>750</v>
      </c>
      <c r="L24" s="438">
        <f>(
sumifs('Form responses'!$BN$2:$BN50,'Form responses'!$C$2:$C50,"&gt;="&amp;$M$1,'Form responses'!$C$2:$C50,"&lt;="&amp;$P$1,'Form responses'!$D$2:$D50,$B24)
+
sumifs('Form responses'!$BP$2:$BP50,'Form responses'!$C$2:$C50,"&gt;="&amp;$M$1,'Form responses'!$C$2:$C50,"&lt;="&amp;$P$1,'Form responses'!$D$2:$D50,$B24)
)*Sum!$R$35</f>
        <v>0</v>
      </c>
      <c r="M24" s="438">
        <f>(sumifs('Form responses'!$BR$2:$BR50,'Form responses'!$C$2:$C50,"&gt;="&amp;$M$1,'Form responses'!$C$2:$C50,"&lt;="&amp;$P$1,'Form responses'!$D$2:$D50,$B24)+sumifs('Form responses'!$BT$2:$BT50,'Form responses'!$C$2:$C50,"&gt;="&amp;$M$1,'Form responses'!$C$2:$C50,"&lt;="&amp;$P$1,'Form responses'!$D$2:$D50,$B24)+sumifs('Form responses'!$BV$2:$BV50,'Form responses'!$C$2:$C50,"&gt;="&amp;$M$1,'Form responses'!$C$2:$C50,"&lt;="&amp;$P$1,'Form responses'!$D$2:$D50,$B24)+sumifs('Form responses'!$BX$2:$BX50,'Form responses'!$C$2:$C50,"&gt;="&amp;$M$1,'Form responses'!$C$2:$C50,"&lt;="&amp;$P$1,'Form responses'!$D$2:$D50,$B24))*Sum!$S$35</f>
        <v>0</v>
      </c>
      <c r="N24" s="438"/>
      <c r="O24" s="438">
        <f t="shared" si="2"/>
        <v>750</v>
      </c>
      <c r="P24" s="438">
        <f>((sumifs('Form responses'!$BZ$2:$BZ50,'Form responses'!$C$2:$C50,"&gt;="&amp;$M$1,'Form responses'!$C$2:$C50,"&lt;="&amp;$P$1,'Form responses'!$D$2:$D50,$B24)+
sumifs('Form responses'!$CB$2:$CB50,'Form responses'!$C$2:$C50,"&gt;="&amp;$M$1,'Form responses'!$C$2:$C50,"&lt;="&amp;$P$1,'Form responses'!$D$2:$D50,$B24))*Sum!$U$35)</f>
        <v>750</v>
      </c>
      <c r="Q24" s="438">
        <f>(sumifs('Form responses'!$CD$2:$CD50,'Form responses'!$C$2:$C50,"&gt;="&amp;$M$1,'Form responses'!$C$2:$C50,"&lt;="&amp;$P$1,'Form responses'!$D$2:$D50,$B24)+sumifs('Form responses'!$CF$2:$CF50,'Form responses'!$C$2:$C50,"&gt;="&amp;$M$1,'Form responses'!$C$2:$C50,"&lt;="&amp;$P$1,'Form responses'!$D$2:$D50,$B24))*Sum!$S$35</f>
        <v>0</v>
      </c>
      <c r="R24" s="438">
        <f t="shared" si="3"/>
        <v>1500</v>
      </c>
      <c r="S24" s="440">
        <f t="shared" si="4"/>
        <v>2820</v>
      </c>
      <c r="T24" s="440">
        <f>S24</f>
        <v>2820</v>
      </c>
    </row>
    <row r="25" ht="27.75" customHeight="1">
      <c r="A25" s="435">
        <v>23.0</v>
      </c>
      <c r="B25" s="436" t="s">
        <v>207</v>
      </c>
      <c r="C25" s="437">
        <f>((sumifs('Form responses'!$I$2:$I50,'Form responses'!$C$2:$C50,"&gt;="&amp;$M$1,'Form responses'!$C$2:$C50,"&lt;="&amp;$P$1,'Form responses'!$D$2:$D50,$B25)
+sumifs('Form responses'!$J$2:$J50,'Form responses'!$C$2:$C50,"&gt;="&amp;$M$1,'Form responses'!$C$2:$C50,"&lt;="&amp;$P$1,'Form responses'!$D$2:$D50,$B25)
+sumifs('Form responses'!$K$2:$K50,'Form responses'!$C$2:$C50,"&gt;="&amp;$M$1,'Form responses'!$C$2:$C50,"&lt;="&amp;$P$1,'Form responses'!$D$2:$D50,$B25)
)*Sum!$B$35)</f>
        <v>1650</v>
      </c>
      <c r="D25" s="438">
        <f>((sumifs('Form responses'!$L$2:$L50,'Form responses'!$C$2:$C50,"&gt;="&amp;$M$1,'Form responses'!$C$2:$C50,"&lt;="&amp;$P$1,'Form responses'!$D$2:$D50,$B25))*Sum!$C$35)</f>
        <v>0</v>
      </c>
      <c r="E25" s="438">
        <f>((
sumifs('Form responses'!$U$2:$U50,'Form responses'!$C$2:$C50,"&gt;="&amp;$M$1,'Form responses'!$C$2:$C50,"&lt;="&amp;$P$1,'Form responses'!$D$2:$D50,$B25)
+
sumifs('Form responses'!$V$2:$V50,'Form responses'!$C$2:$C50,"&gt;="&amp;$M$1,'Form responses'!$C$2:$C50,"&lt;="&amp;$P$1,'Form responses'!$D$2:$D50,$B25)
)*Sum!$E$35
)</f>
        <v>0</v>
      </c>
      <c r="F25" s="438">
        <f>sumifs('Form responses'!$W$2:$W50,'Form responses'!$C$2:$C50,"&gt;="&amp;$M$1,'Form responses'!$C$2:$C50,"&lt;="&amp;$P$1,'Form responses'!$D$2:$D50,$B25)
*Sum!$D$35</f>
        <v>0</v>
      </c>
      <c r="G25" s="439">
        <f>sumifs('Form responses'!$GN$2:$GN50,'Form responses'!$B$2:$B50,"&gt;="&amp;$M$1,'Form responses'!$C$2:$C50,"&lt;="&amp;$P$1,'Form responses'!$D$2:$D50,$B25)*Sum!$V$35+sumifs('Form responses'!$GO$2:$GO50,'Form responses'!$B$2:$B50,"&gt;="&amp;$M$1,'Form responses'!$C$2:$C50,"&lt;="&amp;$P$1,'Form responses'!$D$2:$D50,$B25)*Sum!$W$35+sumifs('Form responses'!$GP$2:$GP50,'Form responses'!$B$2:$B50,"&gt;="&amp;$M$1,'Form responses'!$C$2:$C50,"&lt;="&amp;$P$1,'Form responses'!$D$2:$D50,$B25)*Sum!$X$35+sumifs('Form responses'!$GQ$2:$GQ50,'Form responses'!$B$2:$B50,"&gt;="&amp;$M$1,'Form responses'!$C$2:$C50,"&lt;="&amp;$P$1,'Form responses'!$D$2:$D50,$B25)*Sum!$Y$35</f>
        <v>0</v>
      </c>
      <c r="H25" s="438">
        <f>((
sumifs('Form responses'!$X$2:$X50,'Form responses'!$C$2:$C50,"&gt;="&amp;$M$1,'Form responses'!$C$2:$C50,"&lt;="&amp;$P$1,'Form responses'!$D$2:$D50,$B25)
)*
Sum!$F$35
)+((
sumifs('Form responses'!$Y$2:$Y50,'Form responses'!$C$2:$C50,"&gt;="&amp;$M$1,'Form responses'!$C$2:$C50,"&lt;="&amp;$P$1,'Form responses'!$D$2:$D50,$B25)
)*
Sum!$G$35
)</f>
        <v>2000</v>
      </c>
      <c r="I25" s="438">
        <f>((
sumifs('Form responses'!$Z$2:$Z50,'Form responses'!$C$2:$C50,"&gt;="&amp;$M$1,'Form responses'!$C$2:$C50,"&lt;="&amp;$P$1,'Form responses'!$D$2:$D50,$B25)
)*Sum!$H$35)+((
sumifs('Form responses'!$AA$2:$AA50,'Form responses'!$C$2:$C50,"&gt;="&amp;$M$1,'Form responses'!$C$2:$C50,"&lt;="&amp;$P$1,'Form responses'!$D$2:$D50,$B25)
)*Sum!$I$35)+((
sumifs('Form responses'!$AB$2:$AB50,'Form responses'!$C$2:$C50,"&gt;="&amp;$M$1,'Form responses'!$C$2:$C50,"&lt;="&amp;$P$1,'Form responses'!$D$2:$D50,$B25)
)*Sum!$Z$35)+((
sumifs('Form responses'!$AC$2:$AC50,'Form responses'!$C$2:$C50,"&gt;="&amp;$M$1,'Form responses'!$C$2:$C50,"&lt;="&amp;$P$1,'Form responses'!$D$2:$D50,$B25)
)*Sum!$AA$35)+((
sumifs('Form responses'!$AD$2:$AD50,'Form responses'!$C$2:$C50,"&gt;="&amp;$M$1,'Form responses'!$C$2:$C50,"&lt;="&amp;$P$1,'Form responses'!$D$2:$D50,$B25)
)*Sum!$AB$35)</f>
        <v>0</v>
      </c>
      <c r="J25" s="438">
        <f t="shared" si="1"/>
        <v>3650</v>
      </c>
      <c r="K25" s="438">
        <f>(
sumifs('Form responses'!$BF$2:$BF50,'Form responses'!$C$2:$C50,"&gt;="&amp;$M$1,'Form responses'!$C$2:$C50,"&lt;="&amp;$P$1,'Form responses'!$D$2:$D50,$B25)
+
sumifs('Form responses'!$BH$2:$BH50,'Form responses'!$C$2:$C50,"&gt;="&amp;$M$1,'Form responses'!$C$2:$C50,"&lt;="&amp;$P$1,'Form responses'!$D$2:$D50,$B25)
+
sumifs('Form responses'!$BJ$2:$BJ50,'Form responses'!$C$2:$C50,"&gt;="&amp;$M$1,'Form responses'!$C$2:$C50,"&lt;="&amp;$P$1,'Form responses'!$D$2:$D50,$B25)
+
sumifs('Form responses'!$BL$2:$BL50,'Form responses'!$C$2:$C50,"&gt;="&amp;$M$1,'Form responses'!$C$2:$C50,"&lt;="&amp;$P$1,'Form responses'!$D$2:$D50,$B25)
)*Sum!$Q$35</f>
        <v>375</v>
      </c>
      <c r="L25" s="438">
        <f>(
sumifs('Form responses'!$BN$2:$BN50,'Form responses'!$C$2:$C50,"&gt;="&amp;$M$1,'Form responses'!$C$2:$C50,"&lt;="&amp;$P$1,'Form responses'!$D$2:$D50,$B25)
+
sumifs('Form responses'!$BP$2:$BP50,'Form responses'!$C$2:$C50,"&gt;="&amp;$M$1,'Form responses'!$C$2:$C50,"&lt;="&amp;$P$1,'Form responses'!$D$2:$D50,$B25)
)*Sum!$R$35</f>
        <v>0</v>
      </c>
      <c r="M25" s="438">
        <f>(sumifs('Form responses'!$BR$2:$BR50,'Form responses'!$C$2:$C50,"&gt;="&amp;$M$1,'Form responses'!$C$2:$C50,"&lt;="&amp;$P$1,'Form responses'!$D$2:$D50,$B25)+sumifs('Form responses'!$BT$2:$BT50,'Form responses'!$C$2:$C50,"&gt;="&amp;$M$1,'Form responses'!$C$2:$C50,"&lt;="&amp;$P$1,'Form responses'!$D$2:$D50,$B25)+sumifs('Form responses'!$BV$2:$BV50,'Form responses'!$C$2:$C50,"&gt;="&amp;$M$1,'Form responses'!$C$2:$C50,"&lt;="&amp;$P$1,'Form responses'!$D$2:$D50,$B25)+sumifs('Form responses'!$BX$2:$BX50,'Form responses'!$C$2:$C50,"&gt;="&amp;$M$1,'Form responses'!$C$2:$C50,"&lt;="&amp;$P$1,'Form responses'!$D$2:$D50,$B25))*Sum!$S$35</f>
        <v>0</v>
      </c>
      <c r="N25" s="438"/>
      <c r="O25" s="438">
        <f t="shared" si="2"/>
        <v>375</v>
      </c>
      <c r="P25" s="438">
        <f>((sumifs('Form responses'!$BZ$2:$BZ50,'Form responses'!$C$2:$C50,"&gt;="&amp;$M$1,'Form responses'!$C$2:$C50,"&lt;="&amp;$P$1,'Form responses'!$D$2:$D50,$B25)+
sumifs('Form responses'!$CB$2:$CB50,'Form responses'!$C$2:$C50,"&gt;="&amp;$M$1,'Form responses'!$C$2:$C50,"&lt;="&amp;$P$1,'Form responses'!$D$2:$D50,$B25))*Sum!$U$35)</f>
        <v>1125</v>
      </c>
      <c r="Q25" s="438">
        <f>(sumifs('Form responses'!$CD$2:$CD50,'Form responses'!$C$2:$C50,"&gt;="&amp;$M$1,'Form responses'!$C$2:$C50,"&lt;="&amp;$P$1,'Form responses'!$D$2:$D50,$B25)+sumifs('Form responses'!$CF$2:$CF50,'Form responses'!$C$2:$C50,"&gt;="&amp;$M$1,'Form responses'!$C$2:$C50,"&lt;="&amp;$P$1,'Form responses'!$D$2:$D50,$B25))*Sum!$S$35</f>
        <v>0</v>
      </c>
      <c r="R25" s="438">
        <f t="shared" si="3"/>
        <v>1500</v>
      </c>
      <c r="S25" s="440">
        <f t="shared" si="4"/>
        <v>5150</v>
      </c>
      <c r="T25" s="449">
        <f>sum(S25:S29)</f>
        <v>9625</v>
      </c>
    </row>
    <row r="26" ht="27.75" customHeight="1">
      <c r="A26" s="443">
        <v>24.0</v>
      </c>
      <c r="B26" s="436" t="s">
        <v>214</v>
      </c>
      <c r="C26" s="437">
        <f>((sumifs('Form responses'!$I$2:$I50,'Form responses'!$C$2:$C50,"&gt;="&amp;$M$1,'Form responses'!$C$2:$C50,"&lt;="&amp;$P$1,'Form responses'!$D$2:$D50,$B26)
+sumifs('Form responses'!$J$2:$J50,'Form responses'!$C$2:$C50,"&gt;="&amp;$M$1,'Form responses'!$C$2:$C50,"&lt;="&amp;$P$1,'Form responses'!$D$2:$D50,$B26)
+sumifs('Form responses'!$K$2:$K50,'Form responses'!$C$2:$C50,"&gt;="&amp;$M$1,'Form responses'!$C$2:$C50,"&lt;="&amp;$P$1,'Form responses'!$D$2:$D50,$B26)
)*Sum!$B$35)</f>
        <v>0</v>
      </c>
      <c r="D26" s="438">
        <f>((sumifs('Form responses'!$L$2:$L50,'Form responses'!$C$2:$C50,"&gt;="&amp;$M$1,'Form responses'!$C$2:$C50,"&lt;="&amp;$P$1,'Form responses'!$D$2:$D50,$B26))*Sum!$C$35)</f>
        <v>0</v>
      </c>
      <c r="E26" s="438">
        <f>((
sumifs('Form responses'!$U$2:$U50,'Form responses'!$C$2:$C50,"&gt;="&amp;$M$1,'Form responses'!$C$2:$C50,"&lt;="&amp;$P$1,'Form responses'!$D$2:$D50,$B26)
+
sumifs('Form responses'!$V$2:$V50,'Form responses'!$C$2:$C50,"&gt;="&amp;$M$1,'Form responses'!$C$2:$C50,"&lt;="&amp;$P$1,'Form responses'!$D$2:$D50,$B26)
)*Sum!$E$35
)</f>
        <v>0</v>
      </c>
      <c r="F26" s="438">
        <f>sumifs('Form responses'!$W$2:$W50,'Form responses'!$C$2:$C50,"&gt;="&amp;$M$1,'Form responses'!$C$2:$C50,"&lt;="&amp;$P$1,'Form responses'!$D$2:$D50,$B26)
*Sum!$D$35</f>
        <v>0</v>
      </c>
      <c r="G26" s="439">
        <f>sumifs('Form responses'!$GN$2:$GN50,'Form responses'!$B$2:$B50,"&gt;="&amp;$M$1,'Form responses'!$C$2:$C50,"&lt;="&amp;$P$1,'Form responses'!$D$2:$D50,$B26)*Sum!$V$35+sumifs('Form responses'!$GO$2:$GO50,'Form responses'!$B$2:$B50,"&gt;="&amp;$M$1,'Form responses'!$C$2:$C50,"&lt;="&amp;$P$1,'Form responses'!$D$2:$D50,$B26)*Sum!$W$35+sumifs('Form responses'!$GP$2:$GP50,'Form responses'!$B$2:$B50,"&gt;="&amp;$M$1,'Form responses'!$C$2:$C50,"&lt;="&amp;$P$1,'Form responses'!$D$2:$D50,$B26)*Sum!$X$35+sumifs('Form responses'!$GQ$2:$GQ50,'Form responses'!$B$2:$B50,"&gt;="&amp;$M$1,'Form responses'!$C$2:$C50,"&lt;="&amp;$P$1,'Form responses'!$D$2:$D50,$B26)*Sum!$Y$35</f>
        <v>0</v>
      </c>
      <c r="H26" s="438">
        <f>((
sumifs('Form responses'!$X$2:$X50,'Form responses'!$C$2:$C50,"&gt;="&amp;$M$1,'Form responses'!$C$2:$C50,"&lt;="&amp;$P$1,'Form responses'!$D$2:$D50,$B26)
)*
Sum!$F$35
)+((
sumifs('Form responses'!$Y$2:$Y50,'Form responses'!$C$2:$C50,"&gt;="&amp;$M$1,'Form responses'!$C$2:$C50,"&lt;="&amp;$P$1,'Form responses'!$D$2:$D50,$B26)
)*
Sum!$G$35
)</f>
        <v>0</v>
      </c>
      <c r="I26" s="438">
        <f>((
sumifs('Form responses'!$Z$2:$Z50,'Form responses'!$C$2:$C50,"&gt;="&amp;$M$1,'Form responses'!$C$2:$C50,"&lt;="&amp;$P$1,'Form responses'!$D$2:$D50,$B26)
)*Sum!$H$35)+((
sumifs('Form responses'!$AA$2:$AA50,'Form responses'!$C$2:$C50,"&gt;="&amp;$M$1,'Form responses'!$C$2:$C50,"&lt;="&amp;$P$1,'Form responses'!$D$2:$D50,$B26)
)*Sum!$I$35)+((
sumifs('Form responses'!$AB$2:$AB50,'Form responses'!$C$2:$C50,"&gt;="&amp;$M$1,'Form responses'!$C$2:$C50,"&lt;="&amp;$P$1,'Form responses'!$D$2:$D50,$B26)
)*Sum!$Z$35)+((
sumifs('Form responses'!$AC$2:$AC50,'Form responses'!$C$2:$C50,"&gt;="&amp;$M$1,'Form responses'!$C$2:$C50,"&lt;="&amp;$P$1,'Form responses'!$D$2:$D50,$B26)
)*Sum!$AA$35)+((
sumifs('Form responses'!$AD$2:$AD50,'Form responses'!$C$2:$C50,"&gt;="&amp;$M$1,'Form responses'!$C$2:$C50,"&lt;="&amp;$P$1,'Form responses'!$D$2:$D50,$B26)
)*Sum!$AB$35)</f>
        <v>0</v>
      </c>
      <c r="J26" s="438">
        <f t="shared" si="1"/>
        <v>0</v>
      </c>
      <c r="K26" s="438">
        <f>(
sumifs('Form responses'!$BF$2:$BF50,'Form responses'!$C$2:$C50,"&gt;="&amp;$M$1,'Form responses'!$C$2:$C50,"&lt;="&amp;$P$1,'Form responses'!$D$2:$D50,$B26)
+
sumifs('Form responses'!$BH$2:$BH50,'Form responses'!$C$2:$C50,"&gt;="&amp;$M$1,'Form responses'!$C$2:$C50,"&lt;="&amp;$P$1,'Form responses'!$D$2:$D50,$B26)
+
sumifs('Form responses'!$BJ$2:$BJ50,'Form responses'!$C$2:$C50,"&gt;="&amp;$M$1,'Form responses'!$C$2:$C50,"&lt;="&amp;$P$1,'Form responses'!$D$2:$D50,$B26)
+
sumifs('Form responses'!$BL$2:$BL50,'Form responses'!$C$2:$C50,"&gt;="&amp;$M$1,'Form responses'!$C$2:$C50,"&lt;="&amp;$P$1,'Form responses'!$D$2:$D50,$B26)
)*Sum!$Q$35</f>
        <v>375</v>
      </c>
      <c r="L26" s="438">
        <f>(
sumifs('Form responses'!$BN$2:$BN50,'Form responses'!$C$2:$C50,"&gt;="&amp;$M$1,'Form responses'!$C$2:$C50,"&lt;="&amp;$P$1,'Form responses'!$D$2:$D50,$B26)
+
sumifs('Form responses'!$BP$2:$BP50,'Form responses'!$C$2:$C50,"&gt;="&amp;$M$1,'Form responses'!$C$2:$C50,"&lt;="&amp;$P$1,'Form responses'!$D$2:$D50,$B26)
)*Sum!$R$35</f>
        <v>0</v>
      </c>
      <c r="M26" s="438">
        <f>(sumifs('Form responses'!$BR$2:$BR50,'Form responses'!$C$2:$C50,"&gt;="&amp;$M$1,'Form responses'!$C$2:$C50,"&lt;="&amp;$P$1,'Form responses'!$D$2:$D50,$B26)+sumifs('Form responses'!$BT$2:$BT50,'Form responses'!$C$2:$C50,"&gt;="&amp;$M$1,'Form responses'!$C$2:$C50,"&lt;="&amp;$P$1,'Form responses'!$D$2:$D50,$B26)+sumifs('Form responses'!$BV$2:$BV50,'Form responses'!$C$2:$C50,"&gt;="&amp;$M$1,'Form responses'!$C$2:$C50,"&lt;="&amp;$P$1,'Form responses'!$D$2:$D50,$B26)+sumifs('Form responses'!$BX$2:$BX50,'Form responses'!$C$2:$C50,"&gt;="&amp;$M$1,'Form responses'!$C$2:$C50,"&lt;="&amp;$P$1,'Form responses'!$D$2:$D50,$B26))*Sum!$S$35</f>
        <v>0</v>
      </c>
      <c r="N26" s="438"/>
      <c r="O26" s="438">
        <f t="shared" si="2"/>
        <v>375</v>
      </c>
      <c r="P26" s="438">
        <f>((sumifs('Form responses'!$BZ$2:$BZ50,'Form responses'!$C$2:$C50,"&gt;="&amp;$M$1,'Form responses'!$C$2:$C50,"&lt;="&amp;$P$1,'Form responses'!$D$2:$D50,$B26)+
sumifs('Form responses'!$CB$2:$CB50,'Form responses'!$C$2:$C50,"&gt;="&amp;$M$1,'Form responses'!$C$2:$C50,"&lt;="&amp;$P$1,'Form responses'!$D$2:$D50,$B26))*Sum!$U$35)</f>
        <v>0</v>
      </c>
      <c r="Q26" s="438">
        <f>(sumifs('Form responses'!$CD$2:$CD50,'Form responses'!$C$2:$C50,"&gt;="&amp;$M$1,'Form responses'!$C$2:$C50,"&lt;="&amp;$P$1,'Form responses'!$D$2:$D50,$B26)+sumifs('Form responses'!$CF$2:$CF50,'Form responses'!$C$2:$C50,"&gt;="&amp;$M$1,'Form responses'!$C$2:$C50,"&lt;="&amp;$P$1,'Form responses'!$D$2:$D50,$B26))*Sum!$S$35</f>
        <v>0</v>
      </c>
      <c r="R26" s="438">
        <f t="shared" si="3"/>
        <v>375</v>
      </c>
      <c r="S26" s="440">
        <f t="shared" si="4"/>
        <v>375</v>
      </c>
      <c r="T26" s="331"/>
    </row>
    <row r="27" ht="27.75" customHeight="1">
      <c r="A27" s="443">
        <v>25.0</v>
      </c>
      <c r="B27" s="442" t="s">
        <v>211</v>
      </c>
      <c r="C27" s="437">
        <f>((sumifs('Form responses'!$I$2:$I50,'Form responses'!$C$2:$C50,"&gt;="&amp;$M$1,'Form responses'!$C$2:$C50,"&lt;="&amp;$P$1,'Form responses'!$D$2:$D50,$B27)
+sumifs('Form responses'!$J$2:$J50,'Form responses'!$C$2:$C50,"&gt;="&amp;$M$1,'Form responses'!$C$2:$C50,"&lt;="&amp;$P$1,'Form responses'!$D$2:$D50,$B27)
+sumifs('Form responses'!$K$2:$K50,'Form responses'!$C$2:$C50,"&gt;="&amp;$M$1,'Form responses'!$C$2:$C50,"&lt;="&amp;$P$1,'Form responses'!$D$2:$D50,$B27)
)*Sum!$B$35)</f>
        <v>0</v>
      </c>
      <c r="D27" s="438">
        <f>((sumifs('Form responses'!$L$2:$L50,'Form responses'!$C$2:$C50,"&gt;="&amp;$M$1,'Form responses'!$C$2:$C50,"&lt;="&amp;$P$1,'Form responses'!$D$2:$D50,$B27))*Sum!$C$35)</f>
        <v>0</v>
      </c>
      <c r="E27" s="438">
        <f>((
sumifs('Form responses'!$U$2:$U50,'Form responses'!$C$2:$C50,"&gt;="&amp;$M$1,'Form responses'!$C$2:$C50,"&lt;="&amp;$P$1,'Form responses'!$D$2:$D50,$B27)
+
sumifs('Form responses'!$V$2:$V50,'Form responses'!$C$2:$C50,"&gt;="&amp;$M$1,'Form responses'!$C$2:$C50,"&lt;="&amp;$P$1,'Form responses'!$D$2:$D50,$B27)
)*Sum!$E$35
)</f>
        <v>0</v>
      </c>
      <c r="F27" s="438">
        <f>sumifs('Form responses'!$W$2:$W50,'Form responses'!$C$2:$C50,"&gt;="&amp;$M$1,'Form responses'!$C$2:$C50,"&lt;="&amp;$P$1,'Form responses'!$D$2:$D50,$B27)
*Sum!$D$35</f>
        <v>0</v>
      </c>
      <c r="G27" s="439">
        <f>sumifs('Form responses'!$GN$2:$GN50,'Form responses'!$B$2:$B50,"&gt;="&amp;$M$1,'Form responses'!$C$2:$C50,"&lt;="&amp;$P$1,'Form responses'!$D$2:$D50,$B27)*Sum!$V$35+sumifs('Form responses'!$GO$2:$GO50,'Form responses'!$B$2:$B50,"&gt;="&amp;$M$1,'Form responses'!$C$2:$C50,"&lt;="&amp;$P$1,'Form responses'!$D$2:$D50,$B27)*Sum!$W$35+sumifs('Form responses'!$GP$2:$GP50,'Form responses'!$B$2:$B50,"&gt;="&amp;$M$1,'Form responses'!$C$2:$C50,"&lt;="&amp;$P$1,'Form responses'!$D$2:$D50,$B27)*Sum!$X$35+sumifs('Form responses'!$GQ$2:$GQ50,'Form responses'!$B$2:$B50,"&gt;="&amp;$M$1,'Form responses'!$C$2:$C50,"&lt;="&amp;$P$1,'Form responses'!$D$2:$D50,$B27)*Sum!$Y$35</f>
        <v>0</v>
      </c>
      <c r="H27" s="438">
        <f>((
sumifs('Form responses'!$X$2:$X50,'Form responses'!$C$2:$C50,"&gt;="&amp;$M$1,'Form responses'!$C$2:$C50,"&lt;="&amp;$P$1,'Form responses'!$D$2:$D50,$B27)
)*
Sum!$F$35
)+((
sumifs('Form responses'!$Y$2:$Y50,'Form responses'!$C$2:$C50,"&gt;="&amp;$M$1,'Form responses'!$C$2:$C50,"&lt;="&amp;$P$1,'Form responses'!$D$2:$D50,$B27)
)*
Sum!$G$35
)</f>
        <v>0</v>
      </c>
      <c r="I27" s="438">
        <f>((
sumifs('Form responses'!$Z$2:$Z50,'Form responses'!$C$2:$C50,"&gt;="&amp;$M$1,'Form responses'!$C$2:$C50,"&lt;="&amp;$P$1,'Form responses'!$D$2:$D50,$B27)
)*Sum!$H$35)+((
sumifs('Form responses'!$AA$2:$AA50,'Form responses'!$C$2:$C50,"&gt;="&amp;$M$1,'Form responses'!$C$2:$C50,"&lt;="&amp;$P$1,'Form responses'!$D$2:$D50,$B27)
)*Sum!$I$35)+((
sumifs('Form responses'!$AB$2:$AB50,'Form responses'!$C$2:$C50,"&gt;="&amp;$M$1,'Form responses'!$C$2:$C50,"&lt;="&amp;$P$1,'Form responses'!$D$2:$D50,$B27)
)*Sum!$Z$35)+((
sumifs('Form responses'!$AC$2:$AC50,'Form responses'!$C$2:$C50,"&gt;="&amp;$M$1,'Form responses'!$C$2:$C50,"&lt;="&amp;$P$1,'Form responses'!$D$2:$D50,$B27)
)*Sum!$AA$35)+((
sumifs('Form responses'!$AD$2:$AD50,'Form responses'!$C$2:$C50,"&gt;="&amp;$M$1,'Form responses'!$C$2:$C50,"&lt;="&amp;$P$1,'Form responses'!$D$2:$D50,$B27)
)*Sum!$AB$35)</f>
        <v>0</v>
      </c>
      <c r="J27" s="438">
        <f t="shared" si="1"/>
        <v>0</v>
      </c>
      <c r="K27" s="438">
        <f>(
sumifs('Form responses'!$BF$2:$BF50,'Form responses'!$C$2:$C50,"&gt;="&amp;$M$1,'Form responses'!$C$2:$C50,"&lt;="&amp;$P$1,'Form responses'!$D$2:$D50,$B27)
+
sumifs('Form responses'!$BH$2:$BH50,'Form responses'!$C$2:$C50,"&gt;="&amp;$M$1,'Form responses'!$C$2:$C50,"&lt;="&amp;$P$1,'Form responses'!$D$2:$D50,$B27)
+
sumifs('Form responses'!$BJ$2:$BJ50,'Form responses'!$C$2:$C50,"&gt;="&amp;$M$1,'Form responses'!$C$2:$C50,"&lt;="&amp;$P$1,'Form responses'!$D$2:$D50,$B27)
+
sumifs('Form responses'!$BL$2:$BL50,'Form responses'!$C$2:$C50,"&gt;="&amp;$M$1,'Form responses'!$C$2:$C50,"&lt;="&amp;$P$1,'Form responses'!$D$2:$D50,$B27)
)*Sum!$Q$35</f>
        <v>375</v>
      </c>
      <c r="L27" s="438">
        <f>(
sumifs('Form responses'!$BN$2:$BN50,'Form responses'!$C$2:$C50,"&gt;="&amp;$M$1,'Form responses'!$C$2:$C50,"&lt;="&amp;$P$1,'Form responses'!$D$2:$D50,$B27)
+
sumifs('Form responses'!$BP$2:$BP50,'Form responses'!$C$2:$C50,"&gt;="&amp;$M$1,'Form responses'!$C$2:$C50,"&lt;="&amp;$P$1,'Form responses'!$D$2:$D50,$B27)
)*Sum!$R$35</f>
        <v>0</v>
      </c>
      <c r="M27" s="438">
        <f>(sumifs('Form responses'!$BR$2:$BR50,'Form responses'!$C$2:$C50,"&gt;="&amp;$M$1,'Form responses'!$C$2:$C50,"&lt;="&amp;$P$1,'Form responses'!$D$2:$D50,$B27)+sumifs('Form responses'!$BT$2:$BT50,'Form responses'!$C$2:$C50,"&gt;="&amp;$M$1,'Form responses'!$C$2:$C50,"&lt;="&amp;$P$1,'Form responses'!$D$2:$D50,$B27)+sumifs('Form responses'!$BV$2:$BV50,'Form responses'!$C$2:$C50,"&gt;="&amp;$M$1,'Form responses'!$C$2:$C50,"&lt;="&amp;$P$1,'Form responses'!$D$2:$D50,$B27)+sumifs('Form responses'!$BX$2:$BX50,'Form responses'!$C$2:$C50,"&gt;="&amp;$M$1,'Form responses'!$C$2:$C50,"&lt;="&amp;$P$1,'Form responses'!$D$2:$D50,$B27))*Sum!$S$35</f>
        <v>0</v>
      </c>
      <c r="N27" s="438"/>
      <c r="O27" s="438">
        <f t="shared" si="2"/>
        <v>375</v>
      </c>
      <c r="P27" s="438">
        <f>((sumifs('Form responses'!$BZ$2:$BZ50,'Form responses'!$C$2:$C50,"&gt;="&amp;$M$1,'Form responses'!$C$2:$C50,"&lt;="&amp;$P$1,'Form responses'!$D$2:$D50,$B27)+
sumifs('Form responses'!$CB$2:$CB50,'Form responses'!$C$2:$C50,"&gt;="&amp;$M$1,'Form responses'!$C$2:$C50,"&lt;="&amp;$P$1,'Form responses'!$D$2:$D50,$B27))*Sum!$U$35)</f>
        <v>750</v>
      </c>
      <c r="Q27" s="438">
        <f>(sumifs('Form responses'!$CD$2:$CD50,'Form responses'!$C$2:$C50,"&gt;="&amp;$M$1,'Form responses'!$C$2:$C50,"&lt;="&amp;$P$1,'Form responses'!$D$2:$D50,$B27)+sumifs('Form responses'!$CF$2:$CF50,'Form responses'!$C$2:$C50,"&gt;="&amp;$M$1,'Form responses'!$C$2:$C50,"&lt;="&amp;$P$1,'Form responses'!$D$2:$D50,$B27))*Sum!$S$35</f>
        <v>0</v>
      </c>
      <c r="R27" s="438">
        <f t="shared" si="3"/>
        <v>1125</v>
      </c>
      <c r="S27" s="440">
        <f t="shared" si="4"/>
        <v>1125</v>
      </c>
      <c r="T27" s="331"/>
    </row>
    <row r="28" ht="27.75" customHeight="1">
      <c r="A28" s="435">
        <v>26.0</v>
      </c>
      <c r="B28" s="442" t="s">
        <v>212</v>
      </c>
      <c r="C28" s="437">
        <f>((sumifs('Form responses'!$I$2:$I50,'Form responses'!$C$2:$C50,"&gt;="&amp;$M$1,'Form responses'!$C$2:$C50,"&lt;="&amp;$P$1,'Form responses'!$D$2:$D50,$B28)
+sumifs('Form responses'!$J$2:$J50,'Form responses'!$C$2:$C50,"&gt;="&amp;$M$1,'Form responses'!$C$2:$C50,"&lt;="&amp;$P$1,'Form responses'!$D$2:$D50,$B28)
+sumifs('Form responses'!$K$2:$K50,'Form responses'!$C$2:$C50,"&gt;="&amp;$M$1,'Form responses'!$C$2:$C50,"&lt;="&amp;$P$1,'Form responses'!$D$2:$D50,$B28)
)*Sum!$B$35)</f>
        <v>600</v>
      </c>
      <c r="D28" s="438">
        <f>((sumifs('Form responses'!$L$2:$L50,'Form responses'!$C$2:$C50,"&gt;="&amp;$M$1,'Form responses'!$C$2:$C50,"&lt;="&amp;$P$1,'Form responses'!$D$2:$D50,$B28))*Sum!$C$35)</f>
        <v>0</v>
      </c>
      <c r="E28" s="438">
        <f>((
sumifs('Form responses'!$U$2:$U50,'Form responses'!$C$2:$C50,"&gt;="&amp;$M$1,'Form responses'!$C$2:$C50,"&lt;="&amp;$P$1,'Form responses'!$D$2:$D50,$B28)
+
sumifs('Form responses'!$V$2:$V50,'Form responses'!$C$2:$C50,"&gt;="&amp;$M$1,'Form responses'!$C$2:$C50,"&lt;="&amp;$P$1,'Form responses'!$D$2:$D50,$B28)
)*Sum!$E$35
)</f>
        <v>0</v>
      </c>
      <c r="F28" s="438">
        <f>sumifs('Form responses'!$W$2:$W50,'Form responses'!$C$2:$C50,"&gt;="&amp;$M$1,'Form responses'!$C$2:$C50,"&lt;="&amp;$P$1,'Form responses'!$D$2:$D50,$B28)
*Sum!$D$35</f>
        <v>0</v>
      </c>
      <c r="G28" s="439">
        <f>sumifs('Form responses'!$GN$2:$GN50,'Form responses'!$B$2:$B50,"&gt;="&amp;$M$1,'Form responses'!$C$2:$C50,"&lt;="&amp;$P$1,'Form responses'!$D$2:$D50,$B28)*Sum!$V$35+sumifs('Form responses'!$GO$2:$GO50,'Form responses'!$B$2:$B50,"&gt;="&amp;$M$1,'Form responses'!$C$2:$C50,"&lt;="&amp;$P$1,'Form responses'!$D$2:$D50,$B28)*Sum!$W$35+sumifs('Form responses'!$GP$2:$GP50,'Form responses'!$B$2:$B50,"&gt;="&amp;$M$1,'Form responses'!$C$2:$C50,"&lt;="&amp;$P$1,'Form responses'!$D$2:$D50,$B28)*Sum!$X$35+sumifs('Form responses'!$GQ$2:$GQ50,'Form responses'!$B$2:$B50,"&gt;="&amp;$M$1,'Form responses'!$C$2:$C50,"&lt;="&amp;$P$1,'Form responses'!$D$2:$D50,$B28)*Sum!$Y$35</f>
        <v>0</v>
      </c>
      <c r="H28" s="438">
        <f>((
sumifs('Form responses'!$X$2:$X50,'Form responses'!$C$2:$C50,"&gt;="&amp;$M$1,'Form responses'!$C$2:$C50,"&lt;="&amp;$P$1,'Form responses'!$D$2:$D50,$B28)
)*
Sum!$F$35
)+((
sumifs('Form responses'!$Y$2:$Y50,'Form responses'!$C$2:$C50,"&gt;="&amp;$M$1,'Form responses'!$C$2:$C50,"&lt;="&amp;$P$1,'Form responses'!$D$2:$D50,$B28)
)*
Sum!$G$35
)</f>
        <v>0</v>
      </c>
      <c r="I28" s="438">
        <f>((
sumifs('Form responses'!$Z$2:$Z50,'Form responses'!$C$2:$C50,"&gt;="&amp;$M$1,'Form responses'!$C$2:$C50,"&lt;="&amp;$P$1,'Form responses'!$D$2:$D50,$B28)
)*Sum!$H$35)+((
sumifs('Form responses'!$AA$2:$AA50,'Form responses'!$C$2:$C50,"&gt;="&amp;$M$1,'Form responses'!$C$2:$C50,"&lt;="&amp;$P$1,'Form responses'!$D$2:$D50,$B28)
)*Sum!$I$35)+((
sumifs('Form responses'!$AB$2:$AB50,'Form responses'!$C$2:$C50,"&gt;="&amp;$M$1,'Form responses'!$C$2:$C50,"&lt;="&amp;$P$1,'Form responses'!$D$2:$D50,$B28)
)*Sum!$Z$35)+((
sumifs('Form responses'!$AC$2:$AC50,'Form responses'!$C$2:$C50,"&gt;="&amp;$M$1,'Form responses'!$C$2:$C50,"&lt;="&amp;$P$1,'Form responses'!$D$2:$D50,$B28)
)*Sum!$AA$35)+((
sumifs('Form responses'!$AD$2:$AD50,'Form responses'!$C$2:$C50,"&gt;="&amp;$M$1,'Form responses'!$C$2:$C50,"&lt;="&amp;$P$1,'Form responses'!$D$2:$D50,$B28)
)*Sum!$AB$35)</f>
        <v>0</v>
      </c>
      <c r="J28" s="438">
        <f t="shared" si="1"/>
        <v>600</v>
      </c>
      <c r="K28" s="438">
        <f>(
sumifs('Form responses'!$BF$2:$BF50,'Form responses'!$C$2:$C50,"&gt;="&amp;$M$1,'Form responses'!$C$2:$C50,"&lt;="&amp;$P$1,'Form responses'!$D$2:$D50,$B28)
+
sumifs('Form responses'!$BH$2:$BH50,'Form responses'!$C$2:$C50,"&gt;="&amp;$M$1,'Form responses'!$C$2:$C50,"&lt;="&amp;$P$1,'Form responses'!$D$2:$D50,$B28)
+
sumifs('Form responses'!$BJ$2:$BJ50,'Form responses'!$C$2:$C50,"&gt;="&amp;$M$1,'Form responses'!$C$2:$C50,"&lt;="&amp;$P$1,'Form responses'!$D$2:$D50,$B28)
+
sumifs('Form responses'!$BL$2:$BL50,'Form responses'!$C$2:$C50,"&gt;="&amp;$M$1,'Form responses'!$C$2:$C50,"&lt;="&amp;$P$1,'Form responses'!$D$2:$D50,$B28)
)*Sum!$Q$35</f>
        <v>375</v>
      </c>
      <c r="L28" s="438">
        <f>(
sumifs('Form responses'!$BN$2:$BN50,'Form responses'!$C$2:$C50,"&gt;="&amp;$M$1,'Form responses'!$C$2:$C50,"&lt;="&amp;$P$1,'Form responses'!$D$2:$D50,$B28)
+
sumifs('Form responses'!$BP$2:$BP50,'Form responses'!$C$2:$C50,"&gt;="&amp;$M$1,'Form responses'!$C$2:$C50,"&lt;="&amp;$P$1,'Form responses'!$D$2:$D50,$B28)
)*Sum!$R$35</f>
        <v>0</v>
      </c>
      <c r="M28" s="438">
        <f>(sumifs('Form responses'!$BR$2:$BR50,'Form responses'!$C$2:$C50,"&gt;="&amp;$M$1,'Form responses'!$C$2:$C50,"&lt;="&amp;$P$1,'Form responses'!$D$2:$D50,$B28)+sumifs('Form responses'!$BT$2:$BT50,'Form responses'!$C$2:$C50,"&gt;="&amp;$M$1,'Form responses'!$C$2:$C50,"&lt;="&amp;$P$1,'Form responses'!$D$2:$D50,$B28)+sumifs('Form responses'!$BV$2:$BV50,'Form responses'!$C$2:$C50,"&gt;="&amp;$M$1,'Form responses'!$C$2:$C50,"&lt;="&amp;$P$1,'Form responses'!$D$2:$D50,$B28)+sumifs('Form responses'!$BX$2:$BX50,'Form responses'!$C$2:$C50,"&gt;="&amp;$M$1,'Form responses'!$C$2:$C50,"&lt;="&amp;$P$1,'Form responses'!$D$2:$D50,$B28))*Sum!$S$35</f>
        <v>0</v>
      </c>
      <c r="N28" s="438"/>
      <c r="O28" s="438">
        <f t="shared" si="2"/>
        <v>375</v>
      </c>
      <c r="P28" s="438">
        <f>((sumifs('Form responses'!$BZ$2:$BZ50,'Form responses'!$C$2:$C50,"&gt;="&amp;$M$1,'Form responses'!$C$2:$C50,"&lt;="&amp;$P$1,'Form responses'!$D$2:$D50,$B28)+
sumifs('Form responses'!$CB$2:$CB50,'Form responses'!$C$2:$C50,"&gt;="&amp;$M$1,'Form responses'!$C$2:$C50,"&lt;="&amp;$P$1,'Form responses'!$D$2:$D50,$B28))*Sum!$U$35)</f>
        <v>750</v>
      </c>
      <c r="Q28" s="438">
        <f>(sumifs('Form responses'!$CD$2:$CD50,'Form responses'!$C$2:$C50,"&gt;="&amp;$M$1,'Form responses'!$C$2:$C50,"&lt;="&amp;$P$1,'Form responses'!$D$2:$D50,$B28)+sumifs('Form responses'!$CF$2:$CF50,'Form responses'!$C$2:$C50,"&gt;="&amp;$M$1,'Form responses'!$C$2:$C50,"&lt;="&amp;$P$1,'Form responses'!$D$2:$D50,$B28))*Sum!$S$35</f>
        <v>0</v>
      </c>
      <c r="R28" s="438">
        <f t="shared" si="3"/>
        <v>1125</v>
      </c>
      <c r="S28" s="440">
        <f t="shared" si="4"/>
        <v>1725</v>
      </c>
      <c r="T28" s="331"/>
    </row>
    <row r="29" ht="27.75" customHeight="1">
      <c r="A29" s="435">
        <v>27.0</v>
      </c>
      <c r="B29" s="442" t="s">
        <v>213</v>
      </c>
      <c r="C29" s="437">
        <f>((sumifs('Form responses'!$I$2:$I50,'Form responses'!$C$2:$C50,"&gt;="&amp;$M$1,'Form responses'!$C$2:$C50,"&lt;="&amp;$P$1,'Form responses'!$D$2:$D50,$B29)
+sumifs('Form responses'!$J$2:$J50,'Form responses'!$C$2:$C50,"&gt;="&amp;$M$1,'Form responses'!$C$2:$C50,"&lt;="&amp;$P$1,'Form responses'!$D$2:$D50,$B29)
+sumifs('Form responses'!$K$2:$K50,'Form responses'!$C$2:$C50,"&gt;="&amp;$M$1,'Form responses'!$C$2:$C50,"&lt;="&amp;$P$1,'Form responses'!$D$2:$D50,$B29)
)*Sum!$B$35)</f>
        <v>500</v>
      </c>
      <c r="D29" s="438">
        <f>((sumifs('Form responses'!$L$2:$L50,'Form responses'!$C$2:$C50,"&gt;="&amp;$M$1,'Form responses'!$C$2:$C50,"&lt;="&amp;$P$1,'Form responses'!$D$2:$D50,$B29))*Sum!$C$35)</f>
        <v>0</v>
      </c>
      <c r="E29" s="438">
        <f>((
sumifs('Form responses'!$U$2:$U50,'Form responses'!$C$2:$C50,"&gt;="&amp;$M$1,'Form responses'!$C$2:$C50,"&lt;="&amp;$P$1,'Form responses'!$D$2:$D50,$B29)
+
sumifs('Form responses'!$V$2:$V50,'Form responses'!$C$2:$C50,"&gt;="&amp;$M$1,'Form responses'!$C$2:$C50,"&lt;="&amp;$P$1,'Form responses'!$D$2:$D50,$B29)
)*Sum!$E$35
)</f>
        <v>0</v>
      </c>
      <c r="F29" s="438">
        <f>sumifs('Form responses'!$W$2:$W50,'Form responses'!$C$2:$C50,"&gt;="&amp;$M$1,'Form responses'!$C$2:$C50,"&lt;="&amp;$P$1,'Form responses'!$D$2:$D50,$B29)
*Sum!$D$35</f>
        <v>0</v>
      </c>
      <c r="G29" s="439">
        <f>sumifs('Form responses'!$GN$2:$GN50,'Form responses'!$B$2:$B50,"&gt;="&amp;$M$1,'Form responses'!$C$2:$C50,"&lt;="&amp;$P$1,'Form responses'!$D$2:$D50,$B29)*Sum!$V$35+sumifs('Form responses'!$GO$2:$GO50,'Form responses'!$B$2:$B50,"&gt;="&amp;$M$1,'Form responses'!$C$2:$C50,"&lt;="&amp;$P$1,'Form responses'!$D$2:$D50,$B29)*Sum!$W$35+sumifs('Form responses'!$GP$2:$GP50,'Form responses'!$B$2:$B50,"&gt;="&amp;$M$1,'Form responses'!$C$2:$C50,"&lt;="&amp;$P$1,'Form responses'!$D$2:$D50,$B29)*Sum!$X$35+sumifs('Form responses'!$GQ$2:$GQ50,'Form responses'!$B$2:$B50,"&gt;="&amp;$M$1,'Form responses'!$C$2:$C50,"&lt;="&amp;$P$1,'Form responses'!$D$2:$D50,$B29)*Sum!$Y$35</f>
        <v>0</v>
      </c>
      <c r="H29" s="438">
        <f>((
sumifs('Form responses'!$X$2:$X50,'Form responses'!$C$2:$C50,"&gt;="&amp;$M$1,'Form responses'!$C$2:$C50,"&lt;="&amp;$P$1,'Form responses'!$D$2:$D50,$B29)
)*
Sum!$F$35
)+((
sumifs('Form responses'!$Y$2:$Y50,'Form responses'!$C$2:$C50,"&gt;="&amp;$M$1,'Form responses'!$C$2:$C50,"&lt;="&amp;$P$1,'Form responses'!$D$2:$D50,$B29)
)*
Sum!$G$35
)</f>
        <v>0</v>
      </c>
      <c r="I29" s="438">
        <f>((
sumifs('Form responses'!$Z$2:$Z50,'Form responses'!$C$2:$C50,"&gt;="&amp;$M$1,'Form responses'!$C$2:$C50,"&lt;="&amp;$P$1,'Form responses'!$D$2:$D50,$B29)
)*Sum!$H$35)+((
sumifs('Form responses'!$AA$2:$AA50,'Form responses'!$C$2:$C50,"&gt;="&amp;$M$1,'Form responses'!$C$2:$C50,"&lt;="&amp;$P$1,'Form responses'!$D$2:$D50,$B29)
)*Sum!$I$35)+((
sumifs('Form responses'!$AB$2:$AB50,'Form responses'!$C$2:$C50,"&gt;="&amp;$M$1,'Form responses'!$C$2:$C50,"&lt;="&amp;$P$1,'Form responses'!$D$2:$D50,$B29)
)*Sum!$Z$35)+((
sumifs('Form responses'!$AC$2:$AC50,'Form responses'!$C$2:$C50,"&gt;="&amp;$M$1,'Form responses'!$C$2:$C50,"&lt;="&amp;$P$1,'Form responses'!$D$2:$D50,$B29)
)*Sum!$AA$35)+((
sumifs('Form responses'!$AD$2:$AD50,'Form responses'!$C$2:$C50,"&gt;="&amp;$M$1,'Form responses'!$C$2:$C50,"&lt;="&amp;$P$1,'Form responses'!$D$2:$D50,$B29)
)*Sum!$AB$35)</f>
        <v>0</v>
      </c>
      <c r="J29" s="438">
        <f t="shared" si="1"/>
        <v>500</v>
      </c>
      <c r="K29" s="438">
        <f>(
sumifs('Form responses'!$BF$2:$BF50,'Form responses'!$C$2:$C50,"&gt;="&amp;$M$1,'Form responses'!$C$2:$C50,"&lt;="&amp;$P$1,'Form responses'!$D$2:$D50,$B29)
+
sumifs('Form responses'!$BH$2:$BH50,'Form responses'!$C$2:$C50,"&gt;="&amp;$M$1,'Form responses'!$C$2:$C50,"&lt;="&amp;$P$1,'Form responses'!$D$2:$D50,$B29)
+
sumifs('Form responses'!$BJ$2:$BJ50,'Form responses'!$C$2:$C50,"&gt;="&amp;$M$1,'Form responses'!$C$2:$C50,"&lt;="&amp;$P$1,'Form responses'!$D$2:$D50,$B29)
+
sumifs('Form responses'!$BL$2:$BL50,'Form responses'!$C$2:$C50,"&gt;="&amp;$M$1,'Form responses'!$C$2:$C50,"&lt;="&amp;$P$1,'Form responses'!$D$2:$D50,$B29)
)*Sum!$Q$35</f>
        <v>750</v>
      </c>
      <c r="L29" s="438">
        <f>(
sumifs('Form responses'!$BN$2:$BN50,'Form responses'!$C$2:$C50,"&gt;="&amp;$M$1,'Form responses'!$C$2:$C50,"&lt;="&amp;$P$1,'Form responses'!$D$2:$D50,$B29)
+
sumifs('Form responses'!$BP$2:$BP50,'Form responses'!$C$2:$C50,"&gt;="&amp;$M$1,'Form responses'!$C$2:$C50,"&lt;="&amp;$P$1,'Form responses'!$D$2:$D50,$B29)
)*Sum!$R$35</f>
        <v>0</v>
      </c>
      <c r="M29" s="438">
        <f>(sumifs('Form responses'!$BR$2:$BR50,'Form responses'!$C$2:$C50,"&gt;="&amp;$M$1,'Form responses'!$C$2:$C50,"&lt;="&amp;$P$1,'Form responses'!$D$2:$D50,$B29)+sumifs('Form responses'!$BT$2:$BT50,'Form responses'!$C$2:$C50,"&gt;="&amp;$M$1,'Form responses'!$C$2:$C50,"&lt;="&amp;$P$1,'Form responses'!$D$2:$D50,$B29)+sumifs('Form responses'!$BV$2:$BV50,'Form responses'!$C$2:$C50,"&gt;="&amp;$M$1,'Form responses'!$C$2:$C50,"&lt;="&amp;$P$1,'Form responses'!$D$2:$D50,$B29)+sumifs('Form responses'!$BX$2:$BX50,'Form responses'!$C$2:$C50,"&gt;="&amp;$M$1,'Form responses'!$C$2:$C50,"&lt;="&amp;$P$1,'Form responses'!$D$2:$D50,$B29))*Sum!$S$35</f>
        <v>0</v>
      </c>
      <c r="N29" s="438"/>
      <c r="O29" s="438">
        <f t="shared" si="2"/>
        <v>750</v>
      </c>
      <c r="P29" s="438">
        <f>((sumifs('Form responses'!$BZ$2:$BZ50,'Form responses'!$C$2:$C50,"&gt;="&amp;$M$1,'Form responses'!$C$2:$C50,"&lt;="&amp;$P$1,'Form responses'!$D$2:$D50,$B29)+
sumifs('Form responses'!$CB$2:$CB50,'Form responses'!$C$2:$C50,"&gt;="&amp;$M$1,'Form responses'!$C$2:$C50,"&lt;="&amp;$P$1,'Form responses'!$D$2:$D50,$B29))*Sum!$U$35)</f>
        <v>0</v>
      </c>
      <c r="Q29" s="438">
        <f>(sumifs('Form responses'!$CD$2:$CD50,'Form responses'!$C$2:$C50,"&gt;="&amp;$M$1,'Form responses'!$C$2:$C50,"&lt;="&amp;$P$1,'Form responses'!$D$2:$D50,$B29)+sumifs('Form responses'!$CF$2:$CF50,'Form responses'!$C$2:$C50,"&gt;="&amp;$M$1,'Form responses'!$C$2:$C50,"&lt;="&amp;$P$1,'Form responses'!$D$2:$D50,$B29))*Sum!$S$35</f>
        <v>0</v>
      </c>
      <c r="R29" s="438">
        <f t="shared" si="3"/>
        <v>750</v>
      </c>
      <c r="S29" s="440">
        <f t="shared" si="4"/>
        <v>1250</v>
      </c>
      <c r="T29" s="322"/>
    </row>
    <row r="30" ht="27.75" customHeight="1">
      <c r="A30" s="435">
        <v>28.0</v>
      </c>
      <c r="B30" s="436" t="s">
        <v>30</v>
      </c>
      <c r="C30" s="437">
        <f>((sumifs('Form responses'!$I$2:$I50,'Form responses'!$C$2:$C50,"&gt;="&amp;$M$1,'Form responses'!$C$2:$C50,"&lt;="&amp;$P$1,'Form responses'!$D$2:$D50,$B30)
+sumifs('Form responses'!$J$2:$J50,'Form responses'!$C$2:$C50,"&gt;="&amp;$M$1,'Form responses'!$C$2:$C50,"&lt;="&amp;$P$1,'Form responses'!$D$2:$D50,$B30)
+sumifs('Form responses'!$K$2:$K50,'Form responses'!$C$2:$C50,"&gt;="&amp;$M$1,'Form responses'!$C$2:$C50,"&lt;="&amp;$P$1,'Form responses'!$D$2:$D50,$B30)
)*Sum!$B$35)</f>
        <v>630</v>
      </c>
      <c r="D30" s="438">
        <f>((sumifs('Form responses'!$L$2:$L50,'Form responses'!$C$2:$C50,"&gt;="&amp;$M$1,'Form responses'!$C$2:$C50,"&lt;="&amp;$P$1,'Form responses'!$D$2:$D50,$B30))*Sum!$C$35)</f>
        <v>0</v>
      </c>
      <c r="E30" s="438">
        <f>((
sumifs('Form responses'!$U$2:$U50,'Form responses'!$C$2:$C50,"&gt;="&amp;$M$1,'Form responses'!$C$2:$C50,"&lt;="&amp;$P$1,'Form responses'!$D$2:$D50,$B30)
+
sumifs('Form responses'!$V$2:$V50,'Form responses'!$C$2:$C50,"&gt;="&amp;$M$1,'Form responses'!$C$2:$C50,"&lt;="&amp;$P$1,'Form responses'!$D$2:$D50,$B30)
)*Sum!$E$35
)</f>
        <v>0</v>
      </c>
      <c r="F30" s="438">
        <f>sumifs('Form responses'!$W$2:$W50,'Form responses'!$C$2:$C50,"&gt;="&amp;$M$1,'Form responses'!$C$2:$C50,"&lt;="&amp;$P$1,'Form responses'!$D$2:$D50,$B30)
*Sum!$D$35</f>
        <v>0</v>
      </c>
      <c r="G30" s="439">
        <f>sumifs('Form responses'!$GN$2:$GN50,'Form responses'!$B$2:$B50,"&gt;="&amp;$M$1,'Form responses'!$C$2:$C50,"&lt;="&amp;$P$1,'Form responses'!$D$2:$D50,$B30)*Sum!$V$35+sumifs('Form responses'!$GO$2:$GO50,'Form responses'!$B$2:$B50,"&gt;="&amp;$M$1,'Form responses'!$C$2:$C50,"&lt;="&amp;$P$1,'Form responses'!$D$2:$D50,$B30)*Sum!$W$35+sumifs('Form responses'!$GP$2:$GP50,'Form responses'!$B$2:$B50,"&gt;="&amp;$M$1,'Form responses'!$C$2:$C50,"&lt;="&amp;$P$1,'Form responses'!$D$2:$D50,$B30)*Sum!$X$35+sumifs('Form responses'!$GQ$2:$GQ50,'Form responses'!$B$2:$B50,"&gt;="&amp;$M$1,'Form responses'!$C$2:$C50,"&lt;="&amp;$P$1,'Form responses'!$D$2:$D50,$B30)*Sum!$Y$35</f>
        <v>0</v>
      </c>
      <c r="H30" s="438">
        <f>((
sumifs('Form responses'!$X$2:$X50,'Form responses'!$C$2:$C50,"&gt;="&amp;$M$1,'Form responses'!$C$2:$C50,"&lt;="&amp;$P$1,'Form responses'!$D$2:$D50,$B30)
)*
Sum!$F$35
)+((
sumifs('Form responses'!$Y$2:$Y50,'Form responses'!$C$2:$C50,"&gt;="&amp;$M$1,'Form responses'!$C$2:$C50,"&lt;="&amp;$P$1,'Form responses'!$D$2:$D50,$B30)
)*
Sum!$G$35
)</f>
        <v>0</v>
      </c>
      <c r="I30" s="438">
        <f>((
sumifs('Form responses'!$Z$2:$Z50,'Form responses'!$C$2:$C50,"&gt;="&amp;$M$1,'Form responses'!$C$2:$C50,"&lt;="&amp;$P$1,'Form responses'!$D$2:$D50,$B30)
)*Sum!$H$35)+((
sumifs('Form responses'!$AA$2:$AA50,'Form responses'!$C$2:$C50,"&gt;="&amp;$M$1,'Form responses'!$C$2:$C50,"&lt;="&amp;$P$1,'Form responses'!$D$2:$D50,$B30)
)*Sum!$I$35)+((
sumifs('Form responses'!$AB$2:$AB50,'Form responses'!$C$2:$C50,"&gt;="&amp;$M$1,'Form responses'!$C$2:$C50,"&lt;="&amp;$P$1,'Form responses'!$D$2:$D50,$B30)
)*Sum!$Z$35)+((
sumifs('Form responses'!$AC$2:$AC50,'Form responses'!$C$2:$C50,"&gt;="&amp;$M$1,'Form responses'!$C$2:$C50,"&lt;="&amp;$P$1,'Form responses'!$D$2:$D50,$B30)
)*Sum!$AA$35)+((
sumifs('Form responses'!$AD$2:$AD50,'Form responses'!$C$2:$C50,"&gt;="&amp;$M$1,'Form responses'!$C$2:$C50,"&lt;="&amp;$P$1,'Form responses'!$D$2:$D50,$B30)
)*Sum!$AB$35)</f>
        <v>0</v>
      </c>
      <c r="J30" s="438">
        <f t="shared" si="1"/>
        <v>630</v>
      </c>
      <c r="K30" s="438">
        <f>(
sumifs('Form responses'!$BF$2:$BF50,'Form responses'!$C$2:$C50,"&gt;="&amp;$M$1,'Form responses'!$C$2:$C50,"&lt;="&amp;$P$1,'Form responses'!$D$2:$D50,$B30)
+
sumifs('Form responses'!$BH$2:$BH50,'Form responses'!$C$2:$C50,"&gt;="&amp;$M$1,'Form responses'!$C$2:$C50,"&lt;="&amp;$P$1,'Form responses'!$D$2:$D50,$B30)
+
sumifs('Form responses'!$BJ$2:$BJ50,'Form responses'!$C$2:$C50,"&gt;="&amp;$M$1,'Form responses'!$C$2:$C50,"&lt;="&amp;$P$1,'Form responses'!$D$2:$D50,$B30)
+
sumifs('Form responses'!$BL$2:$BL50,'Form responses'!$C$2:$C50,"&gt;="&amp;$M$1,'Form responses'!$C$2:$C50,"&lt;="&amp;$P$1,'Form responses'!$D$2:$D50,$B30)
)*Sum!$Q$35</f>
        <v>375</v>
      </c>
      <c r="L30" s="438">
        <f>(
sumifs('Form responses'!$BN$2:$BN50,'Form responses'!$C$2:$C50,"&gt;="&amp;$M$1,'Form responses'!$C$2:$C50,"&lt;="&amp;$P$1,'Form responses'!$D$2:$D50,$B30)
+
sumifs('Form responses'!$BP$2:$BP50,'Form responses'!$C$2:$C50,"&gt;="&amp;$M$1,'Form responses'!$C$2:$C50,"&lt;="&amp;$P$1,'Form responses'!$D$2:$D50,$B30)
)*Sum!$R$35</f>
        <v>0</v>
      </c>
      <c r="M30" s="438">
        <f>(sumifs('Form responses'!$BR$2:$BR50,'Form responses'!$C$2:$C50,"&gt;="&amp;$M$1,'Form responses'!$C$2:$C50,"&lt;="&amp;$P$1,'Form responses'!$D$2:$D50,$B30)+sumifs('Form responses'!$BT$2:$BT50,'Form responses'!$C$2:$C50,"&gt;="&amp;$M$1,'Form responses'!$C$2:$C50,"&lt;="&amp;$P$1,'Form responses'!$D$2:$D50,$B30)+sumifs('Form responses'!$BV$2:$BV50,'Form responses'!$C$2:$C50,"&gt;="&amp;$M$1,'Form responses'!$C$2:$C50,"&lt;="&amp;$P$1,'Form responses'!$D$2:$D50,$B30)+sumifs('Form responses'!$BX$2:$BX50,'Form responses'!$C$2:$C50,"&gt;="&amp;$M$1,'Form responses'!$C$2:$C50,"&lt;="&amp;$P$1,'Form responses'!$D$2:$D50,$B30))*Sum!$S$35</f>
        <v>0</v>
      </c>
      <c r="N30" s="438"/>
      <c r="O30" s="438">
        <f t="shared" si="2"/>
        <v>375</v>
      </c>
      <c r="P30" s="438">
        <f>((sumifs('Form responses'!$BZ$2:$BZ50,'Form responses'!$C$2:$C50,"&gt;="&amp;$M$1,'Form responses'!$C$2:$C50,"&lt;="&amp;$P$1,'Form responses'!$D$2:$D50,$B30)+
sumifs('Form responses'!$CB$2:$CB50,'Form responses'!$C$2:$C50,"&gt;="&amp;$M$1,'Form responses'!$C$2:$C50,"&lt;="&amp;$P$1,'Form responses'!$D$2:$D50,$B30))*Sum!$U$35)</f>
        <v>750</v>
      </c>
      <c r="Q30" s="438">
        <f>(sumifs('Form responses'!$CD$2:$CD50,'Form responses'!$C$2:$C50,"&gt;="&amp;$M$1,'Form responses'!$C$2:$C50,"&lt;="&amp;$P$1,'Form responses'!$D$2:$D50,$B30)+sumifs('Form responses'!$CF$2:$CF50,'Form responses'!$C$2:$C50,"&gt;="&amp;$M$1,'Form responses'!$C$2:$C50,"&lt;="&amp;$P$1,'Form responses'!$D$2:$D50,$B30))*Sum!$S$35</f>
        <v>0</v>
      </c>
      <c r="R30" s="438">
        <f t="shared" si="3"/>
        <v>1125</v>
      </c>
      <c r="S30" s="440">
        <f t="shared" si="4"/>
        <v>1755</v>
      </c>
      <c r="T30" s="449">
        <f>sum(S30:S31)</f>
        <v>1755</v>
      </c>
    </row>
    <row r="31" ht="27.75" customHeight="1">
      <c r="A31" s="435">
        <v>29.0</v>
      </c>
      <c r="B31" s="436" t="s">
        <v>240</v>
      </c>
      <c r="C31" s="437">
        <f>((sumifs('Form responses'!$I$2:$I50,'Form responses'!$C$2:$C50,"&gt;="&amp;$M$1,'Form responses'!$C$2:$C50,"&lt;="&amp;$P$1,'Form responses'!$D$2:$D50,$B31)
+sumifs('Form responses'!$J$2:$J50,'Form responses'!$C$2:$C50,"&gt;="&amp;$M$1,'Form responses'!$C$2:$C50,"&lt;="&amp;$P$1,'Form responses'!$D$2:$D50,$B31)
+sumifs('Form responses'!$K$2:$K50,'Form responses'!$C$2:$C50,"&gt;="&amp;$M$1,'Form responses'!$C$2:$C50,"&lt;="&amp;$P$1,'Form responses'!$D$2:$D50,$B31)
)*Sum!$B$35)</f>
        <v>0</v>
      </c>
      <c r="D31" s="438">
        <f>((sumifs('Form responses'!$L$2:$L50,'Form responses'!$C$2:$C50,"&gt;="&amp;$M$1,'Form responses'!$C$2:$C50,"&lt;="&amp;$P$1,'Form responses'!$D$2:$D50,$B31))*Sum!$C$35)</f>
        <v>0</v>
      </c>
      <c r="E31" s="438">
        <f>((
sumifs('Form responses'!$U$2:$U50,'Form responses'!$C$2:$C50,"&gt;="&amp;$M$1,'Form responses'!$C$2:$C50,"&lt;="&amp;$P$1,'Form responses'!$D$2:$D50,$B31)
+
sumifs('Form responses'!$V$2:$V50,'Form responses'!$C$2:$C50,"&gt;="&amp;$M$1,'Form responses'!$C$2:$C50,"&lt;="&amp;$P$1,'Form responses'!$D$2:$D50,$B31)
)*Sum!$E$35
)</f>
        <v>0</v>
      </c>
      <c r="F31" s="438">
        <f>sumifs('Form responses'!$W$2:$W50,'Form responses'!$C$2:$C50,"&gt;="&amp;$M$1,'Form responses'!$C$2:$C50,"&lt;="&amp;$P$1,'Form responses'!$D$2:$D50,$B31)
*Sum!$D$35</f>
        <v>0</v>
      </c>
      <c r="G31" s="439">
        <f>sumifs('Form responses'!$GN$2:$GN50,'Form responses'!$B$2:$B50,"&gt;="&amp;$M$1,'Form responses'!$C$2:$C50,"&lt;="&amp;$P$1,'Form responses'!$D$2:$D50,$B31)*Sum!$V$35+sumifs('Form responses'!$GO$2:$GO50,'Form responses'!$B$2:$B50,"&gt;="&amp;$M$1,'Form responses'!$C$2:$C50,"&lt;="&amp;$P$1,'Form responses'!$D$2:$D50,$B31)*Sum!$W$35+sumifs('Form responses'!$GP$2:$GP50,'Form responses'!$B$2:$B50,"&gt;="&amp;$M$1,'Form responses'!$C$2:$C50,"&lt;="&amp;$P$1,'Form responses'!$D$2:$D50,$B31)*Sum!$X$35+sumifs('Form responses'!$GQ$2:$GQ50,'Form responses'!$B$2:$B50,"&gt;="&amp;$M$1,'Form responses'!$C$2:$C50,"&lt;="&amp;$P$1,'Form responses'!$D$2:$D50,$B31)*Sum!$Y$35</f>
        <v>0</v>
      </c>
      <c r="H31" s="438">
        <f>((
sumifs('Form responses'!$X$2:$X50,'Form responses'!$C$2:$C50,"&gt;="&amp;$M$1,'Form responses'!$C$2:$C50,"&lt;="&amp;$P$1,'Form responses'!$D$2:$D50,$B31)
)*
Sum!$F$35
)+((
sumifs('Form responses'!$Y$2:$Y50,'Form responses'!$C$2:$C50,"&gt;="&amp;$M$1,'Form responses'!$C$2:$C50,"&lt;="&amp;$P$1,'Form responses'!$D$2:$D50,$B31)
)*
Sum!$G$35
)</f>
        <v>0</v>
      </c>
      <c r="I31" s="438">
        <f>((
sumifs('Form responses'!$Z$2:$Z50,'Form responses'!$C$2:$C50,"&gt;="&amp;$M$1,'Form responses'!$C$2:$C50,"&lt;="&amp;$P$1,'Form responses'!$D$2:$D50,$B31)
)*Sum!$H$35)+((
sumifs('Form responses'!$AA$2:$AA50,'Form responses'!$C$2:$C50,"&gt;="&amp;$M$1,'Form responses'!$C$2:$C50,"&lt;="&amp;$P$1,'Form responses'!$D$2:$D50,$B31)
)*Sum!$I$35)+((
sumifs('Form responses'!$AB$2:$AB50,'Form responses'!$C$2:$C50,"&gt;="&amp;$M$1,'Form responses'!$C$2:$C50,"&lt;="&amp;$P$1,'Form responses'!$D$2:$D50,$B31)
)*Sum!$Z$35)+((
sumifs('Form responses'!$AC$2:$AC50,'Form responses'!$C$2:$C50,"&gt;="&amp;$M$1,'Form responses'!$C$2:$C50,"&lt;="&amp;$P$1,'Form responses'!$D$2:$D50,$B31)
)*Sum!$AA$35)+((
sumifs('Form responses'!$AD$2:$AD50,'Form responses'!$C$2:$C50,"&gt;="&amp;$M$1,'Form responses'!$C$2:$C50,"&lt;="&amp;$P$1,'Form responses'!$D$2:$D50,$B31)
)*Sum!$AB$35)</f>
        <v>0</v>
      </c>
      <c r="J31" s="438">
        <f t="shared" si="1"/>
        <v>0</v>
      </c>
      <c r="K31" s="438">
        <f>(
sumifs('Form responses'!$BF$2:$BF50,'Form responses'!$C$2:$C50,"&gt;="&amp;$M$1,'Form responses'!$C$2:$C50,"&lt;="&amp;$P$1,'Form responses'!$D$2:$D50,$B31)
+
sumifs('Form responses'!$BH$2:$BH50,'Form responses'!$C$2:$C50,"&gt;="&amp;$M$1,'Form responses'!$C$2:$C50,"&lt;="&amp;$P$1,'Form responses'!$D$2:$D50,$B31)
+
sumifs('Form responses'!$BJ$2:$BJ50,'Form responses'!$C$2:$C50,"&gt;="&amp;$M$1,'Form responses'!$C$2:$C50,"&lt;="&amp;$P$1,'Form responses'!$D$2:$D50,$B31)
+
sumifs('Form responses'!$BL$2:$BL50,'Form responses'!$C$2:$C50,"&gt;="&amp;$M$1,'Form responses'!$C$2:$C50,"&lt;="&amp;$P$1,'Form responses'!$D$2:$D50,$B31)
)*Sum!$Q$35</f>
        <v>0</v>
      </c>
      <c r="L31" s="438">
        <f>(
sumifs('Form responses'!$BN$2:$BN50,'Form responses'!$C$2:$C50,"&gt;="&amp;$M$1,'Form responses'!$C$2:$C50,"&lt;="&amp;$P$1,'Form responses'!$D$2:$D50,$B31)
+
sumifs('Form responses'!$BP$2:$BP50,'Form responses'!$C$2:$C50,"&gt;="&amp;$M$1,'Form responses'!$C$2:$C50,"&lt;="&amp;$P$1,'Form responses'!$D$2:$D50,$B31)
)*Sum!$R$35</f>
        <v>0</v>
      </c>
      <c r="M31" s="438">
        <f>(sumifs('Form responses'!$BR$2:$BR50,'Form responses'!$C$2:$C50,"&gt;="&amp;$M$1,'Form responses'!$C$2:$C50,"&lt;="&amp;$P$1,'Form responses'!$D$2:$D50,$B31)+sumifs('Form responses'!$BT$2:$BT50,'Form responses'!$C$2:$C50,"&gt;="&amp;$M$1,'Form responses'!$C$2:$C50,"&lt;="&amp;$P$1,'Form responses'!$D$2:$D50,$B31)+sumifs('Form responses'!$BV$2:$BV50,'Form responses'!$C$2:$C50,"&gt;="&amp;$M$1,'Form responses'!$C$2:$C50,"&lt;="&amp;$P$1,'Form responses'!$D$2:$D50,$B31)+sumifs('Form responses'!$BX$2:$BX50,'Form responses'!$C$2:$C50,"&gt;="&amp;$M$1,'Form responses'!$C$2:$C50,"&lt;="&amp;$P$1,'Form responses'!$D$2:$D50,$B31))*Sum!$S$35</f>
        <v>0</v>
      </c>
      <c r="N31" s="438"/>
      <c r="O31" s="438">
        <f t="shared" si="2"/>
        <v>0</v>
      </c>
      <c r="P31" s="438">
        <f>((sumifs('Form responses'!$BZ$2:$BZ50,'Form responses'!$C$2:$C50,"&gt;="&amp;$M$1,'Form responses'!$C$2:$C50,"&lt;="&amp;$P$1,'Form responses'!$D$2:$D50,$B31)+
sumifs('Form responses'!$CB$2:$CB50,'Form responses'!$C$2:$C50,"&gt;="&amp;$M$1,'Form responses'!$C$2:$C50,"&lt;="&amp;$P$1,'Form responses'!$D$2:$D50,$B31))*Sum!$U$35)</f>
        <v>0</v>
      </c>
      <c r="Q31" s="438">
        <f>(sumifs('Form responses'!$CD$2:$CD50,'Form responses'!$C$2:$C50,"&gt;="&amp;$M$1,'Form responses'!$C$2:$C50,"&lt;="&amp;$P$1,'Form responses'!$D$2:$D50,$B31)+sumifs('Form responses'!$CF$2:$CF50,'Form responses'!$C$2:$C50,"&gt;="&amp;$M$1,'Form responses'!$C$2:$C50,"&lt;="&amp;$P$1,'Form responses'!$D$2:$D50,$B31))*Sum!$S$35</f>
        <v>0</v>
      </c>
      <c r="R31" s="438">
        <f t="shared" si="3"/>
        <v>0</v>
      </c>
      <c r="S31" s="440">
        <f t="shared" si="4"/>
        <v>0</v>
      </c>
      <c r="T31" s="322"/>
    </row>
    <row r="32" ht="27.75" customHeight="1">
      <c r="A32" s="443">
        <v>30.0</v>
      </c>
      <c r="B32" s="436" t="s">
        <v>25</v>
      </c>
      <c r="C32" s="437">
        <f>((sumifs('Form responses'!$I$2:$I50,'Form responses'!$C$2:$C50,"&gt;="&amp;$M$1,'Form responses'!$C$2:$C50,"&lt;="&amp;$P$1,'Form responses'!$D$2:$D50,$B32)
+sumifs('Form responses'!$J$2:$J50,'Form responses'!$C$2:$C50,"&gt;="&amp;$M$1,'Form responses'!$C$2:$C50,"&lt;="&amp;$P$1,'Form responses'!$D$2:$D50,$B32)
+sumifs('Form responses'!$K$2:$K50,'Form responses'!$C$2:$C50,"&gt;="&amp;$M$1,'Form responses'!$C$2:$C50,"&lt;="&amp;$P$1,'Form responses'!$D$2:$D50,$B32)
)*Sum!$B$35)</f>
        <v>800</v>
      </c>
      <c r="D32" s="438">
        <f>((sumifs('Form responses'!$L$2:$L50,'Form responses'!$C$2:$C50,"&gt;="&amp;$M$1,'Form responses'!$C$2:$C50,"&lt;="&amp;$P$1,'Form responses'!$D$2:$D50,$B32))*Sum!$C$35)</f>
        <v>0</v>
      </c>
      <c r="E32" s="438">
        <f>((
sumifs('Form responses'!$U$2:$U50,'Form responses'!$C$2:$C50,"&gt;="&amp;$M$1,'Form responses'!$C$2:$C50,"&lt;="&amp;$P$1,'Form responses'!$D$2:$D50,$B32)
+
sumifs('Form responses'!$V$2:$V50,'Form responses'!$C$2:$C50,"&gt;="&amp;$M$1,'Form responses'!$C$2:$C50,"&lt;="&amp;$P$1,'Form responses'!$D$2:$D50,$B32)
)*Sum!$E$35
)</f>
        <v>0</v>
      </c>
      <c r="F32" s="438">
        <f>sumifs('Form responses'!$W$2:$W50,'Form responses'!$C$2:$C50,"&gt;="&amp;$M$1,'Form responses'!$C$2:$C50,"&lt;="&amp;$P$1,'Form responses'!$D$2:$D50,$B32)
*Sum!$D$35</f>
        <v>0</v>
      </c>
      <c r="G32" s="439">
        <f>sumifs('Form responses'!$GN$2:$GN50,'Form responses'!$B$2:$B50,"&gt;="&amp;$M$1,'Form responses'!$C$2:$C50,"&lt;="&amp;$P$1,'Form responses'!$D$2:$D50,$B32)*Sum!$V$35+sumifs('Form responses'!$GO$2:$GO50,'Form responses'!$B$2:$B50,"&gt;="&amp;$M$1,'Form responses'!$C$2:$C50,"&lt;="&amp;$P$1,'Form responses'!$D$2:$D50,$B32)*Sum!$W$35+sumifs('Form responses'!$GP$2:$GP50,'Form responses'!$B$2:$B50,"&gt;="&amp;$M$1,'Form responses'!$C$2:$C50,"&lt;="&amp;$P$1,'Form responses'!$D$2:$D50,$B32)*Sum!$X$35+sumifs('Form responses'!$GQ$2:$GQ50,'Form responses'!$B$2:$B50,"&gt;="&amp;$M$1,'Form responses'!$C$2:$C50,"&lt;="&amp;$P$1,'Form responses'!$D$2:$D50,$B32)*Sum!$Y$35</f>
        <v>0</v>
      </c>
      <c r="H32" s="438">
        <f>((
sumifs('Form responses'!$X$2:$X50,'Form responses'!$C$2:$C50,"&gt;="&amp;$M$1,'Form responses'!$C$2:$C50,"&lt;="&amp;$P$1,'Form responses'!$D$2:$D50,$B32)
)*
Sum!$F$35
)+((
sumifs('Form responses'!$Y$2:$Y50,'Form responses'!$C$2:$C50,"&gt;="&amp;$M$1,'Form responses'!$C$2:$C50,"&lt;="&amp;$P$1,'Form responses'!$D$2:$D50,$B32)
)*
Sum!$G$35
)</f>
        <v>0</v>
      </c>
      <c r="I32" s="438">
        <f>((
sumifs('Form responses'!$Z$2:$Z50,'Form responses'!$C$2:$C50,"&gt;="&amp;$M$1,'Form responses'!$C$2:$C50,"&lt;="&amp;$P$1,'Form responses'!$D$2:$D50,$B32)
)*Sum!$H$35)+((
sumifs('Form responses'!$AA$2:$AA50,'Form responses'!$C$2:$C50,"&gt;="&amp;$M$1,'Form responses'!$C$2:$C50,"&lt;="&amp;$P$1,'Form responses'!$D$2:$D50,$B32)
)*Sum!$I$35)+((
sumifs('Form responses'!$AB$2:$AB50,'Form responses'!$C$2:$C50,"&gt;="&amp;$M$1,'Form responses'!$C$2:$C50,"&lt;="&amp;$P$1,'Form responses'!$D$2:$D50,$B32)
)*Sum!$Z$35)+((
sumifs('Form responses'!$AC$2:$AC50,'Form responses'!$C$2:$C50,"&gt;="&amp;$M$1,'Form responses'!$C$2:$C50,"&lt;="&amp;$P$1,'Form responses'!$D$2:$D50,$B32)
)*Sum!$AA$35)+((
sumifs('Form responses'!$AD$2:$AD50,'Form responses'!$C$2:$C50,"&gt;="&amp;$M$1,'Form responses'!$C$2:$C50,"&lt;="&amp;$P$1,'Form responses'!$D$2:$D50,$B32)
)*Sum!$AB$35)</f>
        <v>0</v>
      </c>
      <c r="J32" s="438">
        <f t="shared" si="1"/>
        <v>800</v>
      </c>
      <c r="K32" s="438">
        <f>(
sumifs('Form responses'!$BF$2:$BF50,'Form responses'!$C$2:$C50,"&gt;="&amp;$M$1,'Form responses'!$C$2:$C50,"&lt;="&amp;$P$1,'Form responses'!$D$2:$D50,$B32)
+
sumifs('Form responses'!$BH$2:$BH50,'Form responses'!$C$2:$C50,"&gt;="&amp;$M$1,'Form responses'!$C$2:$C50,"&lt;="&amp;$P$1,'Form responses'!$D$2:$D50,$B32)
+
sumifs('Form responses'!$BJ$2:$BJ50,'Form responses'!$C$2:$C50,"&gt;="&amp;$M$1,'Form responses'!$C$2:$C50,"&lt;="&amp;$P$1,'Form responses'!$D$2:$D50,$B32)
+
sumifs('Form responses'!$BL$2:$BL50,'Form responses'!$C$2:$C50,"&gt;="&amp;$M$1,'Form responses'!$C$2:$C50,"&lt;="&amp;$P$1,'Form responses'!$D$2:$D50,$B32)
)*Sum!$Q$35</f>
        <v>250</v>
      </c>
      <c r="L32" s="438">
        <f>(
sumifs('Form responses'!$BN$2:$BN50,'Form responses'!$C$2:$C50,"&gt;="&amp;$M$1,'Form responses'!$C$2:$C50,"&lt;="&amp;$P$1,'Form responses'!$D$2:$D50,$B32)
+
sumifs('Form responses'!$BP$2:$BP50,'Form responses'!$C$2:$C50,"&gt;="&amp;$M$1,'Form responses'!$C$2:$C50,"&lt;="&amp;$P$1,'Form responses'!$D$2:$D50,$B32)
)*Sum!$R$35</f>
        <v>350</v>
      </c>
      <c r="M32" s="438">
        <f>(sumifs('Form responses'!$BR$2:$BR50,'Form responses'!$C$2:$C50,"&gt;="&amp;$M$1,'Form responses'!$C$2:$C50,"&lt;="&amp;$P$1,'Form responses'!$D$2:$D50,$B32)+sumifs('Form responses'!$BT$2:$BT50,'Form responses'!$C$2:$C50,"&gt;="&amp;$M$1,'Form responses'!$C$2:$C50,"&lt;="&amp;$P$1,'Form responses'!$D$2:$D50,$B32)+sumifs('Form responses'!$BV$2:$BV50,'Form responses'!$C$2:$C50,"&gt;="&amp;$M$1,'Form responses'!$C$2:$C50,"&lt;="&amp;$P$1,'Form responses'!$D$2:$D50,$B32)+sumifs('Form responses'!$BX$2:$BX50,'Form responses'!$C$2:$C50,"&gt;="&amp;$M$1,'Form responses'!$C$2:$C50,"&lt;="&amp;$P$1,'Form responses'!$D$2:$D50,$B32))*Sum!$S$35</f>
        <v>0</v>
      </c>
      <c r="N32" s="438"/>
      <c r="O32" s="438">
        <f t="shared" si="2"/>
        <v>600</v>
      </c>
      <c r="P32" s="438">
        <f>((sumifs('Form responses'!$BZ$2:$BZ50,'Form responses'!$C$2:$C50,"&gt;="&amp;$M$1,'Form responses'!$C$2:$C50,"&lt;="&amp;$P$1,'Form responses'!$D$2:$D50,$B32)+
sumifs('Form responses'!$CB$2:$CB50,'Form responses'!$C$2:$C50,"&gt;="&amp;$M$1,'Form responses'!$C$2:$C50,"&lt;="&amp;$P$1,'Form responses'!$D$2:$D50,$B32))*Sum!$U$35)</f>
        <v>250</v>
      </c>
      <c r="Q32" s="438">
        <f>(sumifs('Form responses'!$CD$2:$CD50,'Form responses'!$C$2:$C50,"&gt;="&amp;$M$1,'Form responses'!$C$2:$C50,"&lt;="&amp;$P$1,'Form responses'!$D$2:$D50,$B32)+sumifs('Form responses'!$CF$2:$CF50,'Form responses'!$C$2:$C50,"&gt;="&amp;$M$1,'Form responses'!$C$2:$C50,"&lt;="&amp;$P$1,'Form responses'!$D$2:$D50,$B32))*Sum!$S$35</f>
        <v>0</v>
      </c>
      <c r="R32" s="438">
        <f t="shared" si="3"/>
        <v>850</v>
      </c>
      <c r="S32" s="440">
        <f t="shared" si="4"/>
        <v>1650</v>
      </c>
      <c r="T32" s="450">
        <f t="shared" ref="T32:T33" si="5">S32</f>
        <v>1650</v>
      </c>
    </row>
    <row r="33" ht="27.75" customHeight="1">
      <c r="A33" s="435">
        <v>31.0</v>
      </c>
      <c r="B33" s="442" t="s">
        <v>41</v>
      </c>
      <c r="C33" s="437">
        <f>((sumifs('Form responses'!$I$2:$I50,'Form responses'!$C$2:$C50,"&gt;="&amp;$M$1,'Form responses'!$C$2:$C50,"&lt;="&amp;$P$1,'Form responses'!$D$2:$D50,$B33)
+sumifs('Form responses'!$J$2:$J50,'Form responses'!$C$2:$C50,"&gt;="&amp;$M$1,'Form responses'!$C$2:$C50,"&lt;="&amp;$P$1,'Form responses'!$D$2:$D50,$B33)
+sumifs('Form responses'!$K$2:$K50,'Form responses'!$C$2:$C50,"&gt;="&amp;$M$1,'Form responses'!$C$2:$C50,"&lt;="&amp;$P$1,'Form responses'!$D$2:$D50,$B33)
)*Sum!$B$35)</f>
        <v>1150</v>
      </c>
      <c r="D33" s="438">
        <f>((sumifs('Form responses'!$L$2:$L50,'Form responses'!$C$2:$C50,"&gt;="&amp;$M$1,'Form responses'!$C$2:$C50,"&lt;="&amp;$P$1,'Form responses'!$D$2:$D50,$B33))*Sum!$C$35)</f>
        <v>0</v>
      </c>
      <c r="E33" s="438">
        <f>((
sumifs('Form responses'!$U$2:$U50,'Form responses'!$C$2:$C50,"&gt;="&amp;$M$1,'Form responses'!$C$2:$C50,"&lt;="&amp;$P$1,'Form responses'!$D$2:$D50,$B33)
+
sumifs('Form responses'!$V$2:$V50,'Form responses'!$C$2:$C50,"&gt;="&amp;$M$1,'Form responses'!$C$2:$C50,"&lt;="&amp;$P$1,'Form responses'!$D$2:$D50,$B33)
)*Sum!$E$35
)</f>
        <v>0</v>
      </c>
      <c r="F33" s="438">
        <f>sumifs('Form responses'!$W$2:$W50,'Form responses'!$C$2:$C50,"&gt;="&amp;$M$1,'Form responses'!$C$2:$C50,"&lt;="&amp;$P$1,'Form responses'!$D$2:$D50,$B33)
*Sum!$D$35</f>
        <v>0</v>
      </c>
      <c r="G33" s="439">
        <f>sumifs('Form responses'!$GN$2:$GN50,'Form responses'!$B$2:$B50,"&gt;="&amp;$M$1,'Form responses'!$C$2:$C50,"&lt;="&amp;$P$1,'Form responses'!$D$2:$D50,$B33)*Sum!$V$35+sumifs('Form responses'!$GO$2:$GO50,'Form responses'!$B$2:$B50,"&gt;="&amp;$M$1,'Form responses'!$C$2:$C50,"&lt;="&amp;$P$1,'Form responses'!$D$2:$D50,$B33)*Sum!$W$35+sumifs('Form responses'!$GP$2:$GP50,'Form responses'!$B$2:$B50,"&gt;="&amp;$M$1,'Form responses'!$C$2:$C50,"&lt;="&amp;$P$1,'Form responses'!$D$2:$D50,$B33)*Sum!$X$35+sumifs('Form responses'!$GQ$2:$GQ50,'Form responses'!$B$2:$B50,"&gt;="&amp;$M$1,'Form responses'!$C$2:$C50,"&lt;="&amp;$P$1,'Form responses'!$D$2:$D50,$B33)*Sum!$Y$35</f>
        <v>0</v>
      </c>
      <c r="H33" s="438">
        <f>((
sumifs('Form responses'!$X$2:$X50,'Form responses'!$C$2:$C50,"&gt;="&amp;$M$1,'Form responses'!$C$2:$C50,"&lt;="&amp;$P$1,'Form responses'!$D$2:$D50,$B33)
)*
Sum!$F$35
)+((
sumifs('Form responses'!$Y$2:$Y50,'Form responses'!$C$2:$C50,"&gt;="&amp;$M$1,'Form responses'!$C$2:$C50,"&lt;="&amp;$P$1,'Form responses'!$D$2:$D50,$B33)
)*
Sum!$G$35
)</f>
        <v>0</v>
      </c>
      <c r="I33" s="438">
        <f>((
sumifs('Form responses'!$Z$2:$Z50,'Form responses'!$C$2:$C50,"&gt;="&amp;$M$1,'Form responses'!$C$2:$C50,"&lt;="&amp;$P$1,'Form responses'!$D$2:$D50,$B33)
)*Sum!$H$35)+((
sumifs('Form responses'!$AA$2:$AA50,'Form responses'!$C$2:$C50,"&gt;="&amp;$M$1,'Form responses'!$C$2:$C50,"&lt;="&amp;$P$1,'Form responses'!$D$2:$D50,$B33)
)*Sum!$I$35)+((
sumifs('Form responses'!$AB$2:$AB50,'Form responses'!$C$2:$C50,"&gt;="&amp;$M$1,'Form responses'!$C$2:$C50,"&lt;="&amp;$P$1,'Form responses'!$D$2:$D50,$B33)
)*Sum!$Z$35)+((
sumifs('Form responses'!$AC$2:$AC50,'Form responses'!$C$2:$C50,"&gt;="&amp;$M$1,'Form responses'!$C$2:$C50,"&lt;="&amp;$P$1,'Form responses'!$D$2:$D50,$B33)
)*Sum!$AA$35)+((
sumifs('Form responses'!$AD$2:$AD50,'Form responses'!$C$2:$C50,"&gt;="&amp;$M$1,'Form responses'!$C$2:$C50,"&lt;="&amp;$P$1,'Form responses'!$D$2:$D50,$B33)
)*Sum!$AB$35)</f>
        <v>0</v>
      </c>
      <c r="J33" s="438">
        <f t="shared" si="1"/>
        <v>1150</v>
      </c>
      <c r="K33" s="438">
        <f>(
sumifs('Form responses'!$BF$2:$BF50,'Form responses'!$C$2:$C50,"&gt;="&amp;$M$1,'Form responses'!$C$2:$C50,"&lt;="&amp;$P$1,'Form responses'!$D$2:$D50,$B33)
+
sumifs('Form responses'!$BH$2:$BH50,'Form responses'!$C$2:$C50,"&gt;="&amp;$M$1,'Form responses'!$C$2:$C50,"&lt;="&amp;$P$1,'Form responses'!$D$2:$D50,$B33)
+
sumifs('Form responses'!$BJ$2:$BJ50,'Form responses'!$C$2:$C50,"&gt;="&amp;$M$1,'Form responses'!$C$2:$C50,"&lt;="&amp;$P$1,'Form responses'!$D$2:$D50,$B33)
+
sumifs('Form responses'!$BL$2:$BL50,'Form responses'!$C$2:$C50,"&gt;="&amp;$M$1,'Form responses'!$C$2:$C50,"&lt;="&amp;$P$1,'Form responses'!$D$2:$D50,$B33)
)*Sum!$Q$35</f>
        <v>375</v>
      </c>
      <c r="L33" s="438">
        <f>(
sumifs('Form responses'!$BN$2:$BN50,'Form responses'!$C$2:$C50,"&gt;="&amp;$M$1,'Form responses'!$C$2:$C50,"&lt;="&amp;$P$1,'Form responses'!$D$2:$D50,$B33)
+
sumifs('Form responses'!$BP$2:$BP50,'Form responses'!$C$2:$C50,"&gt;="&amp;$M$1,'Form responses'!$C$2:$C50,"&lt;="&amp;$P$1,'Form responses'!$D$2:$D50,$B33)
)*Sum!$R$35</f>
        <v>525</v>
      </c>
      <c r="M33" s="438">
        <f>(sumifs('Form responses'!$BR$2:$BR50,'Form responses'!$C$2:$C50,"&gt;="&amp;$M$1,'Form responses'!$C$2:$C50,"&lt;="&amp;$P$1,'Form responses'!$D$2:$D50,$B33)+sumifs('Form responses'!$BT$2:$BT50,'Form responses'!$C$2:$C50,"&gt;="&amp;$M$1,'Form responses'!$C$2:$C50,"&lt;="&amp;$P$1,'Form responses'!$D$2:$D50,$B33)+sumifs('Form responses'!$BV$2:$BV50,'Form responses'!$C$2:$C50,"&gt;="&amp;$M$1,'Form responses'!$C$2:$C50,"&lt;="&amp;$P$1,'Form responses'!$D$2:$D50,$B33)+sumifs('Form responses'!$BX$2:$BX50,'Form responses'!$C$2:$C50,"&gt;="&amp;$M$1,'Form responses'!$C$2:$C50,"&lt;="&amp;$P$1,'Form responses'!$D$2:$D50,$B33))*Sum!$S$35</f>
        <v>0</v>
      </c>
      <c r="N33" s="438"/>
      <c r="O33" s="438">
        <f t="shared" si="2"/>
        <v>900</v>
      </c>
      <c r="P33" s="438">
        <f>((sumifs('Form responses'!$BZ$2:$BZ50,'Form responses'!$C$2:$C50,"&gt;="&amp;$M$1,'Form responses'!$C$2:$C50,"&lt;="&amp;$P$1,'Form responses'!$D$2:$D50,$B33)+
sumifs('Form responses'!$CB$2:$CB50,'Form responses'!$C$2:$C50,"&gt;="&amp;$M$1,'Form responses'!$C$2:$C50,"&lt;="&amp;$P$1,'Form responses'!$D$2:$D50,$B33))*Sum!$U$35)</f>
        <v>750</v>
      </c>
      <c r="Q33" s="438">
        <f>(sumifs('Form responses'!$CD$2:$CD50,'Form responses'!$C$2:$C50,"&gt;="&amp;$M$1,'Form responses'!$C$2:$C50,"&lt;="&amp;$P$1,'Form responses'!$D$2:$D50,$B33)+sumifs('Form responses'!$CF$2:$CF50,'Form responses'!$C$2:$C50,"&gt;="&amp;$M$1,'Form responses'!$C$2:$C50,"&lt;="&amp;$P$1,'Form responses'!$D$2:$D50,$B33))*Sum!$S$35</f>
        <v>0</v>
      </c>
      <c r="R33" s="438">
        <f t="shared" si="3"/>
        <v>1650</v>
      </c>
      <c r="S33" s="448">
        <f t="shared" si="4"/>
        <v>2800</v>
      </c>
      <c r="T33" s="448">
        <f t="shared" si="5"/>
        <v>2800</v>
      </c>
    </row>
    <row r="34" ht="27.75" customHeight="1">
      <c r="A34" s="435">
        <v>32.0</v>
      </c>
      <c r="B34" s="436" t="s">
        <v>258</v>
      </c>
      <c r="C34" s="437">
        <f>((sumifs('Form responses'!$I$2:$I50,'Form responses'!$C$2:$C50,"&gt;="&amp;$M$1,'Form responses'!$C$2:$C50,"&lt;="&amp;$P$1,'Form responses'!$D$2:$D50,$B34)
+sumifs('Form responses'!$J$2:$J50,'Form responses'!$C$2:$C50,"&gt;="&amp;$M$1,'Form responses'!$C$2:$C50,"&lt;="&amp;$P$1,'Form responses'!$D$2:$D50,$B34)
+sumifs('Form responses'!$K$2:$K50,'Form responses'!$C$2:$C50,"&gt;="&amp;$M$1,'Form responses'!$C$2:$C50,"&lt;="&amp;$P$1,'Form responses'!$D$2:$D50,$B34)
)*Sum!$B$35)</f>
        <v>200</v>
      </c>
      <c r="D34" s="438">
        <f>((sumifs('Form responses'!$L$2:$L50,'Form responses'!$C$2:$C50,"&gt;="&amp;$M$1,'Form responses'!$C$2:$C50,"&lt;="&amp;$P$1,'Form responses'!$D$2:$D50,$B34))*Sum!$C$35)</f>
        <v>0</v>
      </c>
      <c r="E34" s="438">
        <f>((
sumifs('Form responses'!$U$2:$U50,'Form responses'!$C$2:$C50,"&gt;="&amp;$M$1,'Form responses'!$C$2:$C50,"&lt;="&amp;$P$1,'Form responses'!$D$2:$D50,$B34)
+
sumifs('Form responses'!$V$2:$V50,'Form responses'!$C$2:$C50,"&gt;="&amp;$M$1,'Form responses'!$C$2:$C50,"&lt;="&amp;$P$1,'Form responses'!$D$2:$D50,$B34)
)*Sum!$E$35
)</f>
        <v>0</v>
      </c>
      <c r="F34" s="438">
        <f>sumifs('Form responses'!$W$2:$W50,'Form responses'!$C$2:$C50,"&gt;="&amp;$M$1,'Form responses'!$C$2:$C50,"&lt;="&amp;$P$1,'Form responses'!$D$2:$D50,$B34)
*Sum!$D$35</f>
        <v>0</v>
      </c>
      <c r="G34" s="439">
        <f>sumifs('Form responses'!$GN$2:$GN50,'Form responses'!$B$2:$B50,"&gt;="&amp;$M$1,'Form responses'!$C$2:$C50,"&lt;="&amp;$P$1,'Form responses'!$D$2:$D50,$B34)*Sum!$V$35+sumifs('Form responses'!$GO$2:$GO50,'Form responses'!$B$2:$B50,"&gt;="&amp;$M$1,'Form responses'!$C$2:$C50,"&lt;="&amp;$P$1,'Form responses'!$D$2:$D50,$B34)*Sum!$W$35+sumifs('Form responses'!$GP$2:$GP50,'Form responses'!$B$2:$B50,"&gt;="&amp;$M$1,'Form responses'!$C$2:$C50,"&lt;="&amp;$P$1,'Form responses'!$D$2:$D50,$B34)*Sum!$X$35+sumifs('Form responses'!$GQ$2:$GQ50,'Form responses'!$B$2:$B50,"&gt;="&amp;$M$1,'Form responses'!$C$2:$C50,"&lt;="&amp;$P$1,'Form responses'!$D$2:$D50,$B34)*Sum!$Y$35</f>
        <v>0</v>
      </c>
      <c r="H34" s="438">
        <f>((
sumifs('Form responses'!$X$2:$X50,'Form responses'!$C$2:$C50,"&gt;="&amp;$M$1,'Form responses'!$C$2:$C50,"&lt;="&amp;$P$1,'Form responses'!$D$2:$D50,$B34)
)*
Sum!$F$35
)+((
sumifs('Form responses'!$Y$2:$Y50,'Form responses'!$C$2:$C50,"&gt;="&amp;$M$1,'Form responses'!$C$2:$C50,"&lt;="&amp;$P$1,'Form responses'!$D$2:$D50,$B34)
)*
Sum!$G$35
)</f>
        <v>0</v>
      </c>
      <c r="I34" s="438">
        <f>((
sumifs('Form responses'!$Z$2:$Z50,'Form responses'!$C$2:$C50,"&gt;="&amp;$M$1,'Form responses'!$C$2:$C50,"&lt;="&amp;$P$1,'Form responses'!$D$2:$D50,$B34)
)*Sum!$H$35)+((
sumifs('Form responses'!$AA$2:$AA50,'Form responses'!$C$2:$C50,"&gt;="&amp;$M$1,'Form responses'!$C$2:$C50,"&lt;="&amp;$P$1,'Form responses'!$D$2:$D50,$B34)
)*Sum!$I$35)+((
sumifs('Form responses'!$AB$2:$AB50,'Form responses'!$C$2:$C50,"&gt;="&amp;$M$1,'Form responses'!$C$2:$C50,"&lt;="&amp;$P$1,'Form responses'!$D$2:$D50,$B34)
)*Sum!$Z$35)+((
sumifs('Form responses'!$AC$2:$AC50,'Form responses'!$C$2:$C50,"&gt;="&amp;$M$1,'Form responses'!$C$2:$C50,"&lt;="&amp;$P$1,'Form responses'!$D$2:$D50,$B34)
)*Sum!$AA$35)+((
sumifs('Form responses'!$AD$2:$AD50,'Form responses'!$C$2:$C50,"&gt;="&amp;$M$1,'Form responses'!$C$2:$C50,"&lt;="&amp;$P$1,'Form responses'!$D$2:$D50,$B34)
)*Sum!$AB$35)</f>
        <v>0</v>
      </c>
      <c r="J34" s="438">
        <f t="shared" si="1"/>
        <v>200</v>
      </c>
      <c r="K34" s="438">
        <f>(
sumifs('Form responses'!$BF$2:$BF50,'Form responses'!$C$2:$C50,"&gt;="&amp;$M$1,'Form responses'!$C$2:$C50,"&lt;="&amp;$P$1,'Form responses'!$D$2:$D50,$B34)
+
sumifs('Form responses'!$BH$2:$BH50,'Form responses'!$C$2:$C50,"&gt;="&amp;$M$1,'Form responses'!$C$2:$C50,"&lt;="&amp;$P$1,'Form responses'!$D$2:$D50,$B34)
+
sumifs('Form responses'!$BJ$2:$BJ50,'Form responses'!$C$2:$C50,"&gt;="&amp;$M$1,'Form responses'!$C$2:$C50,"&lt;="&amp;$P$1,'Form responses'!$D$2:$D50,$B34)
+
sumifs('Form responses'!$BL$2:$BL50,'Form responses'!$C$2:$C50,"&gt;="&amp;$M$1,'Form responses'!$C$2:$C50,"&lt;="&amp;$P$1,'Form responses'!$D$2:$D50,$B34)
)*Sum!$Q$35</f>
        <v>0</v>
      </c>
      <c r="L34" s="438">
        <f>(
sumifs('Form responses'!$BN$2:$BN50,'Form responses'!$C$2:$C50,"&gt;="&amp;$M$1,'Form responses'!$C$2:$C50,"&lt;="&amp;$P$1,'Form responses'!$D$2:$D50,$B34)
+
sumifs('Form responses'!$BP$2:$BP50,'Form responses'!$C$2:$C50,"&gt;="&amp;$M$1,'Form responses'!$C$2:$C50,"&lt;="&amp;$P$1,'Form responses'!$D$2:$D50,$B34)
)*Sum!$R$35</f>
        <v>0</v>
      </c>
      <c r="M34" s="438">
        <f>(sumifs('Form responses'!$BR$2:$BR50,'Form responses'!$C$2:$C50,"&gt;="&amp;$M$1,'Form responses'!$C$2:$C50,"&lt;="&amp;$P$1,'Form responses'!$D$2:$D50,$B34)+sumifs('Form responses'!$BT$2:$BT50,'Form responses'!$C$2:$C50,"&gt;="&amp;$M$1,'Form responses'!$C$2:$C50,"&lt;="&amp;$P$1,'Form responses'!$D$2:$D50,$B34)+sumifs('Form responses'!$BV$2:$BV50,'Form responses'!$C$2:$C50,"&gt;="&amp;$M$1,'Form responses'!$C$2:$C50,"&lt;="&amp;$P$1,'Form responses'!$D$2:$D50,$B34)+sumifs('Form responses'!$BX$2:$BX50,'Form responses'!$C$2:$C50,"&gt;="&amp;$M$1,'Form responses'!$C$2:$C50,"&lt;="&amp;$P$1,'Form responses'!$D$2:$D50,$B34))*Sum!$S$35</f>
        <v>0</v>
      </c>
      <c r="N34" s="438"/>
      <c r="O34" s="438">
        <f t="shared" si="2"/>
        <v>0</v>
      </c>
      <c r="P34" s="438">
        <f>((sumifs('Form responses'!$BZ$2:$BZ50,'Form responses'!$C$2:$C50,"&gt;="&amp;$M$1,'Form responses'!$C$2:$C50,"&lt;="&amp;$P$1,'Form responses'!$D$2:$D50,$B34)+
sumifs('Form responses'!$CB$2:$CB50,'Form responses'!$C$2:$C50,"&gt;="&amp;$M$1,'Form responses'!$C$2:$C50,"&lt;="&amp;$P$1,'Form responses'!$D$2:$D50,$B34))*Sum!$U$35)</f>
        <v>0</v>
      </c>
      <c r="Q34" s="438">
        <f>(sumifs('Form responses'!$CD$2:$CD50,'Form responses'!$C$2:$C50,"&gt;="&amp;$M$1,'Form responses'!$C$2:$C50,"&lt;="&amp;$P$1,'Form responses'!$D$2:$D50,$B34)+sumifs('Form responses'!$CF$2:$CF50,'Form responses'!$C$2:$C50,"&gt;="&amp;$M$1,'Form responses'!$C$2:$C50,"&lt;="&amp;$P$1,'Form responses'!$D$2:$D50,$B34))*Sum!$S$35</f>
        <v>0</v>
      </c>
      <c r="R34" s="438">
        <f t="shared" si="3"/>
        <v>0</v>
      </c>
      <c r="S34" s="440">
        <f t="shared" si="4"/>
        <v>200</v>
      </c>
      <c r="T34" s="449">
        <f>sum(S34:S35)</f>
        <v>200</v>
      </c>
    </row>
    <row r="35" ht="27.75" customHeight="1">
      <c r="A35" s="435">
        <v>33.0</v>
      </c>
      <c r="B35" s="442" t="s">
        <v>261</v>
      </c>
      <c r="C35" s="437">
        <f>((sumifs('Form responses'!$I$2:$I50,'Form responses'!$C$2:$C50,"&gt;="&amp;$M$1,'Form responses'!$C$2:$C50,"&lt;="&amp;$P$1,'Form responses'!$D$2:$D50,$B35)
+sumifs('Form responses'!$J$2:$J50,'Form responses'!$C$2:$C50,"&gt;="&amp;$M$1,'Form responses'!$C$2:$C50,"&lt;="&amp;$P$1,'Form responses'!$D$2:$D50,$B35)
+sumifs('Form responses'!$K$2:$K50,'Form responses'!$C$2:$C50,"&gt;="&amp;$M$1,'Form responses'!$C$2:$C50,"&lt;="&amp;$P$1,'Form responses'!$D$2:$D50,$B35)
)*Sum!$B$35)</f>
        <v>0</v>
      </c>
      <c r="D35" s="438">
        <f>((sumifs('Form responses'!$L$2:$L50,'Form responses'!$C$2:$C50,"&gt;="&amp;$M$1,'Form responses'!$C$2:$C50,"&lt;="&amp;$P$1,'Form responses'!$D$2:$D50,$B35))*Sum!$C$35)</f>
        <v>0</v>
      </c>
      <c r="E35" s="438">
        <f>((
sumifs('Form responses'!$U$2:$U50,'Form responses'!$C$2:$C50,"&gt;="&amp;$M$1,'Form responses'!$C$2:$C50,"&lt;="&amp;$P$1,'Form responses'!$D$2:$D50,$B35)
+
sumifs('Form responses'!$V$2:$V50,'Form responses'!$C$2:$C50,"&gt;="&amp;$M$1,'Form responses'!$C$2:$C50,"&lt;="&amp;$P$1,'Form responses'!$D$2:$D50,$B35)
)*Sum!$E$35
)</f>
        <v>0</v>
      </c>
      <c r="F35" s="438">
        <f>sumifs('Form responses'!$W$2:$W50,'Form responses'!$C$2:$C50,"&gt;="&amp;$M$1,'Form responses'!$C$2:$C50,"&lt;="&amp;$P$1,'Form responses'!$D$2:$D50,$B35)
*Sum!$D$35</f>
        <v>0</v>
      </c>
      <c r="G35" s="439">
        <f>sumifs('Form responses'!$GN$2:$GN50,'Form responses'!$B$2:$B50,"&gt;="&amp;$M$1,'Form responses'!$C$2:$C50,"&lt;="&amp;$P$1,'Form responses'!$D$2:$D50,$B35)*Sum!$V$35+sumifs('Form responses'!$GO$2:$GO50,'Form responses'!$B$2:$B50,"&gt;="&amp;$M$1,'Form responses'!$C$2:$C50,"&lt;="&amp;$P$1,'Form responses'!$D$2:$D50,$B35)*Sum!$W$35+sumifs('Form responses'!$GP$2:$GP50,'Form responses'!$B$2:$B50,"&gt;="&amp;$M$1,'Form responses'!$C$2:$C50,"&lt;="&amp;$P$1,'Form responses'!$D$2:$D50,$B35)*Sum!$X$35+sumifs('Form responses'!$GQ$2:$GQ50,'Form responses'!$B$2:$B50,"&gt;="&amp;$M$1,'Form responses'!$C$2:$C50,"&lt;="&amp;$P$1,'Form responses'!$D$2:$D50,$B35)*Sum!$Y$35</f>
        <v>0</v>
      </c>
      <c r="H35" s="438">
        <f>((
sumifs('Form responses'!$X$2:$X50,'Form responses'!$C$2:$C50,"&gt;="&amp;$M$1,'Form responses'!$C$2:$C50,"&lt;="&amp;$P$1,'Form responses'!$D$2:$D50,$B35)
)*
Sum!$F$35
)+((
sumifs('Form responses'!$Y$2:$Y50,'Form responses'!$C$2:$C50,"&gt;="&amp;$M$1,'Form responses'!$C$2:$C50,"&lt;="&amp;$P$1,'Form responses'!$D$2:$D50,$B35)
)*
Sum!$G$35
)</f>
        <v>0</v>
      </c>
      <c r="I35" s="438">
        <f>((
sumifs('Form responses'!$Z$2:$Z50,'Form responses'!$C$2:$C50,"&gt;="&amp;$M$1,'Form responses'!$C$2:$C50,"&lt;="&amp;$P$1,'Form responses'!$D$2:$D50,$B35)
)*Sum!$H$35)+((
sumifs('Form responses'!$AA$2:$AA50,'Form responses'!$C$2:$C50,"&gt;="&amp;$M$1,'Form responses'!$C$2:$C50,"&lt;="&amp;$P$1,'Form responses'!$D$2:$D50,$B35)
)*Sum!$I$35)+((
sumifs('Form responses'!$AB$2:$AB50,'Form responses'!$C$2:$C50,"&gt;="&amp;$M$1,'Form responses'!$C$2:$C50,"&lt;="&amp;$P$1,'Form responses'!$D$2:$D50,$B35)
)*Sum!$Z$35)+((
sumifs('Form responses'!$AC$2:$AC50,'Form responses'!$C$2:$C50,"&gt;="&amp;$M$1,'Form responses'!$C$2:$C50,"&lt;="&amp;$P$1,'Form responses'!$D$2:$D50,$B35)
)*Sum!$AA$35)+((
sumifs('Form responses'!$AD$2:$AD50,'Form responses'!$C$2:$C50,"&gt;="&amp;$M$1,'Form responses'!$C$2:$C50,"&lt;="&amp;$P$1,'Form responses'!$D$2:$D50,$B35)
)*Sum!$AB$35)</f>
        <v>0</v>
      </c>
      <c r="J35" s="438">
        <f t="shared" si="1"/>
        <v>0</v>
      </c>
      <c r="K35" s="438">
        <f>(
sumifs('Form responses'!$BF$2:$BF50,'Form responses'!$C$2:$C50,"&gt;="&amp;$M$1,'Form responses'!$C$2:$C50,"&lt;="&amp;$P$1,'Form responses'!$D$2:$D50,$B35)
+
sumifs('Form responses'!$BH$2:$BH50,'Form responses'!$C$2:$C50,"&gt;="&amp;$M$1,'Form responses'!$C$2:$C50,"&lt;="&amp;$P$1,'Form responses'!$D$2:$D50,$B35)
+
sumifs('Form responses'!$BJ$2:$BJ50,'Form responses'!$C$2:$C50,"&gt;="&amp;$M$1,'Form responses'!$C$2:$C50,"&lt;="&amp;$P$1,'Form responses'!$D$2:$D50,$B35)
+
sumifs('Form responses'!$BL$2:$BL50,'Form responses'!$C$2:$C50,"&gt;="&amp;$M$1,'Form responses'!$C$2:$C50,"&lt;="&amp;$P$1,'Form responses'!$D$2:$D50,$B35)
)*Sum!$Q$35</f>
        <v>0</v>
      </c>
      <c r="L35" s="438">
        <f>(
sumifs('Form responses'!$BN$2:$BN50,'Form responses'!$C$2:$C50,"&gt;="&amp;$M$1,'Form responses'!$C$2:$C50,"&lt;="&amp;$P$1,'Form responses'!$D$2:$D50,$B35)
+
sumifs('Form responses'!$BP$2:$BP50,'Form responses'!$C$2:$C50,"&gt;="&amp;$M$1,'Form responses'!$C$2:$C50,"&lt;="&amp;$P$1,'Form responses'!$D$2:$D50,$B35)
)*Sum!$R$35</f>
        <v>0</v>
      </c>
      <c r="M35" s="438">
        <f>(sumifs('Form responses'!$BR$2:$BR50,'Form responses'!$C$2:$C50,"&gt;="&amp;$M$1,'Form responses'!$C$2:$C50,"&lt;="&amp;$P$1,'Form responses'!$D$2:$D50,$B35)+sumifs('Form responses'!$BT$2:$BT50,'Form responses'!$C$2:$C50,"&gt;="&amp;$M$1,'Form responses'!$C$2:$C50,"&lt;="&amp;$P$1,'Form responses'!$D$2:$D50,$B35)+sumifs('Form responses'!$BV$2:$BV50,'Form responses'!$C$2:$C50,"&gt;="&amp;$M$1,'Form responses'!$C$2:$C50,"&lt;="&amp;$P$1,'Form responses'!$D$2:$D50,$B35)+sumifs('Form responses'!$BX$2:$BX50,'Form responses'!$C$2:$C50,"&gt;="&amp;$M$1,'Form responses'!$C$2:$C50,"&lt;="&amp;$P$1,'Form responses'!$D$2:$D50,$B35))*Sum!$S$35</f>
        <v>0</v>
      </c>
      <c r="N35" s="438"/>
      <c r="O35" s="438">
        <f t="shared" si="2"/>
        <v>0</v>
      </c>
      <c r="P35" s="438">
        <f>((sumifs('Form responses'!$BZ$2:$BZ50,'Form responses'!$C$2:$C50,"&gt;="&amp;$M$1,'Form responses'!$C$2:$C50,"&lt;="&amp;$P$1,'Form responses'!$D$2:$D50,$B35)+
sumifs('Form responses'!$CB$2:$CB50,'Form responses'!$C$2:$C50,"&gt;="&amp;$M$1,'Form responses'!$C$2:$C50,"&lt;="&amp;$P$1,'Form responses'!$D$2:$D50,$B35))*Sum!$U$35)</f>
        <v>0</v>
      </c>
      <c r="Q35" s="438">
        <f>(sumifs('Form responses'!$CD$2:$CD50,'Form responses'!$C$2:$C50,"&gt;="&amp;$M$1,'Form responses'!$C$2:$C50,"&lt;="&amp;$P$1,'Form responses'!$D$2:$D50,$B35)+sumifs('Form responses'!$CF$2:$CF50,'Form responses'!$C$2:$C50,"&gt;="&amp;$M$1,'Form responses'!$C$2:$C50,"&lt;="&amp;$P$1,'Form responses'!$D$2:$D50,$B35))*Sum!$S$35</f>
        <v>0</v>
      </c>
      <c r="R35" s="438">
        <f t="shared" si="3"/>
        <v>0</v>
      </c>
      <c r="S35" s="440">
        <f t="shared" si="4"/>
        <v>0</v>
      </c>
      <c r="T35" s="322"/>
    </row>
    <row r="36" ht="27.75" customHeight="1">
      <c r="A36" s="435">
        <v>34.0</v>
      </c>
      <c r="B36" s="436" t="s">
        <v>269</v>
      </c>
      <c r="C36" s="437">
        <f>((sumifs('Form responses'!$I$2:$I50,'Form responses'!$C$2:$C50,"&gt;="&amp;$M$1,'Form responses'!$C$2:$C50,"&lt;="&amp;$P$1,'Form responses'!$D$2:$D50,$B36)
+sumifs('Form responses'!$J$2:$J50,'Form responses'!$C$2:$C50,"&gt;="&amp;$M$1,'Form responses'!$C$2:$C50,"&lt;="&amp;$P$1,'Form responses'!$D$2:$D50,$B36)
+sumifs('Form responses'!$K$2:$K50,'Form responses'!$C$2:$C50,"&gt;="&amp;$M$1,'Form responses'!$C$2:$C50,"&lt;="&amp;$P$1,'Form responses'!$D$2:$D50,$B36)
)*Sum!$B$35)</f>
        <v>1250</v>
      </c>
      <c r="D36" s="438">
        <f>((sumifs('Form responses'!$L$2:$L50,'Form responses'!$C$2:$C50,"&gt;="&amp;$M$1,'Form responses'!$C$2:$C50,"&lt;="&amp;$P$1,'Form responses'!$D$2:$D50,$B36))*Sum!$C$35)</f>
        <v>0</v>
      </c>
      <c r="E36" s="438">
        <f>((
sumifs('Form responses'!$U$2:$U50,'Form responses'!$C$2:$C50,"&gt;="&amp;$M$1,'Form responses'!$C$2:$C50,"&lt;="&amp;$P$1,'Form responses'!$D$2:$D50,$B36)
+
sumifs('Form responses'!$V$2:$V50,'Form responses'!$C$2:$C50,"&gt;="&amp;$M$1,'Form responses'!$C$2:$C50,"&lt;="&amp;$P$1,'Form responses'!$D$2:$D50,$B36)
)*Sum!$E$35
)</f>
        <v>0</v>
      </c>
      <c r="F36" s="438">
        <f>sumifs('Form responses'!$W$2:$W50,'Form responses'!$C$2:$C50,"&gt;="&amp;$M$1,'Form responses'!$C$2:$C50,"&lt;="&amp;$P$1,'Form responses'!$D$2:$D50,$B36)
*Sum!$D$35</f>
        <v>0</v>
      </c>
      <c r="G36" s="439">
        <f>sumifs('Form responses'!$GN$2:$GN50,'Form responses'!$B$2:$B50,"&gt;="&amp;$M$1,'Form responses'!$C$2:$C50,"&lt;="&amp;$P$1,'Form responses'!$D$2:$D50,$B36)*Sum!$V$35+sumifs('Form responses'!$GO$2:$GO50,'Form responses'!$B$2:$B50,"&gt;="&amp;$M$1,'Form responses'!$C$2:$C50,"&lt;="&amp;$P$1,'Form responses'!$D$2:$D50,$B36)*Sum!$W$35+sumifs('Form responses'!$GP$2:$GP50,'Form responses'!$B$2:$B50,"&gt;="&amp;$M$1,'Form responses'!$C$2:$C50,"&lt;="&amp;$P$1,'Form responses'!$D$2:$D50,$B36)*Sum!$X$35+sumifs('Form responses'!$GQ$2:$GQ50,'Form responses'!$B$2:$B50,"&gt;="&amp;$M$1,'Form responses'!$C$2:$C50,"&lt;="&amp;$P$1,'Form responses'!$D$2:$D50,$B36)*Sum!$Y$35</f>
        <v>0</v>
      </c>
      <c r="H36" s="438">
        <f>((
sumifs('Form responses'!$X$2:$X50,'Form responses'!$C$2:$C50,"&gt;="&amp;$M$1,'Form responses'!$C$2:$C50,"&lt;="&amp;$P$1,'Form responses'!$D$2:$D50,$B36)
)*
Sum!$F$35
)+((
sumifs('Form responses'!$Y$2:$Y50,'Form responses'!$C$2:$C50,"&gt;="&amp;$M$1,'Form responses'!$C$2:$C50,"&lt;="&amp;$P$1,'Form responses'!$D$2:$D50,$B36)
)*
Sum!$G$35
)</f>
        <v>0</v>
      </c>
      <c r="I36" s="438">
        <f>((
sumifs('Form responses'!$Z$2:$Z50,'Form responses'!$C$2:$C50,"&gt;="&amp;$M$1,'Form responses'!$C$2:$C50,"&lt;="&amp;$P$1,'Form responses'!$D$2:$D50,$B36)
)*Sum!$H$35)+((
sumifs('Form responses'!$AA$2:$AA50,'Form responses'!$C$2:$C50,"&gt;="&amp;$M$1,'Form responses'!$C$2:$C50,"&lt;="&amp;$P$1,'Form responses'!$D$2:$D50,$B36)
)*Sum!$I$35)+((
sumifs('Form responses'!$AB$2:$AB50,'Form responses'!$C$2:$C50,"&gt;="&amp;$M$1,'Form responses'!$C$2:$C50,"&lt;="&amp;$P$1,'Form responses'!$D$2:$D50,$B36)
)*Sum!$Z$35)+((
sumifs('Form responses'!$AC$2:$AC50,'Form responses'!$C$2:$C50,"&gt;="&amp;$M$1,'Form responses'!$C$2:$C50,"&lt;="&amp;$P$1,'Form responses'!$D$2:$D50,$B36)
)*Sum!$AA$35)+((
sumifs('Form responses'!$AD$2:$AD50,'Form responses'!$C$2:$C50,"&gt;="&amp;$M$1,'Form responses'!$C$2:$C50,"&lt;="&amp;$P$1,'Form responses'!$D$2:$D50,$B36)
)*Sum!$AB$35)</f>
        <v>0</v>
      </c>
      <c r="J36" s="438">
        <f t="shared" si="1"/>
        <v>1250</v>
      </c>
      <c r="K36" s="438">
        <f>(
sumifs('Form responses'!$BF$2:$BF50,'Form responses'!$C$2:$C50,"&gt;="&amp;$M$1,'Form responses'!$C$2:$C50,"&lt;="&amp;$P$1,'Form responses'!$D$2:$D50,$B36)
+
sumifs('Form responses'!$BH$2:$BH50,'Form responses'!$C$2:$C50,"&gt;="&amp;$M$1,'Form responses'!$C$2:$C50,"&lt;="&amp;$P$1,'Form responses'!$D$2:$D50,$B36)
+
sumifs('Form responses'!$BJ$2:$BJ50,'Form responses'!$C$2:$C50,"&gt;="&amp;$M$1,'Form responses'!$C$2:$C50,"&lt;="&amp;$P$1,'Form responses'!$D$2:$D50,$B36)
+
sumifs('Form responses'!$BL$2:$BL50,'Form responses'!$C$2:$C50,"&gt;="&amp;$M$1,'Form responses'!$C$2:$C50,"&lt;="&amp;$P$1,'Form responses'!$D$2:$D50,$B36)
)*Sum!$Q$35</f>
        <v>750</v>
      </c>
      <c r="L36" s="438">
        <f>(
sumifs('Form responses'!$BN$2:$BN50,'Form responses'!$C$2:$C50,"&gt;="&amp;$M$1,'Form responses'!$C$2:$C50,"&lt;="&amp;$P$1,'Form responses'!$D$2:$D50,$B36)
+
sumifs('Form responses'!$BP$2:$BP50,'Form responses'!$C$2:$C50,"&gt;="&amp;$M$1,'Form responses'!$C$2:$C50,"&lt;="&amp;$P$1,'Form responses'!$D$2:$D50,$B36)
)*Sum!$R$35</f>
        <v>0</v>
      </c>
      <c r="M36" s="438">
        <f>(sumifs('Form responses'!$BR$2:$BR50,'Form responses'!$C$2:$C50,"&gt;="&amp;$M$1,'Form responses'!$C$2:$C50,"&lt;="&amp;$P$1,'Form responses'!$D$2:$D50,$B36)+sumifs('Form responses'!$BT$2:$BT50,'Form responses'!$C$2:$C50,"&gt;="&amp;$M$1,'Form responses'!$C$2:$C50,"&lt;="&amp;$P$1,'Form responses'!$D$2:$D50,$B36)+sumifs('Form responses'!$BV$2:$BV50,'Form responses'!$C$2:$C50,"&gt;="&amp;$M$1,'Form responses'!$C$2:$C50,"&lt;="&amp;$P$1,'Form responses'!$D$2:$D50,$B36)+sumifs('Form responses'!$BX$2:$BX50,'Form responses'!$C$2:$C50,"&gt;="&amp;$M$1,'Form responses'!$C$2:$C50,"&lt;="&amp;$P$1,'Form responses'!$D$2:$D50,$B36))*Sum!$S$35</f>
        <v>0</v>
      </c>
      <c r="N36" s="438"/>
      <c r="O36" s="438">
        <f t="shared" si="2"/>
        <v>750</v>
      </c>
      <c r="P36" s="438">
        <f>((sumifs('Form responses'!$BZ$2:$BZ50,'Form responses'!$C$2:$C50,"&gt;="&amp;$M$1,'Form responses'!$C$2:$C50,"&lt;="&amp;$P$1,'Form responses'!$D$2:$D50,$B36)+
sumifs('Form responses'!$CB$2:$CB50,'Form responses'!$C$2:$C50,"&gt;="&amp;$M$1,'Form responses'!$C$2:$C50,"&lt;="&amp;$P$1,'Form responses'!$D$2:$D50,$B36))*Sum!$U$35)</f>
        <v>750</v>
      </c>
      <c r="Q36" s="438">
        <f>(sumifs('Form responses'!$CD$2:$CD50,'Form responses'!$C$2:$C50,"&gt;="&amp;$M$1,'Form responses'!$C$2:$C50,"&lt;="&amp;$P$1,'Form responses'!$D$2:$D50,$B36)+sumifs('Form responses'!$CF$2:$CF50,'Form responses'!$C$2:$C50,"&gt;="&amp;$M$1,'Form responses'!$C$2:$C50,"&lt;="&amp;$P$1,'Form responses'!$D$2:$D50,$B36))*Sum!$S$35</f>
        <v>0</v>
      </c>
      <c r="R36" s="438">
        <f t="shared" si="3"/>
        <v>1500</v>
      </c>
      <c r="S36" s="440">
        <f t="shared" si="4"/>
        <v>2750</v>
      </c>
      <c r="T36" s="449">
        <f>sum(S36:S37)</f>
        <v>2750</v>
      </c>
    </row>
    <row r="37" ht="27.75" customHeight="1">
      <c r="A37" s="435">
        <v>35.0</v>
      </c>
      <c r="B37" s="436" t="s">
        <v>273</v>
      </c>
      <c r="C37" s="437">
        <f>((sumifs('Form responses'!$I$2:$I50,'Form responses'!$C$2:$C50,"&gt;="&amp;$M$1,'Form responses'!$C$2:$C50,"&lt;="&amp;$P$1,'Form responses'!$D$2:$D50,$B37)
+sumifs('Form responses'!$J$2:$J50,'Form responses'!$C$2:$C50,"&gt;="&amp;$M$1,'Form responses'!$C$2:$C50,"&lt;="&amp;$P$1,'Form responses'!$D$2:$D50,$B37)
+sumifs('Form responses'!$K$2:$K50,'Form responses'!$C$2:$C50,"&gt;="&amp;$M$1,'Form responses'!$C$2:$C50,"&lt;="&amp;$P$1,'Form responses'!$D$2:$D50,$B37)
)*Sum!$B$35)</f>
        <v>0</v>
      </c>
      <c r="D37" s="438">
        <f>((sumifs('Form responses'!$L$2:$L50,'Form responses'!$C$2:$C50,"&gt;="&amp;$M$1,'Form responses'!$C$2:$C50,"&lt;="&amp;$P$1,'Form responses'!$D$2:$D50,$B37))*Sum!$C$35)</f>
        <v>0</v>
      </c>
      <c r="E37" s="438">
        <f>((
sumifs('Form responses'!$U$2:$U50,'Form responses'!$C$2:$C50,"&gt;="&amp;$M$1,'Form responses'!$C$2:$C50,"&lt;="&amp;$P$1,'Form responses'!$D$2:$D50,$B37)
+
sumifs('Form responses'!$V$2:$V50,'Form responses'!$C$2:$C50,"&gt;="&amp;$M$1,'Form responses'!$C$2:$C50,"&lt;="&amp;$P$1,'Form responses'!$D$2:$D50,$B37)
)*Sum!$E$35
)</f>
        <v>0</v>
      </c>
      <c r="F37" s="438">
        <f>sumifs('Form responses'!$W$2:$W50,'Form responses'!$C$2:$C50,"&gt;="&amp;$M$1,'Form responses'!$C$2:$C50,"&lt;="&amp;$P$1,'Form responses'!$D$2:$D50,$B37)
*Sum!$D$35</f>
        <v>0</v>
      </c>
      <c r="G37" s="439">
        <f>sumifs('Form responses'!$GN$2:$GN50,'Form responses'!$B$2:$B50,"&gt;="&amp;$M$1,'Form responses'!$C$2:$C50,"&lt;="&amp;$P$1,'Form responses'!$D$2:$D50,$B37)*Sum!$V$35+sumifs('Form responses'!$GO$2:$GO50,'Form responses'!$B$2:$B50,"&gt;="&amp;$M$1,'Form responses'!$C$2:$C50,"&lt;="&amp;$P$1,'Form responses'!$D$2:$D50,$B37)*Sum!$W$35+sumifs('Form responses'!$GP$2:$GP50,'Form responses'!$B$2:$B50,"&gt;="&amp;$M$1,'Form responses'!$C$2:$C50,"&lt;="&amp;$P$1,'Form responses'!$D$2:$D50,$B37)*Sum!$X$35+sumifs('Form responses'!$GQ$2:$GQ50,'Form responses'!$B$2:$B50,"&gt;="&amp;$M$1,'Form responses'!$C$2:$C50,"&lt;="&amp;$P$1,'Form responses'!$D$2:$D50,$B37)*Sum!$Y$35</f>
        <v>0</v>
      </c>
      <c r="H37" s="438">
        <f>((
sumifs('Form responses'!$X$2:$X50,'Form responses'!$C$2:$C50,"&gt;="&amp;$M$1,'Form responses'!$C$2:$C50,"&lt;="&amp;$P$1,'Form responses'!$D$2:$D50,$B37)
)*
Sum!$F$35
)+((
sumifs('Form responses'!$Y$2:$Y50,'Form responses'!$C$2:$C50,"&gt;="&amp;$M$1,'Form responses'!$C$2:$C50,"&lt;="&amp;$P$1,'Form responses'!$D$2:$D50,$B37)
)*
Sum!$G$35
)</f>
        <v>0</v>
      </c>
      <c r="I37" s="438">
        <f>((
sumifs('Form responses'!$Z$2:$Z50,'Form responses'!$C$2:$C50,"&gt;="&amp;$M$1,'Form responses'!$C$2:$C50,"&lt;="&amp;$P$1,'Form responses'!$D$2:$D50,$B37)
)*Sum!$H$35)+((
sumifs('Form responses'!$AA$2:$AA50,'Form responses'!$C$2:$C50,"&gt;="&amp;$M$1,'Form responses'!$C$2:$C50,"&lt;="&amp;$P$1,'Form responses'!$D$2:$D50,$B37)
)*Sum!$I$35)+((
sumifs('Form responses'!$AB$2:$AB50,'Form responses'!$C$2:$C50,"&gt;="&amp;$M$1,'Form responses'!$C$2:$C50,"&lt;="&amp;$P$1,'Form responses'!$D$2:$D50,$B37)
)*Sum!$Z$35)+((
sumifs('Form responses'!$AC$2:$AC50,'Form responses'!$C$2:$C50,"&gt;="&amp;$M$1,'Form responses'!$C$2:$C50,"&lt;="&amp;$P$1,'Form responses'!$D$2:$D50,$B37)
)*Sum!$AA$35)+((
sumifs('Form responses'!$AD$2:$AD50,'Form responses'!$C$2:$C50,"&gt;="&amp;$M$1,'Form responses'!$C$2:$C50,"&lt;="&amp;$P$1,'Form responses'!$D$2:$D50,$B37)
)*Sum!$AB$35)</f>
        <v>0</v>
      </c>
      <c r="J37" s="438">
        <f t="shared" si="1"/>
        <v>0</v>
      </c>
      <c r="K37" s="438">
        <f>(
sumifs('Form responses'!$BF$2:$BF50,'Form responses'!$C$2:$C50,"&gt;="&amp;$M$1,'Form responses'!$C$2:$C50,"&lt;="&amp;$P$1,'Form responses'!$D$2:$D50,$B37)
+
sumifs('Form responses'!$BH$2:$BH50,'Form responses'!$C$2:$C50,"&gt;="&amp;$M$1,'Form responses'!$C$2:$C50,"&lt;="&amp;$P$1,'Form responses'!$D$2:$D50,$B37)
+
sumifs('Form responses'!$BJ$2:$BJ50,'Form responses'!$C$2:$C50,"&gt;="&amp;$M$1,'Form responses'!$C$2:$C50,"&lt;="&amp;$P$1,'Form responses'!$D$2:$D50,$B37)
+
sumifs('Form responses'!$BL$2:$BL50,'Form responses'!$C$2:$C50,"&gt;="&amp;$M$1,'Form responses'!$C$2:$C50,"&lt;="&amp;$P$1,'Form responses'!$D$2:$D50,$B37)
)*Sum!$Q$35</f>
        <v>0</v>
      </c>
      <c r="L37" s="438">
        <f>(
sumifs('Form responses'!$BN$2:$BN50,'Form responses'!$C$2:$C50,"&gt;="&amp;$M$1,'Form responses'!$C$2:$C50,"&lt;="&amp;$P$1,'Form responses'!$D$2:$D50,$B37)
+
sumifs('Form responses'!$BP$2:$BP50,'Form responses'!$C$2:$C50,"&gt;="&amp;$M$1,'Form responses'!$C$2:$C50,"&lt;="&amp;$P$1,'Form responses'!$D$2:$D50,$B37)
)*Sum!$R$35</f>
        <v>0</v>
      </c>
      <c r="M37" s="438">
        <f>(sumifs('Form responses'!$BR$2:$BR50,'Form responses'!$C$2:$C50,"&gt;="&amp;$M$1,'Form responses'!$C$2:$C50,"&lt;="&amp;$P$1,'Form responses'!$D$2:$D50,$B37)+sumifs('Form responses'!$BT$2:$BT50,'Form responses'!$C$2:$C50,"&gt;="&amp;$M$1,'Form responses'!$C$2:$C50,"&lt;="&amp;$P$1,'Form responses'!$D$2:$D50,$B37)+sumifs('Form responses'!$BV$2:$BV50,'Form responses'!$C$2:$C50,"&gt;="&amp;$M$1,'Form responses'!$C$2:$C50,"&lt;="&amp;$P$1,'Form responses'!$D$2:$D50,$B37)+sumifs('Form responses'!$BX$2:$BX50,'Form responses'!$C$2:$C50,"&gt;="&amp;$M$1,'Form responses'!$C$2:$C50,"&lt;="&amp;$P$1,'Form responses'!$D$2:$D50,$B37))*Sum!$S$35</f>
        <v>0</v>
      </c>
      <c r="N37" s="438"/>
      <c r="O37" s="438">
        <f t="shared" si="2"/>
        <v>0</v>
      </c>
      <c r="P37" s="438">
        <f>((sumifs('Form responses'!$BZ$2:$BZ50,'Form responses'!$C$2:$C50,"&gt;="&amp;$M$1,'Form responses'!$C$2:$C50,"&lt;="&amp;$P$1,'Form responses'!$D$2:$D50,$B37)+
sumifs('Form responses'!$CB$2:$CB50,'Form responses'!$C$2:$C50,"&gt;="&amp;$M$1,'Form responses'!$C$2:$C50,"&lt;="&amp;$P$1,'Form responses'!$D$2:$D50,$B37))*Sum!$U$35)</f>
        <v>0</v>
      </c>
      <c r="Q37" s="438">
        <f>(sumifs('Form responses'!$CD$2:$CD50,'Form responses'!$C$2:$C50,"&gt;="&amp;$M$1,'Form responses'!$C$2:$C50,"&lt;="&amp;$P$1,'Form responses'!$D$2:$D50,$B37)+sumifs('Form responses'!$CF$2:$CF50,'Form responses'!$C$2:$C50,"&gt;="&amp;$M$1,'Form responses'!$C$2:$C50,"&lt;="&amp;$P$1,'Form responses'!$D$2:$D50,$B37))*Sum!$S$35</f>
        <v>0</v>
      </c>
      <c r="R37" s="438">
        <f t="shared" si="3"/>
        <v>0</v>
      </c>
      <c r="S37" s="440">
        <f t="shared" si="4"/>
        <v>0</v>
      </c>
      <c r="T37" s="322"/>
    </row>
    <row r="38" ht="27.75" customHeight="1">
      <c r="A38" s="435">
        <v>36.0</v>
      </c>
      <c r="B38" s="436" t="s">
        <v>42</v>
      </c>
      <c r="C38" s="437">
        <f>((sumifs('Form responses'!$I$2:$I50,'Form responses'!$C$2:$C50,"&gt;="&amp;$M$1,'Form responses'!$C$2:$C50,"&lt;="&amp;$P$1,'Form responses'!$D$2:$D50,$B38)
+sumifs('Form responses'!$J$2:$J50,'Form responses'!$C$2:$C50,"&gt;="&amp;$M$1,'Form responses'!$C$2:$C50,"&lt;="&amp;$P$1,'Form responses'!$D$2:$D50,$B38)
+sumifs('Form responses'!$K$2:$K50,'Form responses'!$C$2:$C50,"&gt;="&amp;$M$1,'Form responses'!$C$2:$C50,"&lt;="&amp;$P$1,'Form responses'!$D$2:$D50,$B38)
)*Sum!$B$35)</f>
        <v>1170</v>
      </c>
      <c r="D38" s="438">
        <f>((sumifs('Form responses'!$L$2:$L50,'Form responses'!$C$2:$C50,"&gt;="&amp;$M$1,'Form responses'!$C$2:$C50,"&lt;="&amp;$P$1,'Form responses'!$D$2:$D50,$B38))*Sum!$C$35)</f>
        <v>0</v>
      </c>
      <c r="E38" s="438">
        <f>((
sumifs('Form responses'!$U$2:$U50,'Form responses'!$C$2:$C50,"&gt;="&amp;$M$1,'Form responses'!$C$2:$C50,"&lt;="&amp;$P$1,'Form responses'!$D$2:$D50,$B38)
+
sumifs('Form responses'!$V$2:$V50,'Form responses'!$C$2:$C50,"&gt;="&amp;$M$1,'Form responses'!$C$2:$C50,"&lt;="&amp;$P$1,'Form responses'!$D$2:$D50,$B38)
)*Sum!$E$35
)</f>
        <v>0</v>
      </c>
      <c r="F38" s="438">
        <f>sumifs('Form responses'!$W$2:$W50,'Form responses'!$C$2:$C50,"&gt;="&amp;$M$1,'Form responses'!$C$2:$C50,"&lt;="&amp;$P$1,'Form responses'!$D$2:$D50,$B38)
*Sum!$D$35</f>
        <v>0</v>
      </c>
      <c r="G38" s="439">
        <f>sumifs('Form responses'!$GN$2:$GN50,'Form responses'!$B$2:$B50,"&gt;="&amp;$M$1,'Form responses'!$C$2:$C50,"&lt;="&amp;$P$1,'Form responses'!$D$2:$D50,$B38)*Sum!$V$35+sumifs('Form responses'!$GO$2:$GO50,'Form responses'!$B$2:$B50,"&gt;="&amp;$M$1,'Form responses'!$C$2:$C50,"&lt;="&amp;$P$1,'Form responses'!$D$2:$D50,$B38)*Sum!$W$35+sumifs('Form responses'!$GP$2:$GP50,'Form responses'!$B$2:$B50,"&gt;="&amp;$M$1,'Form responses'!$C$2:$C50,"&lt;="&amp;$P$1,'Form responses'!$D$2:$D50,$B38)*Sum!$X$35+sumifs('Form responses'!$GQ$2:$GQ50,'Form responses'!$B$2:$B50,"&gt;="&amp;$M$1,'Form responses'!$C$2:$C50,"&lt;="&amp;$P$1,'Form responses'!$D$2:$D50,$B38)*Sum!$Y$35</f>
        <v>0</v>
      </c>
      <c r="H38" s="438">
        <f>((
sumifs('Form responses'!$X$2:$X50,'Form responses'!$C$2:$C50,"&gt;="&amp;$M$1,'Form responses'!$C$2:$C50,"&lt;="&amp;$P$1,'Form responses'!$D$2:$D50,$B38)
)*
Sum!$F$35
)+((
sumifs('Form responses'!$Y$2:$Y50,'Form responses'!$C$2:$C50,"&gt;="&amp;$M$1,'Form responses'!$C$2:$C50,"&lt;="&amp;$P$1,'Form responses'!$D$2:$D50,$B38)
)*
Sum!$G$35
)</f>
        <v>0</v>
      </c>
      <c r="I38" s="438">
        <f>((
sumifs('Form responses'!$Z$2:$Z50,'Form responses'!$C$2:$C50,"&gt;="&amp;$M$1,'Form responses'!$C$2:$C50,"&lt;="&amp;$P$1,'Form responses'!$D$2:$D50,$B38)
)*Sum!$H$35)+((
sumifs('Form responses'!$AA$2:$AA50,'Form responses'!$C$2:$C50,"&gt;="&amp;$M$1,'Form responses'!$C$2:$C50,"&lt;="&amp;$P$1,'Form responses'!$D$2:$D50,$B38)
)*Sum!$I$35)+((
sumifs('Form responses'!$AB$2:$AB50,'Form responses'!$C$2:$C50,"&gt;="&amp;$M$1,'Form responses'!$C$2:$C50,"&lt;="&amp;$P$1,'Form responses'!$D$2:$D50,$B38)
)*Sum!$Z$35)+((
sumifs('Form responses'!$AC$2:$AC50,'Form responses'!$C$2:$C50,"&gt;="&amp;$M$1,'Form responses'!$C$2:$C50,"&lt;="&amp;$P$1,'Form responses'!$D$2:$D50,$B38)
)*Sum!$AA$35)+((
sumifs('Form responses'!$AD$2:$AD50,'Form responses'!$C$2:$C50,"&gt;="&amp;$M$1,'Form responses'!$C$2:$C50,"&lt;="&amp;$P$1,'Form responses'!$D$2:$D50,$B38)
)*Sum!$AB$35)</f>
        <v>0</v>
      </c>
      <c r="J38" s="438">
        <f t="shared" si="1"/>
        <v>1170</v>
      </c>
      <c r="K38" s="438">
        <f>(
sumifs('Form responses'!$BF$2:$BF50,'Form responses'!$C$2:$C50,"&gt;="&amp;$M$1,'Form responses'!$C$2:$C50,"&lt;="&amp;$P$1,'Form responses'!$D$2:$D50,$B38)
+
sumifs('Form responses'!$BH$2:$BH50,'Form responses'!$C$2:$C50,"&gt;="&amp;$M$1,'Form responses'!$C$2:$C50,"&lt;="&amp;$P$1,'Form responses'!$D$2:$D50,$B38)
+
sumifs('Form responses'!$BJ$2:$BJ50,'Form responses'!$C$2:$C50,"&gt;="&amp;$M$1,'Form responses'!$C$2:$C50,"&lt;="&amp;$P$1,'Form responses'!$D$2:$D50,$B38)
+
sumifs('Form responses'!$BL$2:$BL50,'Form responses'!$C$2:$C50,"&gt;="&amp;$M$1,'Form responses'!$C$2:$C50,"&lt;="&amp;$P$1,'Form responses'!$D$2:$D50,$B38)
)*Sum!$Q$35</f>
        <v>375</v>
      </c>
      <c r="L38" s="438">
        <f>(
sumifs('Form responses'!$BN$2:$BN50,'Form responses'!$C$2:$C50,"&gt;="&amp;$M$1,'Form responses'!$C$2:$C50,"&lt;="&amp;$P$1,'Form responses'!$D$2:$D50,$B38)
+
sumifs('Form responses'!$BP$2:$BP50,'Form responses'!$C$2:$C50,"&gt;="&amp;$M$1,'Form responses'!$C$2:$C50,"&lt;="&amp;$P$1,'Form responses'!$D$2:$D50,$B38)
)*Sum!$R$35</f>
        <v>1050</v>
      </c>
      <c r="M38" s="438">
        <f>(sumifs('Form responses'!$BR$2:$BR50,'Form responses'!$C$2:$C50,"&gt;="&amp;$M$1,'Form responses'!$C$2:$C50,"&lt;="&amp;$P$1,'Form responses'!$D$2:$D50,$B38)+sumifs('Form responses'!$BT$2:$BT50,'Form responses'!$C$2:$C50,"&gt;="&amp;$M$1,'Form responses'!$C$2:$C50,"&lt;="&amp;$P$1,'Form responses'!$D$2:$D50,$B38)+sumifs('Form responses'!$BV$2:$BV50,'Form responses'!$C$2:$C50,"&gt;="&amp;$M$1,'Form responses'!$C$2:$C50,"&lt;="&amp;$P$1,'Form responses'!$D$2:$D50,$B38)+sumifs('Form responses'!$BX$2:$BX50,'Form responses'!$C$2:$C50,"&gt;="&amp;$M$1,'Form responses'!$C$2:$C50,"&lt;="&amp;$P$1,'Form responses'!$D$2:$D50,$B38))*Sum!$S$35</f>
        <v>0</v>
      </c>
      <c r="N38" s="438"/>
      <c r="O38" s="438">
        <f t="shared" si="2"/>
        <v>1425</v>
      </c>
      <c r="P38" s="438">
        <f>((sumifs('Form responses'!$BZ$2:$BZ50,'Form responses'!$C$2:$C50,"&gt;="&amp;$M$1,'Form responses'!$C$2:$C50,"&lt;="&amp;$P$1,'Form responses'!$D$2:$D50,$B38)+
sumifs('Form responses'!$CB$2:$CB50,'Form responses'!$C$2:$C50,"&gt;="&amp;$M$1,'Form responses'!$C$2:$C50,"&lt;="&amp;$P$1,'Form responses'!$D$2:$D50,$B38))*Sum!$U$35)</f>
        <v>750</v>
      </c>
      <c r="Q38" s="438">
        <f>(sumifs('Form responses'!$CD$2:$CD50,'Form responses'!$C$2:$C50,"&gt;="&amp;$M$1,'Form responses'!$C$2:$C50,"&lt;="&amp;$P$1,'Form responses'!$D$2:$D50,$B38)+sumifs('Form responses'!$CF$2:$CF50,'Form responses'!$C$2:$C50,"&gt;="&amp;$M$1,'Form responses'!$C$2:$C50,"&lt;="&amp;$P$1,'Form responses'!$D$2:$D50,$B38))*Sum!$S$35</f>
        <v>0</v>
      </c>
      <c r="R38" s="438">
        <f t="shared" si="3"/>
        <v>2175</v>
      </c>
      <c r="S38" s="440">
        <f t="shared" si="4"/>
        <v>3345</v>
      </c>
      <c r="T38" s="450">
        <f t="shared" ref="T38:T49" si="6">S38</f>
        <v>3345</v>
      </c>
    </row>
    <row r="39" ht="27.75" customHeight="1">
      <c r="A39" s="435">
        <v>37.0</v>
      </c>
      <c r="B39" s="436" t="s">
        <v>35</v>
      </c>
      <c r="C39" s="437">
        <f>((sumifs('Form responses'!$I$2:$I50,'Form responses'!$C$2:$C50,"&gt;="&amp;$M$1,'Form responses'!$C$2:$C50,"&lt;="&amp;$P$1,'Form responses'!$D$2:$D50,$B39)
+sumifs('Form responses'!$J$2:$J50,'Form responses'!$C$2:$C50,"&gt;="&amp;$M$1,'Form responses'!$C$2:$C50,"&lt;="&amp;$P$1,'Form responses'!$D$2:$D50,$B39)
+sumifs('Form responses'!$K$2:$K50,'Form responses'!$C$2:$C50,"&gt;="&amp;$M$1,'Form responses'!$C$2:$C50,"&lt;="&amp;$P$1,'Form responses'!$D$2:$D50,$B39)
)*Sum!$B$35)</f>
        <v>400</v>
      </c>
      <c r="D39" s="438">
        <f>((sumifs('Form responses'!$L$2:$L50,'Form responses'!$C$2:$C50,"&gt;="&amp;$M$1,'Form responses'!$C$2:$C50,"&lt;="&amp;$P$1,'Form responses'!$D$2:$D50,$B39))*Sum!$C$35)</f>
        <v>0</v>
      </c>
      <c r="E39" s="438">
        <f>((
sumifs('Form responses'!$U$2:$U50,'Form responses'!$C$2:$C50,"&gt;="&amp;$M$1,'Form responses'!$C$2:$C50,"&lt;="&amp;$P$1,'Form responses'!$D$2:$D50,$B39)
+
sumifs('Form responses'!$V$2:$V50,'Form responses'!$C$2:$C50,"&gt;="&amp;$M$1,'Form responses'!$C$2:$C50,"&lt;="&amp;$P$1,'Form responses'!$D$2:$D50,$B39)
)*Sum!$E$35
)</f>
        <v>0</v>
      </c>
      <c r="F39" s="438">
        <f>sumifs('Form responses'!$W$2:$W50,'Form responses'!$C$2:$C50,"&gt;="&amp;$M$1,'Form responses'!$C$2:$C50,"&lt;="&amp;$P$1,'Form responses'!$D$2:$D50,$B39)
*Sum!$D$35</f>
        <v>0</v>
      </c>
      <c r="G39" s="439">
        <f>sumifs('Form responses'!$GN$2:$GN50,'Form responses'!$B$2:$B50,"&gt;="&amp;$M$1,'Form responses'!$C$2:$C50,"&lt;="&amp;$P$1,'Form responses'!$D$2:$D50,$B39)*Sum!$V$35+sumifs('Form responses'!$GO$2:$GO50,'Form responses'!$B$2:$B50,"&gt;="&amp;$M$1,'Form responses'!$C$2:$C50,"&lt;="&amp;$P$1,'Form responses'!$D$2:$D50,$B39)*Sum!$W$35+sumifs('Form responses'!$GP$2:$GP50,'Form responses'!$B$2:$B50,"&gt;="&amp;$M$1,'Form responses'!$C$2:$C50,"&lt;="&amp;$P$1,'Form responses'!$D$2:$D50,$B39)*Sum!$X$35+sumifs('Form responses'!$GQ$2:$GQ50,'Form responses'!$B$2:$B50,"&gt;="&amp;$M$1,'Form responses'!$C$2:$C50,"&lt;="&amp;$P$1,'Form responses'!$D$2:$D50,$B39)*Sum!$Y$35</f>
        <v>0</v>
      </c>
      <c r="H39" s="438">
        <f>((
sumifs('Form responses'!$X$2:$X50,'Form responses'!$C$2:$C50,"&gt;="&amp;$M$1,'Form responses'!$C$2:$C50,"&lt;="&amp;$P$1,'Form responses'!$D$2:$D50,$B39)
)*
Sum!$F$35
)+((
sumifs('Form responses'!$Y$2:$Y50,'Form responses'!$C$2:$C50,"&gt;="&amp;$M$1,'Form responses'!$C$2:$C50,"&lt;="&amp;$P$1,'Form responses'!$D$2:$D50,$B39)
)*
Sum!$G$35
)</f>
        <v>0</v>
      </c>
      <c r="I39" s="438">
        <f>((
sumifs('Form responses'!$Z$2:$Z50,'Form responses'!$C$2:$C50,"&gt;="&amp;$M$1,'Form responses'!$C$2:$C50,"&lt;="&amp;$P$1,'Form responses'!$D$2:$D50,$B39)
)*Sum!$H$35)+((
sumifs('Form responses'!$AA$2:$AA50,'Form responses'!$C$2:$C50,"&gt;="&amp;$M$1,'Form responses'!$C$2:$C50,"&lt;="&amp;$P$1,'Form responses'!$D$2:$D50,$B39)
)*Sum!$I$35)+((
sumifs('Form responses'!$AB$2:$AB50,'Form responses'!$C$2:$C50,"&gt;="&amp;$M$1,'Form responses'!$C$2:$C50,"&lt;="&amp;$P$1,'Form responses'!$D$2:$D50,$B39)
)*Sum!$Z$35)+((
sumifs('Form responses'!$AC$2:$AC50,'Form responses'!$C$2:$C50,"&gt;="&amp;$M$1,'Form responses'!$C$2:$C50,"&lt;="&amp;$P$1,'Form responses'!$D$2:$D50,$B39)
)*Sum!$AA$35)+((
sumifs('Form responses'!$AD$2:$AD50,'Form responses'!$C$2:$C50,"&gt;="&amp;$M$1,'Form responses'!$C$2:$C50,"&lt;="&amp;$P$1,'Form responses'!$D$2:$D50,$B39)
)*Sum!$AB$35)</f>
        <v>0</v>
      </c>
      <c r="J39" s="438">
        <f t="shared" si="1"/>
        <v>400</v>
      </c>
      <c r="K39" s="438">
        <f>(
sumifs('Form responses'!$BF$2:$BF50,'Form responses'!$C$2:$C50,"&gt;="&amp;$M$1,'Form responses'!$C$2:$C50,"&lt;="&amp;$P$1,'Form responses'!$D$2:$D50,$B39)
+
sumifs('Form responses'!$BH$2:$BH50,'Form responses'!$C$2:$C50,"&gt;="&amp;$M$1,'Form responses'!$C$2:$C50,"&lt;="&amp;$P$1,'Form responses'!$D$2:$D50,$B39)
+
sumifs('Form responses'!$BJ$2:$BJ50,'Form responses'!$C$2:$C50,"&gt;="&amp;$M$1,'Form responses'!$C$2:$C50,"&lt;="&amp;$P$1,'Form responses'!$D$2:$D50,$B39)
+
sumifs('Form responses'!$BL$2:$BL50,'Form responses'!$C$2:$C50,"&gt;="&amp;$M$1,'Form responses'!$C$2:$C50,"&lt;="&amp;$P$1,'Form responses'!$D$2:$D50,$B39)
)*Sum!$Q$35</f>
        <v>0</v>
      </c>
      <c r="L39" s="438">
        <f>(
sumifs('Form responses'!$BN$2:$BN50,'Form responses'!$C$2:$C50,"&gt;="&amp;$M$1,'Form responses'!$C$2:$C50,"&lt;="&amp;$P$1,'Form responses'!$D$2:$D50,$B39)
+
sumifs('Form responses'!$BP$2:$BP50,'Form responses'!$C$2:$C50,"&gt;="&amp;$M$1,'Form responses'!$C$2:$C50,"&lt;="&amp;$P$1,'Form responses'!$D$2:$D50,$B39)
)*Sum!$R$35</f>
        <v>0</v>
      </c>
      <c r="M39" s="438">
        <f>(sumifs('Form responses'!$BR$2:$BR50,'Form responses'!$C$2:$C50,"&gt;="&amp;$M$1,'Form responses'!$C$2:$C50,"&lt;="&amp;$P$1,'Form responses'!$D$2:$D50,$B39)+sumifs('Form responses'!$BT$2:$BT50,'Form responses'!$C$2:$C50,"&gt;="&amp;$M$1,'Form responses'!$C$2:$C50,"&lt;="&amp;$P$1,'Form responses'!$D$2:$D50,$B39)+sumifs('Form responses'!$BV$2:$BV50,'Form responses'!$C$2:$C50,"&gt;="&amp;$M$1,'Form responses'!$C$2:$C50,"&lt;="&amp;$P$1,'Form responses'!$D$2:$D50,$B39)+sumifs('Form responses'!$BX$2:$BX50,'Form responses'!$C$2:$C50,"&gt;="&amp;$M$1,'Form responses'!$C$2:$C50,"&lt;="&amp;$P$1,'Form responses'!$D$2:$D50,$B39))*Sum!$S$35</f>
        <v>0</v>
      </c>
      <c r="N39" s="438"/>
      <c r="O39" s="438">
        <f t="shared" si="2"/>
        <v>0</v>
      </c>
      <c r="P39" s="438">
        <f>((sumifs('Form responses'!$BZ$2:$BZ50,'Form responses'!$C$2:$C50,"&gt;="&amp;$M$1,'Form responses'!$C$2:$C50,"&lt;="&amp;$P$1,'Form responses'!$D$2:$D50,$B39)+
sumifs('Form responses'!$CB$2:$CB50,'Form responses'!$C$2:$C50,"&gt;="&amp;$M$1,'Form responses'!$C$2:$C50,"&lt;="&amp;$P$1,'Form responses'!$D$2:$D50,$B39))*Sum!$U$35)</f>
        <v>0</v>
      </c>
      <c r="Q39" s="438">
        <f>(sumifs('Form responses'!$CD$2:$CD50,'Form responses'!$C$2:$C50,"&gt;="&amp;$M$1,'Form responses'!$C$2:$C50,"&lt;="&amp;$P$1,'Form responses'!$D$2:$D50,$B39)+sumifs('Form responses'!$CF$2:$CF50,'Form responses'!$C$2:$C50,"&gt;="&amp;$M$1,'Form responses'!$C$2:$C50,"&lt;="&amp;$P$1,'Form responses'!$D$2:$D50,$B39))*Sum!$S$35</f>
        <v>0</v>
      </c>
      <c r="R39" s="438">
        <f t="shared" si="3"/>
        <v>0</v>
      </c>
      <c r="S39" s="440">
        <f t="shared" si="4"/>
        <v>400</v>
      </c>
      <c r="T39" s="450">
        <f t="shared" si="6"/>
        <v>400</v>
      </c>
    </row>
    <row r="40" ht="27.75" customHeight="1">
      <c r="A40" s="443">
        <v>38.0</v>
      </c>
      <c r="B40" s="436" t="s">
        <v>288</v>
      </c>
      <c r="C40" s="437">
        <f>((sumifs('Form responses'!$I$2:$I50,'Form responses'!$C$2:$C50,"&gt;="&amp;$M$1,'Form responses'!$C$2:$C50,"&lt;="&amp;$P$1,'Form responses'!$D$2:$D50,$B40)
+sumifs('Form responses'!$J$2:$J50,'Form responses'!$C$2:$C50,"&gt;="&amp;$M$1,'Form responses'!$C$2:$C50,"&lt;="&amp;$P$1,'Form responses'!$D$2:$D50,$B40)
+sumifs('Form responses'!$K$2:$K50,'Form responses'!$C$2:$C50,"&gt;="&amp;$M$1,'Form responses'!$C$2:$C50,"&lt;="&amp;$P$1,'Form responses'!$D$2:$D50,$B40)
)*Sum!$B$35)</f>
        <v>0</v>
      </c>
      <c r="D40" s="438">
        <f>((sumifs('Form responses'!$L$2:$L50,'Form responses'!$C$2:$C50,"&gt;="&amp;$M$1,'Form responses'!$C$2:$C50,"&lt;="&amp;$P$1,'Form responses'!$D$2:$D50,$B40))*Sum!$C$35)</f>
        <v>0</v>
      </c>
      <c r="E40" s="438">
        <f>((
sumifs('Form responses'!$U$2:$U50,'Form responses'!$C$2:$C50,"&gt;="&amp;$M$1,'Form responses'!$C$2:$C50,"&lt;="&amp;$P$1,'Form responses'!$D$2:$D50,$B40)
+
sumifs('Form responses'!$V$2:$V50,'Form responses'!$C$2:$C50,"&gt;="&amp;$M$1,'Form responses'!$C$2:$C50,"&lt;="&amp;$P$1,'Form responses'!$D$2:$D50,$B40)
)*Sum!$E$35
)</f>
        <v>0</v>
      </c>
      <c r="F40" s="438">
        <f>sumifs('Form responses'!$W$2:$W50,'Form responses'!$C$2:$C50,"&gt;="&amp;$M$1,'Form responses'!$C$2:$C50,"&lt;="&amp;$P$1,'Form responses'!$D$2:$D50,$B40)
*Sum!$D$35</f>
        <v>0</v>
      </c>
      <c r="G40" s="439">
        <f>sumifs('Form responses'!$GN$2:$GN50,'Form responses'!$B$2:$B50,"&gt;="&amp;$M$1,'Form responses'!$C$2:$C50,"&lt;="&amp;$P$1,'Form responses'!$D$2:$D50,$B40)*Sum!$V$35+sumifs('Form responses'!$GO$2:$GO50,'Form responses'!$B$2:$B50,"&gt;="&amp;$M$1,'Form responses'!$C$2:$C50,"&lt;="&amp;$P$1,'Form responses'!$D$2:$D50,$B40)*Sum!$W$35+sumifs('Form responses'!$GP$2:$GP50,'Form responses'!$B$2:$B50,"&gt;="&amp;$M$1,'Form responses'!$C$2:$C50,"&lt;="&amp;$P$1,'Form responses'!$D$2:$D50,$B40)*Sum!$X$35+sumifs('Form responses'!$GQ$2:$GQ50,'Form responses'!$B$2:$B50,"&gt;="&amp;$M$1,'Form responses'!$C$2:$C50,"&lt;="&amp;$P$1,'Form responses'!$D$2:$D50,$B40)*Sum!$Y$35</f>
        <v>0</v>
      </c>
      <c r="H40" s="438">
        <f>((
sumifs('Form responses'!$X$2:$X50,'Form responses'!$C$2:$C50,"&gt;="&amp;$M$1,'Form responses'!$C$2:$C50,"&lt;="&amp;$P$1,'Form responses'!$D$2:$D50,$B40)
)*
Sum!$F$35
)+((
sumifs('Form responses'!$Y$2:$Y50,'Form responses'!$C$2:$C50,"&gt;="&amp;$M$1,'Form responses'!$C$2:$C50,"&lt;="&amp;$P$1,'Form responses'!$D$2:$D50,$B40)
)*
Sum!$G$35
)</f>
        <v>0</v>
      </c>
      <c r="I40" s="438">
        <f>((
sumifs('Form responses'!$Z$2:$Z50,'Form responses'!$C$2:$C50,"&gt;="&amp;$M$1,'Form responses'!$C$2:$C50,"&lt;="&amp;$P$1,'Form responses'!$D$2:$D50,$B40)
)*Sum!$H$35)+((
sumifs('Form responses'!$AA$2:$AA50,'Form responses'!$C$2:$C50,"&gt;="&amp;$M$1,'Form responses'!$C$2:$C50,"&lt;="&amp;$P$1,'Form responses'!$D$2:$D50,$B40)
)*Sum!$I$35)+((
sumifs('Form responses'!$AB$2:$AB50,'Form responses'!$C$2:$C50,"&gt;="&amp;$M$1,'Form responses'!$C$2:$C50,"&lt;="&amp;$P$1,'Form responses'!$D$2:$D50,$B40)
)*Sum!$Z$35)+((
sumifs('Form responses'!$AC$2:$AC50,'Form responses'!$C$2:$C50,"&gt;="&amp;$M$1,'Form responses'!$C$2:$C50,"&lt;="&amp;$P$1,'Form responses'!$D$2:$D50,$B40)
)*Sum!$AA$35)+((
sumifs('Form responses'!$AD$2:$AD50,'Form responses'!$C$2:$C50,"&gt;="&amp;$M$1,'Form responses'!$C$2:$C50,"&lt;="&amp;$P$1,'Form responses'!$D$2:$D50,$B40)
)*Sum!$AB$35)</f>
        <v>0</v>
      </c>
      <c r="J40" s="438">
        <f t="shared" si="1"/>
        <v>0</v>
      </c>
      <c r="K40" s="438">
        <f>(
sumifs('Form responses'!$BF$2:$BF50,'Form responses'!$C$2:$C50,"&gt;="&amp;$M$1,'Form responses'!$C$2:$C50,"&lt;="&amp;$P$1,'Form responses'!$D$2:$D50,$B40)
+
sumifs('Form responses'!$BH$2:$BH50,'Form responses'!$C$2:$C50,"&gt;="&amp;$M$1,'Form responses'!$C$2:$C50,"&lt;="&amp;$P$1,'Form responses'!$D$2:$D50,$B40)
+
sumifs('Form responses'!$BJ$2:$BJ50,'Form responses'!$C$2:$C50,"&gt;="&amp;$M$1,'Form responses'!$C$2:$C50,"&lt;="&amp;$P$1,'Form responses'!$D$2:$D50,$B40)
+
sumifs('Form responses'!$BL$2:$BL50,'Form responses'!$C$2:$C50,"&gt;="&amp;$M$1,'Form responses'!$C$2:$C50,"&lt;="&amp;$P$1,'Form responses'!$D$2:$D50,$B40)
)*Sum!$Q$35</f>
        <v>0</v>
      </c>
      <c r="L40" s="438">
        <f>(
sumifs('Form responses'!$BN$2:$BN50,'Form responses'!$C$2:$C50,"&gt;="&amp;$M$1,'Form responses'!$C$2:$C50,"&lt;="&amp;$P$1,'Form responses'!$D$2:$D50,$B40)
+
sumifs('Form responses'!$BP$2:$BP50,'Form responses'!$C$2:$C50,"&gt;="&amp;$M$1,'Form responses'!$C$2:$C50,"&lt;="&amp;$P$1,'Form responses'!$D$2:$D50,$B40)
)*Sum!$R$35</f>
        <v>0</v>
      </c>
      <c r="M40" s="438">
        <f>(sumifs('Form responses'!$BR$2:$BR50,'Form responses'!$C$2:$C50,"&gt;="&amp;$M$1,'Form responses'!$C$2:$C50,"&lt;="&amp;$P$1,'Form responses'!$D$2:$D50,$B40)+sumifs('Form responses'!$BT$2:$BT50,'Form responses'!$C$2:$C50,"&gt;="&amp;$M$1,'Form responses'!$C$2:$C50,"&lt;="&amp;$P$1,'Form responses'!$D$2:$D50,$B40)+sumifs('Form responses'!$BV$2:$BV50,'Form responses'!$C$2:$C50,"&gt;="&amp;$M$1,'Form responses'!$C$2:$C50,"&lt;="&amp;$P$1,'Form responses'!$D$2:$D50,$B40)+sumifs('Form responses'!$BX$2:$BX50,'Form responses'!$C$2:$C50,"&gt;="&amp;$M$1,'Form responses'!$C$2:$C50,"&lt;="&amp;$P$1,'Form responses'!$D$2:$D50,$B40))*Sum!$S$35</f>
        <v>0</v>
      </c>
      <c r="N40" s="438"/>
      <c r="O40" s="438">
        <f t="shared" si="2"/>
        <v>0</v>
      </c>
      <c r="P40" s="438">
        <f>((sumifs('Form responses'!$BZ$2:$BZ50,'Form responses'!$C$2:$C50,"&gt;="&amp;$M$1,'Form responses'!$C$2:$C50,"&lt;="&amp;$P$1,'Form responses'!$D$2:$D50,$B40)+
sumifs('Form responses'!$CB$2:$CB50,'Form responses'!$C$2:$C50,"&gt;="&amp;$M$1,'Form responses'!$C$2:$C50,"&lt;="&amp;$P$1,'Form responses'!$D$2:$D50,$B40))*Sum!$U$35)</f>
        <v>0</v>
      </c>
      <c r="Q40" s="438">
        <f>(sumifs('Form responses'!$CD$2:$CD50,'Form responses'!$C$2:$C50,"&gt;="&amp;$M$1,'Form responses'!$C$2:$C50,"&lt;="&amp;$P$1,'Form responses'!$D$2:$D50,$B40)+sumifs('Form responses'!$CF$2:$CF50,'Form responses'!$C$2:$C50,"&gt;="&amp;$M$1,'Form responses'!$C$2:$C50,"&lt;="&amp;$P$1,'Form responses'!$D$2:$D50,$B40))*Sum!$S$35</f>
        <v>0</v>
      </c>
      <c r="R40" s="438">
        <f t="shared" si="3"/>
        <v>0</v>
      </c>
      <c r="S40" s="440">
        <f t="shared" si="4"/>
        <v>0</v>
      </c>
      <c r="T40" s="450">
        <f t="shared" si="6"/>
        <v>0</v>
      </c>
    </row>
    <row r="41" ht="27.75" customHeight="1">
      <c r="A41" s="435">
        <v>39.0</v>
      </c>
      <c r="B41" s="436" t="s">
        <v>292</v>
      </c>
      <c r="C41" s="437">
        <f>((sumifs('Form responses'!$I$2:$I50,'Form responses'!$C$2:$C50,"&gt;="&amp;$M$1,'Form responses'!$C$2:$C50,"&lt;="&amp;$P$1,'Form responses'!$D$2:$D50,$B41)
+sumifs('Form responses'!$J$2:$J50,'Form responses'!$C$2:$C50,"&gt;="&amp;$M$1,'Form responses'!$C$2:$C50,"&lt;="&amp;$P$1,'Form responses'!$D$2:$D50,$B41)
+sumifs('Form responses'!$K$2:$K50,'Form responses'!$C$2:$C50,"&gt;="&amp;$M$1,'Form responses'!$C$2:$C50,"&lt;="&amp;$P$1,'Form responses'!$D$2:$D50,$B41)
)*Sum!$B$35)</f>
        <v>0</v>
      </c>
      <c r="D41" s="438">
        <f>((sumifs('Form responses'!$L$2:$L50,'Form responses'!$C$2:$C50,"&gt;="&amp;$M$1,'Form responses'!$C$2:$C50,"&lt;="&amp;$P$1,'Form responses'!$D$2:$D50,$B41))*Sum!$C$35)</f>
        <v>0</v>
      </c>
      <c r="E41" s="438">
        <f>((
sumifs('Form responses'!$U$2:$U50,'Form responses'!$C$2:$C50,"&gt;="&amp;$M$1,'Form responses'!$C$2:$C50,"&lt;="&amp;$P$1,'Form responses'!$D$2:$D50,$B41)
+
sumifs('Form responses'!$V$2:$V50,'Form responses'!$C$2:$C50,"&gt;="&amp;$M$1,'Form responses'!$C$2:$C50,"&lt;="&amp;$P$1,'Form responses'!$D$2:$D50,$B41)
)*Sum!$E$35
)</f>
        <v>0</v>
      </c>
      <c r="F41" s="438">
        <f>sumifs('Form responses'!$W$2:$W50,'Form responses'!$C$2:$C50,"&gt;="&amp;$M$1,'Form responses'!$C$2:$C50,"&lt;="&amp;$P$1,'Form responses'!$D$2:$D50,$B41)
*Sum!$D$35</f>
        <v>0</v>
      </c>
      <c r="G41" s="439">
        <f>sumifs('Form responses'!$GN$2:$GN50,'Form responses'!$B$2:$B50,"&gt;="&amp;$M$1,'Form responses'!$C$2:$C50,"&lt;="&amp;$P$1,'Form responses'!$D$2:$D50,$B41)*Sum!$V$35+sumifs('Form responses'!$GO$2:$GO50,'Form responses'!$B$2:$B50,"&gt;="&amp;$M$1,'Form responses'!$C$2:$C50,"&lt;="&amp;$P$1,'Form responses'!$D$2:$D50,$B41)*Sum!$W$35+sumifs('Form responses'!$GP$2:$GP50,'Form responses'!$B$2:$B50,"&gt;="&amp;$M$1,'Form responses'!$C$2:$C50,"&lt;="&amp;$P$1,'Form responses'!$D$2:$D50,$B41)*Sum!$X$35+sumifs('Form responses'!$GQ$2:$GQ50,'Form responses'!$B$2:$B50,"&gt;="&amp;$M$1,'Form responses'!$C$2:$C50,"&lt;="&amp;$P$1,'Form responses'!$D$2:$D50,$B41)*Sum!$Y$35</f>
        <v>0</v>
      </c>
      <c r="H41" s="438">
        <f>((
sumifs('Form responses'!$X$2:$X50,'Form responses'!$C$2:$C50,"&gt;="&amp;$M$1,'Form responses'!$C$2:$C50,"&lt;="&amp;$P$1,'Form responses'!$D$2:$D50,$B41)
)*
Sum!$F$35
)+((
sumifs('Form responses'!$Y$2:$Y50,'Form responses'!$C$2:$C50,"&gt;="&amp;$M$1,'Form responses'!$C$2:$C50,"&lt;="&amp;$P$1,'Form responses'!$D$2:$D50,$B41)
)*
Sum!$G$35
)</f>
        <v>0</v>
      </c>
      <c r="I41" s="438">
        <f>((
sumifs('Form responses'!$Z$2:$Z50,'Form responses'!$C$2:$C50,"&gt;="&amp;$M$1,'Form responses'!$C$2:$C50,"&lt;="&amp;$P$1,'Form responses'!$D$2:$D50,$B41)
)*Sum!$H$35)+((
sumifs('Form responses'!$AA$2:$AA50,'Form responses'!$C$2:$C50,"&gt;="&amp;$M$1,'Form responses'!$C$2:$C50,"&lt;="&amp;$P$1,'Form responses'!$D$2:$D50,$B41)
)*Sum!$I$35)+((
sumifs('Form responses'!$AB$2:$AB50,'Form responses'!$C$2:$C50,"&gt;="&amp;$M$1,'Form responses'!$C$2:$C50,"&lt;="&amp;$P$1,'Form responses'!$D$2:$D50,$B41)
)*Sum!$Z$35)+((
sumifs('Form responses'!$AC$2:$AC50,'Form responses'!$C$2:$C50,"&gt;="&amp;$M$1,'Form responses'!$C$2:$C50,"&lt;="&amp;$P$1,'Form responses'!$D$2:$D50,$B41)
)*Sum!$AA$35)+((
sumifs('Form responses'!$AD$2:$AD50,'Form responses'!$C$2:$C50,"&gt;="&amp;$M$1,'Form responses'!$C$2:$C50,"&lt;="&amp;$P$1,'Form responses'!$D$2:$D50,$B41)
)*Sum!$AB$35)</f>
        <v>0</v>
      </c>
      <c r="J41" s="438">
        <f t="shared" si="1"/>
        <v>0</v>
      </c>
      <c r="K41" s="438">
        <f>(
sumifs('Form responses'!$BF$2:$BF50,'Form responses'!$C$2:$C50,"&gt;="&amp;$M$1,'Form responses'!$C$2:$C50,"&lt;="&amp;$P$1,'Form responses'!$D$2:$D50,$B41)
+
sumifs('Form responses'!$BH$2:$BH50,'Form responses'!$C$2:$C50,"&gt;="&amp;$M$1,'Form responses'!$C$2:$C50,"&lt;="&amp;$P$1,'Form responses'!$D$2:$D50,$B41)
+
sumifs('Form responses'!$BJ$2:$BJ50,'Form responses'!$C$2:$C50,"&gt;="&amp;$M$1,'Form responses'!$C$2:$C50,"&lt;="&amp;$P$1,'Form responses'!$D$2:$D50,$B41)
+
sumifs('Form responses'!$BL$2:$BL50,'Form responses'!$C$2:$C50,"&gt;="&amp;$M$1,'Form responses'!$C$2:$C50,"&lt;="&amp;$P$1,'Form responses'!$D$2:$D50,$B41)
)*Sum!$Q$35</f>
        <v>0</v>
      </c>
      <c r="L41" s="438">
        <f>(
sumifs('Form responses'!$BN$2:$BN50,'Form responses'!$C$2:$C50,"&gt;="&amp;$M$1,'Form responses'!$C$2:$C50,"&lt;="&amp;$P$1,'Form responses'!$D$2:$D50,$B41)
+
sumifs('Form responses'!$BP$2:$BP50,'Form responses'!$C$2:$C50,"&gt;="&amp;$M$1,'Form responses'!$C$2:$C50,"&lt;="&amp;$P$1,'Form responses'!$D$2:$D50,$B41)
)*Sum!$R$35</f>
        <v>0</v>
      </c>
      <c r="M41" s="438">
        <f>(sumifs('Form responses'!$BR$2:$BR50,'Form responses'!$C$2:$C50,"&gt;="&amp;$M$1,'Form responses'!$C$2:$C50,"&lt;="&amp;$P$1,'Form responses'!$D$2:$D50,$B41)+sumifs('Form responses'!$BT$2:$BT50,'Form responses'!$C$2:$C50,"&gt;="&amp;$M$1,'Form responses'!$C$2:$C50,"&lt;="&amp;$P$1,'Form responses'!$D$2:$D50,$B41)+sumifs('Form responses'!$BV$2:$BV50,'Form responses'!$C$2:$C50,"&gt;="&amp;$M$1,'Form responses'!$C$2:$C50,"&lt;="&amp;$P$1,'Form responses'!$D$2:$D50,$B41)+sumifs('Form responses'!$BX$2:$BX50,'Form responses'!$C$2:$C50,"&gt;="&amp;$M$1,'Form responses'!$C$2:$C50,"&lt;="&amp;$P$1,'Form responses'!$D$2:$D50,$B41))*Sum!$S$35</f>
        <v>0</v>
      </c>
      <c r="N41" s="438"/>
      <c r="O41" s="438">
        <f t="shared" si="2"/>
        <v>0</v>
      </c>
      <c r="P41" s="438">
        <f>((sumifs('Form responses'!$BZ$2:$BZ50,'Form responses'!$C$2:$C50,"&gt;="&amp;$M$1,'Form responses'!$C$2:$C50,"&lt;="&amp;$P$1,'Form responses'!$D$2:$D50,$B41)+
sumifs('Form responses'!$CB$2:$CB50,'Form responses'!$C$2:$C50,"&gt;="&amp;$M$1,'Form responses'!$C$2:$C50,"&lt;="&amp;$P$1,'Form responses'!$D$2:$D50,$B41))*Sum!$U$35)</f>
        <v>0</v>
      </c>
      <c r="Q41" s="438">
        <f>(sumifs('Form responses'!$CD$2:$CD50,'Form responses'!$C$2:$C50,"&gt;="&amp;$M$1,'Form responses'!$C$2:$C50,"&lt;="&amp;$P$1,'Form responses'!$D$2:$D50,$B41)+sumifs('Form responses'!$CF$2:$CF50,'Form responses'!$C$2:$C50,"&gt;="&amp;$M$1,'Form responses'!$C$2:$C50,"&lt;="&amp;$P$1,'Form responses'!$D$2:$D50,$B41))*Sum!$S$35</f>
        <v>0</v>
      </c>
      <c r="R41" s="438">
        <f t="shared" si="3"/>
        <v>0</v>
      </c>
      <c r="S41" s="440">
        <f t="shared" si="4"/>
        <v>0</v>
      </c>
      <c r="T41" s="450">
        <f t="shared" si="6"/>
        <v>0</v>
      </c>
    </row>
    <row r="42" ht="27.75" customHeight="1">
      <c r="A42" s="435">
        <v>40.0</v>
      </c>
      <c r="B42" s="442" t="s">
        <v>295</v>
      </c>
      <c r="C42" s="437">
        <f>((sumifs('Form responses'!$I$2:$I50,'Form responses'!$C$2:$C50,"&gt;="&amp;$M$1,'Form responses'!$C$2:$C50,"&lt;="&amp;$P$1,'Form responses'!$D$2:$D50,$B42)
+sumifs('Form responses'!$J$2:$J50,'Form responses'!$C$2:$C50,"&gt;="&amp;$M$1,'Form responses'!$C$2:$C50,"&lt;="&amp;$P$1,'Form responses'!$D$2:$D50,$B42)
+sumifs('Form responses'!$K$2:$K50,'Form responses'!$C$2:$C50,"&gt;="&amp;$M$1,'Form responses'!$C$2:$C50,"&lt;="&amp;$P$1,'Form responses'!$D$2:$D50,$B42)
)*Sum!$B$35)</f>
        <v>0</v>
      </c>
      <c r="D42" s="438">
        <f>((sumifs('Form responses'!$L$2:$L50,'Form responses'!$C$2:$C50,"&gt;="&amp;$M$1,'Form responses'!$C$2:$C50,"&lt;="&amp;$P$1,'Form responses'!$D$2:$D50,$B42))*Sum!$C$35)</f>
        <v>0</v>
      </c>
      <c r="E42" s="438">
        <f>((
sumifs('Form responses'!$U$2:$U50,'Form responses'!$C$2:$C50,"&gt;="&amp;$M$1,'Form responses'!$C$2:$C50,"&lt;="&amp;$P$1,'Form responses'!$D$2:$D50,$B42)
+
sumifs('Form responses'!$V$2:$V50,'Form responses'!$C$2:$C50,"&gt;="&amp;$M$1,'Form responses'!$C$2:$C50,"&lt;="&amp;$P$1,'Form responses'!$D$2:$D50,$B42)
)*Sum!$E$35
)</f>
        <v>0</v>
      </c>
      <c r="F42" s="438">
        <f>sumifs('Form responses'!$W$2:$W50,'Form responses'!$C$2:$C50,"&gt;="&amp;$M$1,'Form responses'!$C$2:$C50,"&lt;="&amp;$P$1,'Form responses'!$D$2:$D50,$B42)
*Sum!$D$35</f>
        <v>0</v>
      </c>
      <c r="G42" s="439">
        <f>sumifs('Form responses'!$GN$2:$GN50,'Form responses'!$B$2:$B50,"&gt;="&amp;$M$1,'Form responses'!$C$2:$C50,"&lt;="&amp;$P$1,'Form responses'!$D$2:$D50,$B42)*Sum!$V$35+sumifs('Form responses'!$GO$2:$GO50,'Form responses'!$B$2:$B50,"&gt;="&amp;$M$1,'Form responses'!$C$2:$C50,"&lt;="&amp;$P$1,'Form responses'!$D$2:$D50,$B42)*Sum!$W$35+sumifs('Form responses'!$GP$2:$GP50,'Form responses'!$B$2:$B50,"&gt;="&amp;$M$1,'Form responses'!$C$2:$C50,"&lt;="&amp;$P$1,'Form responses'!$D$2:$D50,$B42)*Sum!$X$35+sumifs('Form responses'!$GQ$2:$GQ50,'Form responses'!$B$2:$B50,"&gt;="&amp;$M$1,'Form responses'!$C$2:$C50,"&lt;="&amp;$P$1,'Form responses'!$D$2:$D50,$B42)*Sum!$Y$35</f>
        <v>0</v>
      </c>
      <c r="H42" s="438">
        <f>((
sumifs('Form responses'!$X$2:$X50,'Form responses'!$C$2:$C50,"&gt;="&amp;$M$1,'Form responses'!$C$2:$C50,"&lt;="&amp;$P$1,'Form responses'!$D$2:$D50,$B42)
)*
Sum!$F$35
)+((
sumifs('Form responses'!$Y$2:$Y50,'Form responses'!$C$2:$C50,"&gt;="&amp;$M$1,'Form responses'!$C$2:$C50,"&lt;="&amp;$P$1,'Form responses'!$D$2:$D50,$B42)
)*
Sum!$G$35
)</f>
        <v>0</v>
      </c>
      <c r="I42" s="438">
        <f>((
sumifs('Form responses'!$Z$2:$Z50,'Form responses'!$C$2:$C50,"&gt;="&amp;$M$1,'Form responses'!$C$2:$C50,"&lt;="&amp;$P$1,'Form responses'!$D$2:$D50,$B42)
)*Sum!$H$35)+((
sumifs('Form responses'!$AA$2:$AA50,'Form responses'!$C$2:$C50,"&gt;="&amp;$M$1,'Form responses'!$C$2:$C50,"&lt;="&amp;$P$1,'Form responses'!$D$2:$D50,$B42)
)*Sum!$I$35)+((
sumifs('Form responses'!$AB$2:$AB50,'Form responses'!$C$2:$C50,"&gt;="&amp;$M$1,'Form responses'!$C$2:$C50,"&lt;="&amp;$P$1,'Form responses'!$D$2:$D50,$B42)
)*Sum!$Z$35)+((
sumifs('Form responses'!$AC$2:$AC50,'Form responses'!$C$2:$C50,"&gt;="&amp;$M$1,'Form responses'!$C$2:$C50,"&lt;="&amp;$P$1,'Form responses'!$D$2:$D50,$B42)
)*Sum!$AA$35)+((
sumifs('Form responses'!$AD$2:$AD50,'Form responses'!$C$2:$C50,"&gt;="&amp;$M$1,'Form responses'!$C$2:$C50,"&lt;="&amp;$P$1,'Form responses'!$D$2:$D50,$B42)
)*Sum!$AB$35)</f>
        <v>0</v>
      </c>
      <c r="J42" s="438">
        <f t="shared" si="1"/>
        <v>0</v>
      </c>
      <c r="K42" s="438">
        <f>(
sumifs('Form responses'!$BF$2:$BF50,'Form responses'!$C$2:$C50,"&gt;="&amp;$M$1,'Form responses'!$C$2:$C50,"&lt;="&amp;$P$1,'Form responses'!$D$2:$D50,$B42)
+
sumifs('Form responses'!$BH$2:$BH50,'Form responses'!$C$2:$C50,"&gt;="&amp;$M$1,'Form responses'!$C$2:$C50,"&lt;="&amp;$P$1,'Form responses'!$D$2:$D50,$B42)
+
sumifs('Form responses'!$BJ$2:$BJ50,'Form responses'!$C$2:$C50,"&gt;="&amp;$M$1,'Form responses'!$C$2:$C50,"&lt;="&amp;$P$1,'Form responses'!$D$2:$D50,$B42)
+
sumifs('Form responses'!$BL$2:$BL50,'Form responses'!$C$2:$C50,"&gt;="&amp;$M$1,'Form responses'!$C$2:$C50,"&lt;="&amp;$P$1,'Form responses'!$D$2:$D50,$B42)
)*Sum!$Q$35</f>
        <v>0</v>
      </c>
      <c r="L42" s="438">
        <f>(
sumifs('Form responses'!$BN$2:$BN50,'Form responses'!$C$2:$C50,"&gt;="&amp;$M$1,'Form responses'!$C$2:$C50,"&lt;="&amp;$P$1,'Form responses'!$D$2:$D50,$B42)
+
sumifs('Form responses'!$BP$2:$BP50,'Form responses'!$C$2:$C50,"&gt;="&amp;$M$1,'Form responses'!$C$2:$C50,"&lt;="&amp;$P$1,'Form responses'!$D$2:$D50,$B42)
)*Sum!$R$35</f>
        <v>0</v>
      </c>
      <c r="M42" s="438">
        <f>(sumifs('Form responses'!$BR$2:$BR50,'Form responses'!$C$2:$C50,"&gt;="&amp;$M$1,'Form responses'!$C$2:$C50,"&lt;="&amp;$P$1,'Form responses'!$D$2:$D50,$B42)+sumifs('Form responses'!$BT$2:$BT50,'Form responses'!$C$2:$C50,"&gt;="&amp;$M$1,'Form responses'!$C$2:$C50,"&lt;="&amp;$P$1,'Form responses'!$D$2:$D50,$B42)+sumifs('Form responses'!$BV$2:$BV50,'Form responses'!$C$2:$C50,"&gt;="&amp;$M$1,'Form responses'!$C$2:$C50,"&lt;="&amp;$P$1,'Form responses'!$D$2:$D50,$B42)+sumifs('Form responses'!$BX$2:$BX50,'Form responses'!$C$2:$C50,"&gt;="&amp;$M$1,'Form responses'!$C$2:$C50,"&lt;="&amp;$P$1,'Form responses'!$D$2:$D50,$B42))*Sum!$S$35</f>
        <v>0</v>
      </c>
      <c r="N42" s="438"/>
      <c r="O42" s="438">
        <f t="shared" si="2"/>
        <v>0</v>
      </c>
      <c r="P42" s="438">
        <f>((sumifs('Form responses'!$BZ$2:$BZ50,'Form responses'!$C$2:$C50,"&gt;="&amp;$M$1,'Form responses'!$C$2:$C50,"&lt;="&amp;$P$1,'Form responses'!$D$2:$D50,$B42)+
sumifs('Form responses'!$CB$2:$CB50,'Form responses'!$C$2:$C50,"&gt;="&amp;$M$1,'Form responses'!$C$2:$C50,"&lt;="&amp;$P$1,'Form responses'!$D$2:$D50,$B42))*Sum!$U$35)</f>
        <v>0</v>
      </c>
      <c r="Q42" s="438">
        <f>(sumifs('Form responses'!$CD$2:$CD50,'Form responses'!$C$2:$C50,"&gt;="&amp;$M$1,'Form responses'!$C$2:$C50,"&lt;="&amp;$P$1,'Form responses'!$D$2:$D50,$B42)+sumifs('Form responses'!$CF$2:$CF50,'Form responses'!$C$2:$C50,"&gt;="&amp;$M$1,'Form responses'!$C$2:$C50,"&lt;="&amp;$P$1,'Form responses'!$D$2:$D50,$B42))*Sum!$S$35</f>
        <v>0</v>
      </c>
      <c r="R42" s="438">
        <f t="shared" si="3"/>
        <v>0</v>
      </c>
      <c r="S42" s="440">
        <f t="shared" si="4"/>
        <v>0</v>
      </c>
      <c r="T42" s="450">
        <f t="shared" si="6"/>
        <v>0</v>
      </c>
    </row>
    <row r="43" ht="27.75" customHeight="1">
      <c r="A43" s="435">
        <v>41.0</v>
      </c>
      <c r="B43" s="436" t="s">
        <v>298</v>
      </c>
      <c r="C43" s="437">
        <f>((sumifs('Form responses'!$I$2:$I50,'Form responses'!$C$2:$C50,"&gt;="&amp;$M$1,'Form responses'!$C$2:$C50,"&lt;="&amp;$P$1,'Form responses'!$D$2:$D50,$B43)
+sumifs('Form responses'!$J$2:$J50,'Form responses'!$C$2:$C50,"&gt;="&amp;$M$1,'Form responses'!$C$2:$C50,"&lt;="&amp;$P$1,'Form responses'!$D$2:$D50,$B43)
+sumifs('Form responses'!$K$2:$K50,'Form responses'!$C$2:$C50,"&gt;="&amp;$M$1,'Form responses'!$C$2:$C50,"&lt;="&amp;$P$1,'Form responses'!$D$2:$D50,$B43)
)*Sum!$B$35)</f>
        <v>0</v>
      </c>
      <c r="D43" s="438">
        <f>((sumifs('Form responses'!$L$2:$L50,'Form responses'!$C$2:$C50,"&gt;="&amp;$M$1,'Form responses'!$C$2:$C50,"&lt;="&amp;$P$1,'Form responses'!$D$2:$D50,$B43))*Sum!$C$35)</f>
        <v>0</v>
      </c>
      <c r="E43" s="438">
        <f>((
sumifs('Form responses'!$U$2:$U50,'Form responses'!$C$2:$C50,"&gt;="&amp;$M$1,'Form responses'!$C$2:$C50,"&lt;="&amp;$P$1,'Form responses'!$D$2:$D50,$B43)
+
sumifs('Form responses'!$V$2:$V50,'Form responses'!$C$2:$C50,"&gt;="&amp;$M$1,'Form responses'!$C$2:$C50,"&lt;="&amp;$P$1,'Form responses'!$D$2:$D50,$B43)
)*Sum!$E$35
)</f>
        <v>0</v>
      </c>
      <c r="F43" s="438">
        <f>sumifs('Form responses'!$W$2:$W50,'Form responses'!$C$2:$C50,"&gt;="&amp;$M$1,'Form responses'!$C$2:$C50,"&lt;="&amp;$P$1,'Form responses'!$D$2:$D50,$B43)
*Sum!$D$35</f>
        <v>0</v>
      </c>
      <c r="G43" s="439">
        <f>sumifs('Form responses'!$GN$2:$GN50,'Form responses'!$B$2:$B50,"&gt;="&amp;$M$1,'Form responses'!$C$2:$C50,"&lt;="&amp;$P$1,'Form responses'!$D$2:$D50,$B43)*Sum!$V$35+sumifs('Form responses'!$GO$2:$GO50,'Form responses'!$B$2:$B50,"&gt;="&amp;$M$1,'Form responses'!$C$2:$C50,"&lt;="&amp;$P$1,'Form responses'!$D$2:$D50,$B43)*Sum!$W$35+sumifs('Form responses'!$GP$2:$GP50,'Form responses'!$B$2:$B50,"&gt;="&amp;$M$1,'Form responses'!$C$2:$C50,"&lt;="&amp;$P$1,'Form responses'!$D$2:$D50,$B43)*Sum!$X$35+sumifs('Form responses'!$GQ$2:$GQ50,'Form responses'!$B$2:$B50,"&gt;="&amp;$M$1,'Form responses'!$C$2:$C50,"&lt;="&amp;$P$1,'Form responses'!$D$2:$D50,$B43)*Sum!$Y$35</f>
        <v>0</v>
      </c>
      <c r="H43" s="438">
        <f>((
sumifs('Form responses'!$X$2:$X50,'Form responses'!$C$2:$C50,"&gt;="&amp;$M$1,'Form responses'!$C$2:$C50,"&lt;="&amp;$P$1,'Form responses'!$D$2:$D50,$B43)
)*
Sum!$F$35
)+((
sumifs('Form responses'!$Y$2:$Y50,'Form responses'!$C$2:$C50,"&gt;="&amp;$M$1,'Form responses'!$C$2:$C50,"&lt;="&amp;$P$1,'Form responses'!$D$2:$D50,$B43)
)*
Sum!$G$35
)</f>
        <v>0</v>
      </c>
      <c r="I43" s="438">
        <f>((
sumifs('Form responses'!$Z$2:$Z50,'Form responses'!$C$2:$C50,"&gt;="&amp;$M$1,'Form responses'!$C$2:$C50,"&lt;="&amp;$P$1,'Form responses'!$D$2:$D50,$B43)
)*Sum!$H$35)+((
sumifs('Form responses'!$AA$2:$AA50,'Form responses'!$C$2:$C50,"&gt;="&amp;$M$1,'Form responses'!$C$2:$C50,"&lt;="&amp;$P$1,'Form responses'!$D$2:$D50,$B43)
)*Sum!$I$35)+((
sumifs('Form responses'!$AB$2:$AB50,'Form responses'!$C$2:$C50,"&gt;="&amp;$M$1,'Form responses'!$C$2:$C50,"&lt;="&amp;$P$1,'Form responses'!$D$2:$D50,$B43)
)*Sum!$Z$35)+((
sumifs('Form responses'!$AC$2:$AC50,'Form responses'!$C$2:$C50,"&gt;="&amp;$M$1,'Form responses'!$C$2:$C50,"&lt;="&amp;$P$1,'Form responses'!$D$2:$D50,$B43)
)*Sum!$AA$35)+((
sumifs('Form responses'!$AD$2:$AD50,'Form responses'!$C$2:$C50,"&gt;="&amp;$M$1,'Form responses'!$C$2:$C50,"&lt;="&amp;$P$1,'Form responses'!$D$2:$D50,$B43)
)*Sum!$AB$35)</f>
        <v>0</v>
      </c>
      <c r="J43" s="438">
        <f t="shared" si="1"/>
        <v>0</v>
      </c>
      <c r="K43" s="438">
        <f>(
sumifs('Form responses'!$BF$2:$BF50,'Form responses'!$C$2:$C50,"&gt;="&amp;$M$1,'Form responses'!$C$2:$C50,"&lt;="&amp;$P$1,'Form responses'!$D$2:$D50,$B43)
+
sumifs('Form responses'!$BH$2:$BH50,'Form responses'!$C$2:$C50,"&gt;="&amp;$M$1,'Form responses'!$C$2:$C50,"&lt;="&amp;$P$1,'Form responses'!$D$2:$D50,$B43)
+
sumifs('Form responses'!$BJ$2:$BJ50,'Form responses'!$C$2:$C50,"&gt;="&amp;$M$1,'Form responses'!$C$2:$C50,"&lt;="&amp;$P$1,'Form responses'!$D$2:$D50,$B43)
+
sumifs('Form responses'!$BL$2:$BL50,'Form responses'!$C$2:$C50,"&gt;="&amp;$M$1,'Form responses'!$C$2:$C50,"&lt;="&amp;$P$1,'Form responses'!$D$2:$D50,$B43)
)*Sum!$Q$35</f>
        <v>0</v>
      </c>
      <c r="L43" s="438">
        <f>(
sumifs('Form responses'!$BN$2:$BN50,'Form responses'!$C$2:$C50,"&gt;="&amp;$M$1,'Form responses'!$C$2:$C50,"&lt;="&amp;$P$1,'Form responses'!$D$2:$D50,$B43)
+
sumifs('Form responses'!$BP$2:$BP50,'Form responses'!$C$2:$C50,"&gt;="&amp;$M$1,'Form responses'!$C$2:$C50,"&lt;="&amp;$P$1,'Form responses'!$D$2:$D50,$B43)
)*Sum!$R$35</f>
        <v>0</v>
      </c>
      <c r="M43" s="438">
        <f>(sumifs('Form responses'!$BR$2:$BR50,'Form responses'!$C$2:$C50,"&gt;="&amp;$M$1,'Form responses'!$C$2:$C50,"&lt;="&amp;$P$1,'Form responses'!$D$2:$D50,$B43)+sumifs('Form responses'!$BT$2:$BT50,'Form responses'!$C$2:$C50,"&gt;="&amp;$M$1,'Form responses'!$C$2:$C50,"&lt;="&amp;$P$1,'Form responses'!$D$2:$D50,$B43)+sumifs('Form responses'!$BV$2:$BV50,'Form responses'!$C$2:$C50,"&gt;="&amp;$M$1,'Form responses'!$C$2:$C50,"&lt;="&amp;$P$1,'Form responses'!$D$2:$D50,$B43)+sumifs('Form responses'!$BX$2:$BX50,'Form responses'!$C$2:$C50,"&gt;="&amp;$M$1,'Form responses'!$C$2:$C50,"&lt;="&amp;$P$1,'Form responses'!$D$2:$D50,$B43))*Sum!$S$35</f>
        <v>0</v>
      </c>
      <c r="N43" s="438"/>
      <c r="O43" s="438">
        <f t="shared" si="2"/>
        <v>0</v>
      </c>
      <c r="P43" s="438">
        <f>((sumifs('Form responses'!$BZ$2:$BZ50,'Form responses'!$C$2:$C50,"&gt;="&amp;$M$1,'Form responses'!$C$2:$C50,"&lt;="&amp;$P$1,'Form responses'!$D$2:$D50,$B43)+
sumifs('Form responses'!$CB$2:$CB50,'Form responses'!$C$2:$C50,"&gt;="&amp;$M$1,'Form responses'!$C$2:$C50,"&lt;="&amp;$P$1,'Form responses'!$D$2:$D50,$B43))*Sum!$U$35)</f>
        <v>0</v>
      </c>
      <c r="Q43" s="438">
        <f>(sumifs('Form responses'!$CD$2:$CD50,'Form responses'!$C$2:$C50,"&gt;="&amp;$M$1,'Form responses'!$C$2:$C50,"&lt;="&amp;$P$1,'Form responses'!$D$2:$D50,$B43)+sumifs('Form responses'!$CF$2:$CF50,'Form responses'!$C$2:$C50,"&gt;="&amp;$M$1,'Form responses'!$C$2:$C50,"&lt;="&amp;$P$1,'Form responses'!$D$2:$D50,$B43))*Sum!$S$35</f>
        <v>0</v>
      </c>
      <c r="R43" s="438">
        <f t="shared" si="3"/>
        <v>0</v>
      </c>
      <c r="S43" s="440">
        <f t="shared" si="4"/>
        <v>0</v>
      </c>
      <c r="T43" s="450">
        <f t="shared" si="6"/>
        <v>0</v>
      </c>
    </row>
    <row r="44" ht="27.75" customHeight="1">
      <c r="A44" s="435">
        <v>42.0</v>
      </c>
      <c r="B44" s="436" t="s">
        <v>301</v>
      </c>
      <c r="C44" s="437">
        <f>((sumifs('Form responses'!$I$2:$I50,'Form responses'!$C$2:$C50,"&gt;="&amp;$M$1,'Form responses'!$C$2:$C50,"&lt;="&amp;$P$1,'Form responses'!$D$2:$D50,$B44)
+sumifs('Form responses'!$J$2:$J50,'Form responses'!$C$2:$C50,"&gt;="&amp;$M$1,'Form responses'!$C$2:$C50,"&lt;="&amp;$P$1,'Form responses'!$D$2:$D50,$B44)
+sumifs('Form responses'!$K$2:$K50,'Form responses'!$C$2:$C50,"&gt;="&amp;$M$1,'Form responses'!$C$2:$C50,"&lt;="&amp;$P$1,'Form responses'!$D$2:$D50,$B44)
)*Sum!$B$35)</f>
        <v>0</v>
      </c>
      <c r="D44" s="438">
        <f>((sumifs('Form responses'!$L$2:$L50,'Form responses'!$C$2:$C50,"&gt;="&amp;$M$1,'Form responses'!$C$2:$C50,"&lt;="&amp;$P$1,'Form responses'!$D$2:$D50,$B44))*Sum!$C$35)</f>
        <v>0</v>
      </c>
      <c r="E44" s="438">
        <f>((
sumifs('Form responses'!$U$2:$U50,'Form responses'!$C$2:$C50,"&gt;="&amp;$M$1,'Form responses'!$C$2:$C50,"&lt;="&amp;$P$1,'Form responses'!$D$2:$D50,$B44)
+
sumifs('Form responses'!$V$2:$V50,'Form responses'!$C$2:$C50,"&gt;="&amp;$M$1,'Form responses'!$C$2:$C50,"&lt;="&amp;$P$1,'Form responses'!$D$2:$D50,$B44)
)*Sum!$E$35
)</f>
        <v>0</v>
      </c>
      <c r="F44" s="438">
        <f>sumifs('Form responses'!$W$2:$W50,'Form responses'!$C$2:$C50,"&gt;="&amp;$M$1,'Form responses'!$C$2:$C50,"&lt;="&amp;$P$1,'Form responses'!$D$2:$D50,$B44)
*Sum!$D$35</f>
        <v>0</v>
      </c>
      <c r="G44" s="439">
        <f>sumifs('Form responses'!$GN$2:$GN50,'Form responses'!$B$2:$B50,"&gt;="&amp;$M$1,'Form responses'!$C$2:$C50,"&lt;="&amp;$P$1,'Form responses'!$D$2:$D50,$B44)*Sum!$V$35+sumifs('Form responses'!$GO$2:$GO50,'Form responses'!$B$2:$B50,"&gt;="&amp;$M$1,'Form responses'!$C$2:$C50,"&lt;="&amp;$P$1,'Form responses'!$D$2:$D50,$B44)*Sum!$W$35+sumifs('Form responses'!$GP$2:$GP50,'Form responses'!$B$2:$B50,"&gt;="&amp;$M$1,'Form responses'!$C$2:$C50,"&lt;="&amp;$P$1,'Form responses'!$D$2:$D50,$B44)*Sum!$X$35+sumifs('Form responses'!$GQ$2:$GQ50,'Form responses'!$B$2:$B50,"&gt;="&amp;$M$1,'Form responses'!$C$2:$C50,"&lt;="&amp;$P$1,'Form responses'!$D$2:$D50,$B44)*Sum!$Y$35</f>
        <v>0</v>
      </c>
      <c r="H44" s="438">
        <f>((
sumifs('Form responses'!$X$2:$X50,'Form responses'!$C$2:$C50,"&gt;="&amp;$M$1,'Form responses'!$C$2:$C50,"&lt;="&amp;$P$1,'Form responses'!$D$2:$D50,$B44)
)*
Sum!$F$35
)+((
sumifs('Form responses'!$Y$2:$Y50,'Form responses'!$C$2:$C50,"&gt;="&amp;$M$1,'Form responses'!$C$2:$C50,"&lt;="&amp;$P$1,'Form responses'!$D$2:$D50,$B44)
)*
Sum!$G$35
)</f>
        <v>0</v>
      </c>
      <c r="I44" s="438">
        <f>((
sumifs('Form responses'!$Z$2:$Z50,'Form responses'!$C$2:$C50,"&gt;="&amp;$M$1,'Form responses'!$C$2:$C50,"&lt;="&amp;$P$1,'Form responses'!$D$2:$D50,$B44)
)*Sum!$H$35)+((
sumifs('Form responses'!$AA$2:$AA50,'Form responses'!$C$2:$C50,"&gt;="&amp;$M$1,'Form responses'!$C$2:$C50,"&lt;="&amp;$P$1,'Form responses'!$D$2:$D50,$B44)
)*Sum!$I$35)+((
sumifs('Form responses'!$AB$2:$AB50,'Form responses'!$C$2:$C50,"&gt;="&amp;$M$1,'Form responses'!$C$2:$C50,"&lt;="&amp;$P$1,'Form responses'!$D$2:$D50,$B44)
)*Sum!$Z$35)+((
sumifs('Form responses'!$AC$2:$AC50,'Form responses'!$C$2:$C50,"&gt;="&amp;$M$1,'Form responses'!$C$2:$C50,"&lt;="&amp;$P$1,'Form responses'!$D$2:$D50,$B44)
)*Sum!$AA$35)+((
sumifs('Form responses'!$AD$2:$AD50,'Form responses'!$C$2:$C50,"&gt;="&amp;$M$1,'Form responses'!$C$2:$C50,"&lt;="&amp;$P$1,'Form responses'!$D$2:$D50,$B44)
)*Sum!$AB$35)</f>
        <v>0</v>
      </c>
      <c r="J44" s="438">
        <f t="shared" si="1"/>
        <v>0</v>
      </c>
      <c r="K44" s="438">
        <f>(
sumifs('Form responses'!$BF$2:$BF50,'Form responses'!$C$2:$C50,"&gt;="&amp;$M$1,'Form responses'!$C$2:$C50,"&lt;="&amp;$P$1,'Form responses'!$D$2:$D50,$B44)
+
sumifs('Form responses'!$BH$2:$BH50,'Form responses'!$C$2:$C50,"&gt;="&amp;$M$1,'Form responses'!$C$2:$C50,"&lt;="&amp;$P$1,'Form responses'!$D$2:$D50,$B44)
+
sumifs('Form responses'!$BJ$2:$BJ50,'Form responses'!$C$2:$C50,"&gt;="&amp;$M$1,'Form responses'!$C$2:$C50,"&lt;="&amp;$P$1,'Form responses'!$D$2:$D50,$B44)
+
sumifs('Form responses'!$BL$2:$BL50,'Form responses'!$C$2:$C50,"&gt;="&amp;$M$1,'Form responses'!$C$2:$C50,"&lt;="&amp;$P$1,'Form responses'!$D$2:$D50,$B44)
)*Sum!$Q$35</f>
        <v>0</v>
      </c>
      <c r="L44" s="438">
        <f>(
sumifs('Form responses'!$BN$2:$BN50,'Form responses'!$C$2:$C50,"&gt;="&amp;$M$1,'Form responses'!$C$2:$C50,"&lt;="&amp;$P$1,'Form responses'!$D$2:$D50,$B44)
+
sumifs('Form responses'!$BP$2:$BP50,'Form responses'!$C$2:$C50,"&gt;="&amp;$M$1,'Form responses'!$C$2:$C50,"&lt;="&amp;$P$1,'Form responses'!$D$2:$D50,$B44)
)*Sum!$R$35</f>
        <v>0</v>
      </c>
      <c r="M44" s="438">
        <f>(sumifs('Form responses'!$BR$2:$BR50,'Form responses'!$C$2:$C50,"&gt;="&amp;$M$1,'Form responses'!$C$2:$C50,"&lt;="&amp;$P$1,'Form responses'!$D$2:$D50,$B44)+sumifs('Form responses'!$BT$2:$BT50,'Form responses'!$C$2:$C50,"&gt;="&amp;$M$1,'Form responses'!$C$2:$C50,"&lt;="&amp;$P$1,'Form responses'!$D$2:$D50,$B44)+sumifs('Form responses'!$BV$2:$BV50,'Form responses'!$C$2:$C50,"&gt;="&amp;$M$1,'Form responses'!$C$2:$C50,"&lt;="&amp;$P$1,'Form responses'!$D$2:$D50,$B44)+sumifs('Form responses'!$BX$2:$BX50,'Form responses'!$C$2:$C50,"&gt;="&amp;$M$1,'Form responses'!$C$2:$C50,"&lt;="&amp;$P$1,'Form responses'!$D$2:$D50,$B44))*Sum!$S$35</f>
        <v>0</v>
      </c>
      <c r="N44" s="438"/>
      <c r="O44" s="438">
        <f t="shared" si="2"/>
        <v>0</v>
      </c>
      <c r="P44" s="438">
        <f>((sumifs('Form responses'!$BZ$2:$BZ50,'Form responses'!$C$2:$C50,"&gt;="&amp;$M$1,'Form responses'!$C$2:$C50,"&lt;="&amp;$P$1,'Form responses'!$D$2:$D50,$B44)+
sumifs('Form responses'!$CB$2:$CB50,'Form responses'!$C$2:$C50,"&gt;="&amp;$M$1,'Form responses'!$C$2:$C50,"&lt;="&amp;$P$1,'Form responses'!$D$2:$D50,$B44))*Sum!$U$35)</f>
        <v>0</v>
      </c>
      <c r="Q44" s="438">
        <f>(sumifs('Form responses'!$CD$2:$CD50,'Form responses'!$C$2:$C50,"&gt;="&amp;$M$1,'Form responses'!$C$2:$C50,"&lt;="&amp;$P$1,'Form responses'!$D$2:$D50,$B44)+sumifs('Form responses'!$CF$2:$CF50,'Form responses'!$C$2:$C50,"&gt;="&amp;$M$1,'Form responses'!$C$2:$C50,"&lt;="&amp;$P$1,'Form responses'!$D$2:$D50,$B44))*Sum!$S$35</f>
        <v>0</v>
      </c>
      <c r="R44" s="438">
        <f t="shared" si="3"/>
        <v>0</v>
      </c>
      <c r="S44" s="440">
        <f t="shared" si="4"/>
        <v>0</v>
      </c>
      <c r="T44" s="450">
        <f t="shared" si="6"/>
        <v>0</v>
      </c>
    </row>
    <row r="45" ht="27.75" customHeight="1">
      <c r="A45" s="443">
        <v>43.0</v>
      </c>
      <c r="B45" s="436" t="s">
        <v>303</v>
      </c>
      <c r="C45" s="437">
        <f>((sumifs('Form responses'!$I$2:$I50,'Form responses'!$C$2:$C50,"&gt;="&amp;$M$1,'Form responses'!$C$2:$C50,"&lt;="&amp;$P$1,'Form responses'!$D$2:$D50,$B45)
+sumifs('Form responses'!$J$2:$J50,'Form responses'!$C$2:$C50,"&gt;="&amp;$M$1,'Form responses'!$C$2:$C50,"&lt;="&amp;$P$1,'Form responses'!$D$2:$D50,$B45)
+sumifs('Form responses'!$K$2:$K50,'Form responses'!$C$2:$C50,"&gt;="&amp;$M$1,'Form responses'!$C$2:$C50,"&lt;="&amp;$P$1,'Form responses'!$D$2:$D50,$B45)
)*Sum!$B$35)</f>
        <v>0</v>
      </c>
      <c r="D45" s="438">
        <f>((sumifs('Form responses'!$L$2:$L50,'Form responses'!$C$2:$C50,"&gt;="&amp;$M$1,'Form responses'!$C$2:$C50,"&lt;="&amp;$P$1,'Form responses'!$D$2:$D50,$B45))*Sum!$C$35)</f>
        <v>0</v>
      </c>
      <c r="E45" s="438">
        <f>((
sumifs('Form responses'!$U$2:$U50,'Form responses'!$C$2:$C50,"&gt;="&amp;$M$1,'Form responses'!$C$2:$C50,"&lt;="&amp;$P$1,'Form responses'!$D$2:$D50,$B45)
+
sumifs('Form responses'!$V$2:$V50,'Form responses'!$C$2:$C50,"&gt;="&amp;$M$1,'Form responses'!$C$2:$C50,"&lt;="&amp;$P$1,'Form responses'!$D$2:$D50,$B45)
)*Sum!$E$35
)</f>
        <v>0</v>
      </c>
      <c r="F45" s="438">
        <f>sumifs('Form responses'!$W$2:$W50,'Form responses'!$C$2:$C50,"&gt;="&amp;$M$1,'Form responses'!$C$2:$C50,"&lt;="&amp;$P$1,'Form responses'!$D$2:$D50,$B45)
*Sum!$D$35</f>
        <v>0</v>
      </c>
      <c r="G45" s="439">
        <f>sumifs('Form responses'!$GN$2:$GN50,'Form responses'!$B$2:$B50,"&gt;="&amp;$M$1,'Form responses'!$C$2:$C50,"&lt;="&amp;$P$1,'Form responses'!$D$2:$D50,$B45)*Sum!$V$35+sumifs('Form responses'!$GO$2:$GO50,'Form responses'!$B$2:$B50,"&gt;="&amp;$M$1,'Form responses'!$C$2:$C50,"&lt;="&amp;$P$1,'Form responses'!$D$2:$D50,$B45)*Sum!$W$35+sumifs('Form responses'!$GP$2:$GP50,'Form responses'!$B$2:$B50,"&gt;="&amp;$M$1,'Form responses'!$C$2:$C50,"&lt;="&amp;$P$1,'Form responses'!$D$2:$D50,$B45)*Sum!$X$35+sumifs('Form responses'!$GQ$2:$GQ50,'Form responses'!$B$2:$B50,"&gt;="&amp;$M$1,'Form responses'!$C$2:$C50,"&lt;="&amp;$P$1,'Form responses'!$D$2:$D50,$B45)*Sum!$Y$35</f>
        <v>0</v>
      </c>
      <c r="H45" s="438">
        <f>((
sumifs('Form responses'!$X$2:$X50,'Form responses'!$C$2:$C50,"&gt;="&amp;$M$1,'Form responses'!$C$2:$C50,"&lt;="&amp;$P$1,'Form responses'!$D$2:$D50,$B45)
)*
Sum!$F$35
)+((
sumifs('Form responses'!$Y$2:$Y50,'Form responses'!$C$2:$C50,"&gt;="&amp;$M$1,'Form responses'!$C$2:$C50,"&lt;="&amp;$P$1,'Form responses'!$D$2:$D50,$B45)
)*
Sum!$G$35
)</f>
        <v>0</v>
      </c>
      <c r="I45" s="438">
        <f>((
sumifs('Form responses'!$Z$2:$Z50,'Form responses'!$C$2:$C50,"&gt;="&amp;$M$1,'Form responses'!$C$2:$C50,"&lt;="&amp;$P$1,'Form responses'!$D$2:$D50,$B45)
)*Sum!$H$35)+((
sumifs('Form responses'!$AA$2:$AA50,'Form responses'!$C$2:$C50,"&gt;="&amp;$M$1,'Form responses'!$C$2:$C50,"&lt;="&amp;$P$1,'Form responses'!$D$2:$D50,$B45)
)*Sum!$I$35)+((
sumifs('Form responses'!$AB$2:$AB50,'Form responses'!$C$2:$C50,"&gt;="&amp;$M$1,'Form responses'!$C$2:$C50,"&lt;="&amp;$P$1,'Form responses'!$D$2:$D50,$B45)
)*Sum!$Z$35)+((
sumifs('Form responses'!$AC$2:$AC50,'Form responses'!$C$2:$C50,"&gt;="&amp;$M$1,'Form responses'!$C$2:$C50,"&lt;="&amp;$P$1,'Form responses'!$D$2:$D50,$B45)
)*Sum!$AA$35)+((
sumifs('Form responses'!$AD$2:$AD50,'Form responses'!$C$2:$C50,"&gt;="&amp;$M$1,'Form responses'!$C$2:$C50,"&lt;="&amp;$P$1,'Form responses'!$D$2:$D50,$B45)
)*Sum!$AB$35)</f>
        <v>0</v>
      </c>
      <c r="J45" s="438">
        <f t="shared" si="1"/>
        <v>0</v>
      </c>
      <c r="K45" s="438">
        <f>(
sumifs('Form responses'!$BF$2:$BF50,'Form responses'!$C$2:$C50,"&gt;="&amp;$M$1,'Form responses'!$C$2:$C50,"&lt;="&amp;$P$1,'Form responses'!$D$2:$D50,$B45)
+
sumifs('Form responses'!$BH$2:$BH50,'Form responses'!$C$2:$C50,"&gt;="&amp;$M$1,'Form responses'!$C$2:$C50,"&lt;="&amp;$P$1,'Form responses'!$D$2:$D50,$B45)
+
sumifs('Form responses'!$BJ$2:$BJ50,'Form responses'!$C$2:$C50,"&gt;="&amp;$M$1,'Form responses'!$C$2:$C50,"&lt;="&amp;$P$1,'Form responses'!$D$2:$D50,$B45)
+
sumifs('Form responses'!$BL$2:$BL50,'Form responses'!$C$2:$C50,"&gt;="&amp;$M$1,'Form responses'!$C$2:$C50,"&lt;="&amp;$P$1,'Form responses'!$D$2:$D50,$B45)
)*Sum!$Q$35</f>
        <v>0</v>
      </c>
      <c r="L45" s="438">
        <f>(
sumifs('Form responses'!$BN$2:$BN50,'Form responses'!$C$2:$C50,"&gt;="&amp;$M$1,'Form responses'!$C$2:$C50,"&lt;="&amp;$P$1,'Form responses'!$D$2:$D50,$B45)
+
sumifs('Form responses'!$BP$2:$BP50,'Form responses'!$C$2:$C50,"&gt;="&amp;$M$1,'Form responses'!$C$2:$C50,"&lt;="&amp;$P$1,'Form responses'!$D$2:$D50,$B45)
)*Sum!$R$35</f>
        <v>0</v>
      </c>
      <c r="M45" s="438">
        <f>(sumifs('Form responses'!$BR$2:$BR50,'Form responses'!$C$2:$C50,"&gt;="&amp;$M$1,'Form responses'!$C$2:$C50,"&lt;="&amp;$P$1,'Form responses'!$D$2:$D50,$B45)+sumifs('Form responses'!$BT$2:$BT50,'Form responses'!$C$2:$C50,"&gt;="&amp;$M$1,'Form responses'!$C$2:$C50,"&lt;="&amp;$P$1,'Form responses'!$D$2:$D50,$B45)+sumifs('Form responses'!$BV$2:$BV50,'Form responses'!$C$2:$C50,"&gt;="&amp;$M$1,'Form responses'!$C$2:$C50,"&lt;="&amp;$P$1,'Form responses'!$D$2:$D50,$B45)+sumifs('Form responses'!$BX$2:$BX50,'Form responses'!$C$2:$C50,"&gt;="&amp;$M$1,'Form responses'!$C$2:$C50,"&lt;="&amp;$P$1,'Form responses'!$D$2:$D50,$B45))*Sum!$S$35</f>
        <v>0</v>
      </c>
      <c r="N45" s="438"/>
      <c r="O45" s="438">
        <f t="shared" si="2"/>
        <v>0</v>
      </c>
      <c r="P45" s="438">
        <f>((sumifs('Form responses'!$BZ$2:$BZ50,'Form responses'!$C$2:$C50,"&gt;="&amp;$M$1,'Form responses'!$C$2:$C50,"&lt;="&amp;$P$1,'Form responses'!$D$2:$D50,$B45)+
sumifs('Form responses'!$CB$2:$CB50,'Form responses'!$C$2:$C50,"&gt;="&amp;$M$1,'Form responses'!$C$2:$C50,"&lt;="&amp;$P$1,'Form responses'!$D$2:$D50,$B45))*Sum!$U$35)</f>
        <v>0</v>
      </c>
      <c r="Q45" s="438">
        <f>(sumifs('Form responses'!$CD$2:$CD50,'Form responses'!$C$2:$C50,"&gt;="&amp;$M$1,'Form responses'!$C$2:$C50,"&lt;="&amp;$P$1,'Form responses'!$D$2:$D50,$B45)+sumifs('Form responses'!$CF$2:$CF50,'Form responses'!$C$2:$C50,"&gt;="&amp;$M$1,'Form responses'!$C$2:$C50,"&lt;="&amp;$P$1,'Form responses'!$D$2:$D50,$B45))*Sum!$S$35</f>
        <v>0</v>
      </c>
      <c r="R45" s="438">
        <f t="shared" si="3"/>
        <v>0</v>
      </c>
      <c r="S45" s="440">
        <f t="shared" si="4"/>
        <v>0</v>
      </c>
      <c r="T45" s="450">
        <f t="shared" si="6"/>
        <v>0</v>
      </c>
    </row>
    <row r="46" ht="27.75" customHeight="1">
      <c r="A46" s="443">
        <v>44.0</v>
      </c>
      <c r="B46" s="436" t="s">
        <v>305</v>
      </c>
      <c r="C46" s="437">
        <f>((sumifs('Form responses'!$I$2:$I50,'Form responses'!$C$2:$C50,"&gt;="&amp;$M$1,'Form responses'!$C$2:$C50,"&lt;="&amp;$P$1,'Form responses'!$D$2:$D50,$B46)
+sumifs('Form responses'!$J$2:$J50,'Form responses'!$C$2:$C50,"&gt;="&amp;$M$1,'Form responses'!$C$2:$C50,"&lt;="&amp;$P$1,'Form responses'!$D$2:$D50,$B46)
+sumifs('Form responses'!$K$2:$K50,'Form responses'!$C$2:$C50,"&gt;="&amp;$M$1,'Form responses'!$C$2:$C50,"&lt;="&amp;$P$1,'Form responses'!$D$2:$D50,$B46)
)*Sum!$B$35)</f>
        <v>0</v>
      </c>
      <c r="D46" s="438">
        <f>((sumifs('Form responses'!$L$2:$L50,'Form responses'!$C$2:$C50,"&gt;="&amp;$M$1,'Form responses'!$C$2:$C50,"&lt;="&amp;$P$1,'Form responses'!$D$2:$D50,$B46))*Sum!$C$35)</f>
        <v>0</v>
      </c>
      <c r="E46" s="438">
        <f>((
sumifs('Form responses'!$U$2:$U50,'Form responses'!$C$2:$C50,"&gt;="&amp;$M$1,'Form responses'!$C$2:$C50,"&lt;="&amp;$P$1,'Form responses'!$D$2:$D50,$B46)
+
sumifs('Form responses'!$V$2:$V50,'Form responses'!$C$2:$C50,"&gt;="&amp;$M$1,'Form responses'!$C$2:$C50,"&lt;="&amp;$P$1,'Form responses'!$D$2:$D50,$B46)
)*Sum!$E$35
)</f>
        <v>0</v>
      </c>
      <c r="F46" s="438">
        <f>sumifs('Form responses'!$W$2:$W50,'Form responses'!$C$2:$C50,"&gt;="&amp;$M$1,'Form responses'!$C$2:$C50,"&lt;="&amp;$P$1,'Form responses'!$D$2:$D50,$B46)
*Sum!$D$35</f>
        <v>0</v>
      </c>
      <c r="G46" s="439">
        <f>sumifs('Form responses'!$GN$2:$GN50,'Form responses'!$B$2:$B50,"&gt;="&amp;$M$1,'Form responses'!$C$2:$C50,"&lt;="&amp;$P$1,'Form responses'!$D$2:$D50,$B46)*Sum!$V$35+sumifs('Form responses'!$GO$2:$GO50,'Form responses'!$B$2:$B50,"&gt;="&amp;$M$1,'Form responses'!$C$2:$C50,"&lt;="&amp;$P$1,'Form responses'!$D$2:$D50,$B46)*Sum!$W$35+sumifs('Form responses'!$GP$2:$GP50,'Form responses'!$B$2:$B50,"&gt;="&amp;$M$1,'Form responses'!$C$2:$C50,"&lt;="&amp;$P$1,'Form responses'!$D$2:$D50,$B46)*Sum!$X$35+sumifs('Form responses'!$GQ$2:$GQ50,'Form responses'!$B$2:$B50,"&gt;="&amp;$M$1,'Form responses'!$C$2:$C50,"&lt;="&amp;$P$1,'Form responses'!$D$2:$D50,$B46)*Sum!$Y$35</f>
        <v>0</v>
      </c>
      <c r="H46" s="438">
        <f>((
sumifs('Form responses'!$X$2:$X50,'Form responses'!$C$2:$C50,"&gt;="&amp;$M$1,'Form responses'!$C$2:$C50,"&lt;="&amp;$P$1,'Form responses'!$D$2:$D50,$B46)
)*
Sum!$F$35
)+((
sumifs('Form responses'!$Y$2:$Y50,'Form responses'!$C$2:$C50,"&gt;="&amp;$M$1,'Form responses'!$C$2:$C50,"&lt;="&amp;$P$1,'Form responses'!$D$2:$D50,$B46)
)*
Sum!$G$35
)</f>
        <v>0</v>
      </c>
      <c r="I46" s="438">
        <f>((
sumifs('Form responses'!$Z$2:$Z50,'Form responses'!$C$2:$C50,"&gt;="&amp;$M$1,'Form responses'!$C$2:$C50,"&lt;="&amp;$P$1,'Form responses'!$D$2:$D50,$B46)
)*Sum!$H$35)+((
sumifs('Form responses'!$AA$2:$AA50,'Form responses'!$C$2:$C50,"&gt;="&amp;$M$1,'Form responses'!$C$2:$C50,"&lt;="&amp;$P$1,'Form responses'!$D$2:$D50,$B46)
)*Sum!$I$35)+((
sumifs('Form responses'!$AB$2:$AB50,'Form responses'!$C$2:$C50,"&gt;="&amp;$M$1,'Form responses'!$C$2:$C50,"&lt;="&amp;$P$1,'Form responses'!$D$2:$D50,$B46)
)*Sum!$Z$35)+((
sumifs('Form responses'!$AC$2:$AC50,'Form responses'!$C$2:$C50,"&gt;="&amp;$M$1,'Form responses'!$C$2:$C50,"&lt;="&amp;$P$1,'Form responses'!$D$2:$D50,$B46)
)*Sum!$AA$35)+((
sumifs('Form responses'!$AD$2:$AD50,'Form responses'!$C$2:$C50,"&gt;="&amp;$M$1,'Form responses'!$C$2:$C50,"&lt;="&amp;$P$1,'Form responses'!$D$2:$D50,$B46)
)*Sum!$AB$35)</f>
        <v>0</v>
      </c>
      <c r="J46" s="438">
        <f t="shared" si="1"/>
        <v>0</v>
      </c>
      <c r="K46" s="438">
        <f>(
sumifs('Form responses'!$BF$2:$BF50,'Form responses'!$C$2:$C50,"&gt;="&amp;$M$1,'Form responses'!$C$2:$C50,"&lt;="&amp;$P$1,'Form responses'!$D$2:$D50,$B46)
+
sumifs('Form responses'!$BH$2:$BH50,'Form responses'!$C$2:$C50,"&gt;="&amp;$M$1,'Form responses'!$C$2:$C50,"&lt;="&amp;$P$1,'Form responses'!$D$2:$D50,$B46)
+
sumifs('Form responses'!$BJ$2:$BJ50,'Form responses'!$C$2:$C50,"&gt;="&amp;$M$1,'Form responses'!$C$2:$C50,"&lt;="&amp;$P$1,'Form responses'!$D$2:$D50,$B46)
+
sumifs('Form responses'!$BL$2:$BL50,'Form responses'!$C$2:$C50,"&gt;="&amp;$M$1,'Form responses'!$C$2:$C50,"&lt;="&amp;$P$1,'Form responses'!$D$2:$D50,$B46)
)*Sum!$Q$35</f>
        <v>0</v>
      </c>
      <c r="L46" s="438">
        <f>(
sumifs('Form responses'!$BN$2:$BN50,'Form responses'!$C$2:$C50,"&gt;="&amp;$M$1,'Form responses'!$C$2:$C50,"&lt;="&amp;$P$1,'Form responses'!$D$2:$D50,$B46)
+
sumifs('Form responses'!$BP$2:$BP50,'Form responses'!$C$2:$C50,"&gt;="&amp;$M$1,'Form responses'!$C$2:$C50,"&lt;="&amp;$P$1,'Form responses'!$D$2:$D50,$B46)
)*Sum!$R$35</f>
        <v>0</v>
      </c>
      <c r="M46" s="438">
        <f>(sumifs('Form responses'!$BR$2:$BR50,'Form responses'!$C$2:$C50,"&gt;="&amp;$M$1,'Form responses'!$C$2:$C50,"&lt;="&amp;$P$1,'Form responses'!$D$2:$D50,$B46)+sumifs('Form responses'!$BT$2:$BT50,'Form responses'!$C$2:$C50,"&gt;="&amp;$M$1,'Form responses'!$C$2:$C50,"&lt;="&amp;$P$1,'Form responses'!$D$2:$D50,$B46)+sumifs('Form responses'!$BV$2:$BV50,'Form responses'!$C$2:$C50,"&gt;="&amp;$M$1,'Form responses'!$C$2:$C50,"&lt;="&amp;$P$1,'Form responses'!$D$2:$D50,$B46)+sumifs('Form responses'!$BX$2:$BX50,'Form responses'!$C$2:$C50,"&gt;="&amp;$M$1,'Form responses'!$C$2:$C50,"&lt;="&amp;$P$1,'Form responses'!$D$2:$D50,$B46))*Sum!$S$35</f>
        <v>0</v>
      </c>
      <c r="N46" s="438"/>
      <c r="O46" s="438">
        <f t="shared" si="2"/>
        <v>0</v>
      </c>
      <c r="P46" s="438">
        <f>((sumifs('Form responses'!$BZ$2:$BZ50,'Form responses'!$C$2:$C50,"&gt;="&amp;$M$1,'Form responses'!$C$2:$C50,"&lt;="&amp;$P$1,'Form responses'!$D$2:$D50,$B46)+
sumifs('Form responses'!$CB$2:$CB50,'Form responses'!$C$2:$C50,"&gt;="&amp;$M$1,'Form responses'!$C$2:$C50,"&lt;="&amp;$P$1,'Form responses'!$D$2:$D50,$B46))*Sum!$U$35)</f>
        <v>0</v>
      </c>
      <c r="Q46" s="438">
        <f>(sumifs('Form responses'!$CD$2:$CD50,'Form responses'!$C$2:$C50,"&gt;="&amp;$M$1,'Form responses'!$C$2:$C50,"&lt;="&amp;$P$1,'Form responses'!$D$2:$D50,$B46)+sumifs('Form responses'!$CF$2:$CF50,'Form responses'!$C$2:$C50,"&gt;="&amp;$M$1,'Form responses'!$C$2:$C50,"&lt;="&amp;$P$1,'Form responses'!$D$2:$D50,$B46))*Sum!$S$35</f>
        <v>0</v>
      </c>
      <c r="R46" s="438">
        <f t="shared" si="3"/>
        <v>0</v>
      </c>
      <c r="S46" s="440">
        <f t="shared" si="4"/>
        <v>0</v>
      </c>
      <c r="T46" s="450">
        <f t="shared" si="6"/>
        <v>0</v>
      </c>
    </row>
    <row r="47" ht="27.75" customHeight="1">
      <c r="A47" s="435">
        <v>45.0</v>
      </c>
      <c r="B47" s="436" t="s">
        <v>307</v>
      </c>
      <c r="C47" s="437">
        <f>((sumifs('Form responses'!$I$2:$I50,'Form responses'!$C$2:$C50,"&gt;="&amp;$M$1,'Form responses'!$C$2:$C50,"&lt;="&amp;$P$1,'Form responses'!$D$2:$D50,$B47)
+sumifs('Form responses'!$J$2:$J50,'Form responses'!$C$2:$C50,"&gt;="&amp;$M$1,'Form responses'!$C$2:$C50,"&lt;="&amp;$P$1,'Form responses'!$D$2:$D50,$B47)
+sumifs('Form responses'!$K$2:$K50,'Form responses'!$C$2:$C50,"&gt;="&amp;$M$1,'Form responses'!$C$2:$C50,"&lt;="&amp;$P$1,'Form responses'!$D$2:$D50,$B47)
)*Sum!$B$35)</f>
        <v>0</v>
      </c>
      <c r="D47" s="438">
        <f>((sumifs('Form responses'!$L$2:$L50,'Form responses'!$C$2:$C50,"&gt;="&amp;$M$1,'Form responses'!$C$2:$C50,"&lt;="&amp;$P$1,'Form responses'!$D$2:$D50,$B47))*Sum!$C$35)</f>
        <v>0</v>
      </c>
      <c r="E47" s="438">
        <f>((
sumifs('Form responses'!$U$2:$U50,'Form responses'!$C$2:$C50,"&gt;="&amp;$M$1,'Form responses'!$C$2:$C50,"&lt;="&amp;$P$1,'Form responses'!$D$2:$D50,$B47)
+
sumifs('Form responses'!$V$2:$V50,'Form responses'!$C$2:$C50,"&gt;="&amp;$M$1,'Form responses'!$C$2:$C50,"&lt;="&amp;$P$1,'Form responses'!$D$2:$D50,$B47)
)*Sum!$E$35
)</f>
        <v>0</v>
      </c>
      <c r="F47" s="438">
        <f>sumifs('Form responses'!$W$2:$W50,'Form responses'!$C$2:$C50,"&gt;="&amp;$M$1,'Form responses'!$C$2:$C50,"&lt;="&amp;$P$1,'Form responses'!$D$2:$D50,$B47)
*Sum!$D$35</f>
        <v>0</v>
      </c>
      <c r="G47" s="439">
        <f>sumifs('Form responses'!$GN$2:$GN50,'Form responses'!$B$2:$B50,"&gt;="&amp;$M$1,'Form responses'!$C$2:$C50,"&lt;="&amp;$P$1,'Form responses'!$D$2:$D50,$B47)*Sum!$V$35+sumifs('Form responses'!$GO$2:$GO50,'Form responses'!$B$2:$B50,"&gt;="&amp;$M$1,'Form responses'!$C$2:$C50,"&lt;="&amp;$P$1,'Form responses'!$D$2:$D50,$B47)*Sum!$W$35+sumifs('Form responses'!$GP$2:$GP50,'Form responses'!$B$2:$B50,"&gt;="&amp;$M$1,'Form responses'!$C$2:$C50,"&lt;="&amp;$P$1,'Form responses'!$D$2:$D50,$B47)*Sum!$X$35+sumifs('Form responses'!$GQ$2:$GQ50,'Form responses'!$B$2:$B50,"&gt;="&amp;$M$1,'Form responses'!$C$2:$C50,"&lt;="&amp;$P$1,'Form responses'!$D$2:$D50,$B47)*Sum!$Y$35</f>
        <v>0</v>
      </c>
      <c r="H47" s="438">
        <f>((
sumifs('Form responses'!$X$2:$X50,'Form responses'!$C$2:$C50,"&gt;="&amp;$M$1,'Form responses'!$C$2:$C50,"&lt;="&amp;$P$1,'Form responses'!$D$2:$D50,$B47)
)*
Sum!$F$35
)+((
sumifs('Form responses'!$Y$2:$Y50,'Form responses'!$C$2:$C50,"&gt;="&amp;$M$1,'Form responses'!$C$2:$C50,"&lt;="&amp;$P$1,'Form responses'!$D$2:$D50,$B47)
)*
Sum!$G$35
)</f>
        <v>0</v>
      </c>
      <c r="I47" s="438">
        <f>((
sumifs('Form responses'!$Z$2:$Z50,'Form responses'!$C$2:$C50,"&gt;="&amp;$M$1,'Form responses'!$C$2:$C50,"&lt;="&amp;$P$1,'Form responses'!$D$2:$D50,$B47)
)*Sum!$H$35)+((
sumifs('Form responses'!$AA$2:$AA50,'Form responses'!$C$2:$C50,"&gt;="&amp;$M$1,'Form responses'!$C$2:$C50,"&lt;="&amp;$P$1,'Form responses'!$D$2:$D50,$B47)
)*Sum!$I$35)+((
sumifs('Form responses'!$AB$2:$AB50,'Form responses'!$C$2:$C50,"&gt;="&amp;$M$1,'Form responses'!$C$2:$C50,"&lt;="&amp;$P$1,'Form responses'!$D$2:$D50,$B47)
)*Sum!$Z$35)+((
sumifs('Form responses'!$AC$2:$AC50,'Form responses'!$C$2:$C50,"&gt;="&amp;$M$1,'Form responses'!$C$2:$C50,"&lt;="&amp;$P$1,'Form responses'!$D$2:$D50,$B47)
)*Sum!$AA$35)+((
sumifs('Form responses'!$AD$2:$AD50,'Form responses'!$C$2:$C50,"&gt;="&amp;$M$1,'Form responses'!$C$2:$C50,"&lt;="&amp;$P$1,'Form responses'!$D$2:$D50,$B47)
)*Sum!$AB$35)</f>
        <v>0</v>
      </c>
      <c r="J47" s="438">
        <f t="shared" si="1"/>
        <v>0</v>
      </c>
      <c r="K47" s="438">
        <f>(
sumifs('Form responses'!$BF$2:$BF50,'Form responses'!$C$2:$C50,"&gt;="&amp;$M$1,'Form responses'!$C$2:$C50,"&lt;="&amp;$P$1,'Form responses'!$D$2:$D50,$B47)
+
sumifs('Form responses'!$BH$2:$BH50,'Form responses'!$C$2:$C50,"&gt;="&amp;$M$1,'Form responses'!$C$2:$C50,"&lt;="&amp;$P$1,'Form responses'!$D$2:$D50,$B47)
+
sumifs('Form responses'!$BJ$2:$BJ50,'Form responses'!$C$2:$C50,"&gt;="&amp;$M$1,'Form responses'!$C$2:$C50,"&lt;="&amp;$P$1,'Form responses'!$D$2:$D50,$B47)
+
sumifs('Form responses'!$BL$2:$BL50,'Form responses'!$C$2:$C50,"&gt;="&amp;$M$1,'Form responses'!$C$2:$C50,"&lt;="&amp;$P$1,'Form responses'!$D$2:$D50,$B47)
)*Sum!$Q$35</f>
        <v>0</v>
      </c>
      <c r="L47" s="438">
        <f>(
sumifs('Form responses'!$BN$2:$BN50,'Form responses'!$C$2:$C50,"&gt;="&amp;$M$1,'Form responses'!$C$2:$C50,"&lt;="&amp;$P$1,'Form responses'!$D$2:$D50,$B47)
+
sumifs('Form responses'!$BP$2:$BP50,'Form responses'!$C$2:$C50,"&gt;="&amp;$M$1,'Form responses'!$C$2:$C50,"&lt;="&amp;$P$1,'Form responses'!$D$2:$D50,$B47)
)*Sum!$R$35</f>
        <v>0</v>
      </c>
      <c r="M47" s="438">
        <f>(sumifs('Form responses'!$BR$2:$BR50,'Form responses'!$C$2:$C50,"&gt;="&amp;$M$1,'Form responses'!$C$2:$C50,"&lt;="&amp;$P$1,'Form responses'!$D$2:$D50,$B47)+sumifs('Form responses'!$BT$2:$BT50,'Form responses'!$C$2:$C50,"&gt;="&amp;$M$1,'Form responses'!$C$2:$C50,"&lt;="&amp;$P$1,'Form responses'!$D$2:$D50,$B47)+sumifs('Form responses'!$BV$2:$BV50,'Form responses'!$C$2:$C50,"&gt;="&amp;$M$1,'Form responses'!$C$2:$C50,"&lt;="&amp;$P$1,'Form responses'!$D$2:$D50,$B47)+sumifs('Form responses'!$BX$2:$BX50,'Form responses'!$C$2:$C50,"&gt;="&amp;$M$1,'Form responses'!$C$2:$C50,"&lt;="&amp;$P$1,'Form responses'!$D$2:$D50,$B47))*Sum!$S$35</f>
        <v>0</v>
      </c>
      <c r="N47" s="438"/>
      <c r="O47" s="438">
        <f t="shared" si="2"/>
        <v>0</v>
      </c>
      <c r="P47" s="438">
        <f>((sumifs('Form responses'!$BZ$2:$BZ50,'Form responses'!$C$2:$C50,"&gt;="&amp;$M$1,'Form responses'!$C$2:$C50,"&lt;="&amp;$P$1,'Form responses'!$D$2:$D50,$B47)+
sumifs('Form responses'!$CB$2:$CB50,'Form responses'!$C$2:$C50,"&gt;="&amp;$M$1,'Form responses'!$C$2:$C50,"&lt;="&amp;$P$1,'Form responses'!$D$2:$D50,$B47))*Sum!$U$35)</f>
        <v>0</v>
      </c>
      <c r="Q47" s="438">
        <f>(sumifs('Form responses'!$CD$2:$CD50,'Form responses'!$C$2:$C50,"&gt;="&amp;$M$1,'Form responses'!$C$2:$C50,"&lt;="&amp;$P$1,'Form responses'!$D$2:$D50,$B47)+sumifs('Form responses'!$CF$2:$CF50,'Form responses'!$C$2:$C50,"&gt;="&amp;$M$1,'Form responses'!$C$2:$C50,"&lt;="&amp;$P$1,'Form responses'!$D$2:$D50,$B47))*Sum!$S$35</f>
        <v>0</v>
      </c>
      <c r="R47" s="438">
        <f t="shared" si="3"/>
        <v>0</v>
      </c>
      <c r="S47" s="440">
        <f t="shared" si="4"/>
        <v>0</v>
      </c>
      <c r="T47" s="450">
        <f t="shared" si="6"/>
        <v>0</v>
      </c>
    </row>
    <row r="48" ht="27.75" customHeight="1">
      <c r="A48" s="443" t="s">
        <v>809</v>
      </c>
      <c r="B48" s="436"/>
      <c r="C48" s="437">
        <f>((sumifs('Form responses'!$I$2:$I50,'Form responses'!$C$2:$C50,"&gt;="&amp;$M$1,'Form responses'!$C$2:$C50,"&lt;="&amp;$P$1,'Form responses'!$D$2:$D50,$B48)
+sumifs('Form responses'!$J$2:$J50,'Form responses'!$C$2:$C50,"&gt;="&amp;$M$1,'Form responses'!$C$2:$C50,"&lt;="&amp;$P$1,'Form responses'!$D$2:$D50,$B48)
+sumifs('Form responses'!$K$2:$K50,'Form responses'!$C$2:$C50,"&gt;="&amp;$M$1,'Form responses'!$C$2:$C50,"&lt;="&amp;$P$1,'Form responses'!$D$2:$D50,$B48)
)*Sum!$B$35)</f>
        <v>0</v>
      </c>
      <c r="D48" s="438">
        <f>((sumifs('Form responses'!$L$2:$L50,'Form responses'!$C$2:$C50,"&gt;="&amp;$M$1,'Form responses'!$C$2:$C50,"&lt;="&amp;$P$1,'Form responses'!$D$2:$D50,$B48))*Sum!$C$35)</f>
        <v>0</v>
      </c>
      <c r="E48" s="438">
        <f>((
sumifs('Form responses'!$U$2:$U50,'Form responses'!$C$2:$C50,"&gt;="&amp;$M$1,'Form responses'!$C$2:$C50,"&lt;="&amp;$P$1,'Form responses'!$D$2:$D50,$B48)
+
sumifs('Form responses'!$V$2:$V50,'Form responses'!$C$2:$C50,"&gt;="&amp;$M$1,'Form responses'!$C$2:$C50,"&lt;="&amp;$P$1,'Form responses'!$D$2:$D50,$B48)
)*Sum!$E$35
)</f>
        <v>0</v>
      </c>
      <c r="F48" s="438">
        <f>sumifs('Form responses'!$W$2:$W50,'Form responses'!$C$2:$C50,"&gt;="&amp;$M$1,'Form responses'!$C$2:$C50,"&lt;="&amp;$P$1,'Form responses'!$D$2:$D50,$B48)
*Sum!$D$35</f>
        <v>0</v>
      </c>
      <c r="G48" s="439">
        <f>sumifs('Form responses'!$GN$2:$GN50,'Form responses'!$B$2:$B50,"&gt;="&amp;$M$1,'Form responses'!$C$2:$C50,"&lt;="&amp;$P$1,'Form responses'!$D$2:$D50,$B48)*Sum!$V$35+sumifs('Form responses'!$GO$2:$GO50,'Form responses'!$B$2:$B50,"&gt;="&amp;$M$1,'Form responses'!$C$2:$C50,"&lt;="&amp;$P$1,'Form responses'!$D$2:$D50,$B48)*Sum!$W$35+sumifs('Form responses'!$GP$2:$GP50,'Form responses'!$B$2:$B50,"&gt;="&amp;$M$1,'Form responses'!$C$2:$C50,"&lt;="&amp;$P$1,'Form responses'!$D$2:$D50,$B48)*Sum!$X$35+sumifs('Form responses'!$GQ$2:$GQ50,'Form responses'!$B$2:$B50,"&gt;="&amp;$M$1,'Form responses'!$C$2:$C50,"&lt;="&amp;$P$1,'Form responses'!$D$2:$D50,$B48)*Sum!$Y$35</f>
        <v>0</v>
      </c>
      <c r="H48" s="438">
        <f>((
sumifs('Form responses'!$X$2:$X50,'Form responses'!$C$2:$C50,"&gt;="&amp;$M$1,'Form responses'!$C$2:$C50,"&lt;="&amp;$P$1,'Form responses'!$D$2:$D50,$B48)
)*
Sum!$F$35
)+((
sumifs('Form responses'!$Y$2:$Y50,'Form responses'!$C$2:$C50,"&gt;="&amp;$M$1,'Form responses'!$C$2:$C50,"&lt;="&amp;$P$1,'Form responses'!$D$2:$D50,$B48)
)*
Sum!$G$35
)</f>
        <v>0</v>
      </c>
      <c r="I48" s="438">
        <f>((
sumifs('Form responses'!$Z$2:$Z50,'Form responses'!$C$2:$C50,"&gt;="&amp;$M$1,'Form responses'!$C$2:$C50,"&lt;="&amp;$P$1,'Form responses'!$D$2:$D50,$B48)
)*Sum!$H$35)+((
sumifs('Form responses'!$AA$2:$AA50,'Form responses'!$C$2:$C50,"&gt;="&amp;$M$1,'Form responses'!$C$2:$C50,"&lt;="&amp;$P$1,'Form responses'!$D$2:$D50,$B48)
)*Sum!$I$35)+((
sumifs('Form responses'!$AB$2:$AB50,'Form responses'!$C$2:$C50,"&gt;="&amp;$M$1,'Form responses'!$C$2:$C50,"&lt;="&amp;$P$1,'Form responses'!$D$2:$D50,$B48)
)*Sum!$Z$35)+((
sumifs('Form responses'!$AC$2:$AC50,'Form responses'!$C$2:$C50,"&gt;="&amp;$M$1,'Form responses'!$C$2:$C50,"&lt;="&amp;$P$1,'Form responses'!$D$2:$D50,$B48)
)*Sum!$AA$35)+((
sumifs('Form responses'!$AD$2:$AD50,'Form responses'!$C$2:$C50,"&gt;="&amp;$M$1,'Form responses'!$C$2:$C50,"&lt;="&amp;$P$1,'Form responses'!$D$2:$D50,$B48)
)*Sum!$AB$35)</f>
        <v>0</v>
      </c>
      <c r="J48" s="438">
        <f t="shared" si="1"/>
        <v>0</v>
      </c>
      <c r="K48" s="438">
        <f>(
sumifs('Form responses'!$BF$2:$BF50,'Form responses'!$C$2:$C50,"&gt;="&amp;$M$1,'Form responses'!$C$2:$C50,"&lt;="&amp;$P$1,'Form responses'!$D$2:$D50,$B48)
+
sumifs('Form responses'!$BH$2:$BH50,'Form responses'!$C$2:$C50,"&gt;="&amp;$M$1,'Form responses'!$C$2:$C50,"&lt;="&amp;$P$1,'Form responses'!$D$2:$D50,$B48)
+
sumifs('Form responses'!$BJ$2:$BJ50,'Form responses'!$C$2:$C50,"&gt;="&amp;$M$1,'Form responses'!$C$2:$C50,"&lt;="&amp;$P$1,'Form responses'!$D$2:$D50,$B48)
+
sumifs('Form responses'!$BL$2:$BL50,'Form responses'!$C$2:$C50,"&gt;="&amp;$M$1,'Form responses'!$C$2:$C50,"&lt;="&amp;$P$1,'Form responses'!$D$2:$D50,$B48)
)*Sum!$Q$35</f>
        <v>0</v>
      </c>
      <c r="L48" s="438">
        <f>(
sumifs('Form responses'!$BN$2:$BN50,'Form responses'!$C$2:$C50,"&gt;="&amp;$M$1,'Form responses'!$C$2:$C50,"&lt;="&amp;$P$1,'Form responses'!$D$2:$D50,$B48)
+
sumifs('Form responses'!$BP$2:$BP50,'Form responses'!$C$2:$C50,"&gt;="&amp;$M$1,'Form responses'!$C$2:$C50,"&lt;="&amp;$P$1,'Form responses'!$D$2:$D50,$B48)
)*Sum!$R$35</f>
        <v>0</v>
      </c>
      <c r="M48" s="438">
        <f>(sumifs('Form responses'!$BR$2:$BR50,'Form responses'!$C$2:$C50,"&gt;="&amp;$M$1,'Form responses'!$C$2:$C50,"&lt;="&amp;$P$1,'Form responses'!$D$2:$D50,$B48)+sumifs('Form responses'!$BT$2:$BT50,'Form responses'!$C$2:$C50,"&gt;="&amp;$M$1,'Form responses'!$C$2:$C50,"&lt;="&amp;$P$1,'Form responses'!$D$2:$D50,$B48)+sumifs('Form responses'!$BV$2:$BV50,'Form responses'!$C$2:$C50,"&gt;="&amp;$M$1,'Form responses'!$C$2:$C50,"&lt;="&amp;$P$1,'Form responses'!$D$2:$D50,$B48)+sumifs('Form responses'!$BX$2:$BX50,'Form responses'!$C$2:$C50,"&gt;="&amp;$M$1,'Form responses'!$C$2:$C50,"&lt;="&amp;$P$1,'Form responses'!$D$2:$D50,$B48))*Sum!$S$35</f>
        <v>0</v>
      </c>
      <c r="N48" s="438"/>
      <c r="O48" s="438">
        <f t="shared" si="2"/>
        <v>0</v>
      </c>
      <c r="P48" s="438">
        <f>((sumifs('Form responses'!$BZ$2:$BZ50,'Form responses'!$C$2:$C50,"&gt;="&amp;$M$1,'Form responses'!$C$2:$C50,"&lt;="&amp;$P$1,'Form responses'!$D$2:$D50,$B48)+
sumifs('Form responses'!$CB$2:$CB50,'Form responses'!$C$2:$C50,"&gt;="&amp;$M$1,'Form responses'!$C$2:$C50,"&lt;="&amp;$P$1,'Form responses'!$D$2:$D50,$B48))*Sum!$U$35)</f>
        <v>0</v>
      </c>
      <c r="Q48" s="438">
        <f>(sumifs('Form responses'!$CD$2:$CD50,'Form responses'!$C$2:$C50,"&gt;="&amp;$M$1,'Form responses'!$C$2:$C50,"&lt;="&amp;$P$1,'Form responses'!$D$2:$D50,$B48)+sumifs('Form responses'!$CF$2:$CF50,'Form responses'!$C$2:$C50,"&gt;="&amp;$M$1,'Form responses'!$C$2:$C50,"&lt;="&amp;$P$1,'Form responses'!$D$2:$D50,$B48))*Sum!$S$35</f>
        <v>0</v>
      </c>
      <c r="R48" s="438">
        <f t="shared" si="3"/>
        <v>0</v>
      </c>
      <c r="S48" s="440">
        <f t="shared" si="4"/>
        <v>0</v>
      </c>
      <c r="T48" s="450">
        <f t="shared" si="6"/>
        <v>0</v>
      </c>
    </row>
    <row r="49" ht="27.75" customHeight="1">
      <c r="A49" s="451">
        <v>47.0</v>
      </c>
      <c r="B49" s="452" t="s">
        <v>710</v>
      </c>
      <c r="C49" s="453">
        <f t="shared" ref="C49:S49" si="7">SUM(C3:C48)</f>
        <v>19540</v>
      </c>
      <c r="D49" s="453">
        <f t="shared" si="7"/>
        <v>1600</v>
      </c>
      <c r="E49" s="453">
        <f t="shared" si="7"/>
        <v>0</v>
      </c>
      <c r="F49" s="453">
        <f t="shared" si="7"/>
        <v>0</v>
      </c>
      <c r="G49" s="453">
        <f t="shared" si="7"/>
        <v>200</v>
      </c>
      <c r="H49" s="453">
        <f t="shared" si="7"/>
        <v>3400</v>
      </c>
      <c r="I49" s="453">
        <f t="shared" si="7"/>
        <v>100</v>
      </c>
      <c r="J49" s="453">
        <f t="shared" si="7"/>
        <v>24840</v>
      </c>
      <c r="K49" s="453">
        <f t="shared" si="7"/>
        <v>15525</v>
      </c>
      <c r="L49" s="453">
        <f t="shared" si="7"/>
        <v>6160</v>
      </c>
      <c r="M49" s="453">
        <f t="shared" si="7"/>
        <v>0</v>
      </c>
      <c r="N49" s="453">
        <f t="shared" si="7"/>
        <v>0</v>
      </c>
      <c r="O49" s="453">
        <f t="shared" si="7"/>
        <v>21685</v>
      </c>
      <c r="P49" s="453">
        <f t="shared" si="7"/>
        <v>15900</v>
      </c>
      <c r="Q49" s="453">
        <f t="shared" si="7"/>
        <v>0</v>
      </c>
      <c r="R49" s="453">
        <f t="shared" si="7"/>
        <v>37585</v>
      </c>
      <c r="S49" s="453">
        <f t="shared" si="7"/>
        <v>62425</v>
      </c>
      <c r="T49" s="454">
        <f t="shared" si="6"/>
        <v>62425</v>
      </c>
    </row>
    <row r="50" ht="15.0" customHeight="1">
      <c r="A50" s="455" t="s">
        <v>809</v>
      </c>
      <c r="B50" s="456"/>
      <c r="C50" s="457"/>
      <c r="D50" s="457"/>
      <c r="E50" s="457"/>
      <c r="F50" s="457"/>
      <c r="G50" s="457"/>
      <c r="H50" s="457"/>
      <c r="I50" s="457"/>
      <c r="J50" s="457"/>
      <c r="K50" s="457"/>
      <c r="L50" s="457"/>
      <c r="M50" s="457"/>
      <c r="N50" s="457"/>
      <c r="O50" s="457"/>
      <c r="P50" s="457"/>
      <c r="Q50" s="457"/>
      <c r="R50" s="457"/>
      <c r="S50" s="457"/>
      <c r="T50" s="458"/>
    </row>
  </sheetData>
  <mergeCells count="12">
    <mergeCell ref="T22:T23"/>
    <mergeCell ref="T25:T29"/>
    <mergeCell ref="T30:T31"/>
    <mergeCell ref="T34:T35"/>
    <mergeCell ref="T36:T37"/>
    <mergeCell ref="C1:K1"/>
    <mergeCell ref="M1:N1"/>
    <mergeCell ref="P1:Q1"/>
    <mergeCell ref="T3:T8"/>
    <mergeCell ref="T9:T13"/>
    <mergeCell ref="T14:T16"/>
    <mergeCell ref="T17:T21"/>
  </mergeCells>
  <dataValidations>
    <dataValidation type="custom" allowBlank="1" showDropDown="1" showInputMessage="1" showErrorMessage="1" prompt="Enter a valid date" sqref="P1">
      <formula1>OR(NOT(ISERROR(DATEVALUE(P1))), AND(ISNUMBER(P1), LEFT(CELL("format", P1))="D"))</formula1>
    </dataValidation>
    <dataValidation type="custom" allowBlank="1" showDropDown="1" showInputMessage="1" prompt="Enter a valid date" sqref="M1">
      <formula1>OR(NOT(ISERROR(DATEVALUE(M1))), AND(ISNUMBER(M1), LEFT(CELL("format", M1))="D"))</formula1>
    </dataValidation>
  </dataValidations>
  <printOptions horizontalCentered="1" verticalCentered="1"/>
  <pageMargins bottom="0.75" footer="0.0" header="0.0" left="0.25" right="0.25" top="0.75"/>
  <pageSetup fitToHeight="0" paperSize="5" orientation="landscape"/>
  <headerFooter>
    <oddHeader>&amp;R&amp;A</oddHeader>
    <oddFooter>&amp;R&amp;P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F3F3"/>
    <pageSetUpPr/>
  </sheetPr>
  <sheetViews>
    <sheetView showGridLines="0" workbookViewId="0"/>
  </sheetViews>
  <sheetFormatPr customHeight="1" defaultColWidth="12.63" defaultRowHeight="15.75"/>
  <cols>
    <col customWidth="1" min="1" max="1" width="7.63"/>
    <col customWidth="1" min="2" max="2" width="45.25"/>
    <col customWidth="1" min="3" max="3" width="15.88"/>
    <col customWidth="1" min="4" max="4" width="19.63"/>
  </cols>
  <sheetData>
    <row r="1" ht="26.25" customHeight="1">
      <c r="A1" s="459"/>
      <c r="B1" s="460" t="str">
        <f>"Fees Receipt Of "&amp;Credentials!C2</f>
        <v>Fees Receipt Of Talwandi Sabo</v>
      </c>
      <c r="C1" s="461">
        <f>'Tehsil Reports'!N1</f>
        <v>46113</v>
      </c>
      <c r="D1" s="461">
        <f>'Tehsil Reports'!Q1</f>
        <v>46142</v>
      </c>
    </row>
    <row r="2" ht="26.25" customHeight="1">
      <c r="A2" s="462" t="s">
        <v>810</v>
      </c>
      <c r="B2" s="463"/>
      <c r="C2" s="464" t="s">
        <v>811</v>
      </c>
      <c r="D2" s="464" t="s">
        <v>554</v>
      </c>
    </row>
    <row r="3" ht="25.5" customHeight="1">
      <c r="A3" s="465">
        <v>1.0</v>
      </c>
      <c r="B3" s="466" t="s">
        <v>812</v>
      </c>
      <c r="C3" s="467">
        <f>'Tehsil Reports'!E4</f>
        <v>1954</v>
      </c>
      <c r="D3" s="467">
        <f>C3*10</f>
        <v>19540</v>
      </c>
    </row>
    <row r="4" ht="25.5" customHeight="1">
      <c r="A4" s="465">
        <v>2.0</v>
      </c>
      <c r="B4" s="466" t="s">
        <v>813</v>
      </c>
      <c r="C4" s="467">
        <f>'Tehsil Reports'!F4</f>
        <v>32</v>
      </c>
      <c r="D4" s="467">
        <f>C4*50</f>
        <v>1600</v>
      </c>
    </row>
    <row r="5" ht="25.5" customHeight="1">
      <c r="A5" s="465">
        <v>3.0</v>
      </c>
      <c r="B5" s="466" t="s">
        <v>814</v>
      </c>
      <c r="C5" s="467">
        <f>'Tehsil Reports'!T4</f>
        <v>0</v>
      </c>
      <c r="D5" s="467">
        <f>C5*25</f>
        <v>0</v>
      </c>
    </row>
    <row r="6" ht="25.5" customHeight="1">
      <c r="A6" s="465">
        <v>4.0</v>
      </c>
      <c r="B6" s="466" t="s">
        <v>815</v>
      </c>
      <c r="C6" s="467">
        <f>sum('Tehsil Reports'!R4:S4)</f>
        <v>0</v>
      </c>
      <c r="D6" s="467">
        <f>C6*50</f>
        <v>0</v>
      </c>
    </row>
    <row r="7" ht="25.5" customHeight="1">
      <c r="A7" s="465">
        <v>5.0</v>
      </c>
      <c r="B7" s="466" t="s">
        <v>816</v>
      </c>
      <c r="C7" s="467">
        <f>'Tehsil Reports'!U4</f>
        <v>0</v>
      </c>
      <c r="D7" s="467">
        <f>C7*Sum!F9</f>
        <v>0</v>
      </c>
      <c r="H7" s="87"/>
    </row>
    <row r="8" ht="25.5" customHeight="1">
      <c r="A8" s="465">
        <v>6.0</v>
      </c>
      <c r="B8" s="466" t="s">
        <v>817</v>
      </c>
      <c r="C8" s="467">
        <f>'Tehsil Reports'!V4</f>
        <v>34</v>
      </c>
      <c r="D8" s="467">
        <f>C8*Sum!G9</f>
        <v>3400</v>
      </c>
    </row>
    <row r="9" ht="25.5" customHeight="1">
      <c r="A9" s="465">
        <v>7.0</v>
      </c>
      <c r="B9" s="466" t="s">
        <v>818</v>
      </c>
      <c r="C9" s="467">
        <f>SUM('Tehsil Reports'!X4:AA4)</f>
        <v>1</v>
      </c>
      <c r="D9" s="467">
        <f>'Tehsil Reports'!J57</f>
        <v>100</v>
      </c>
    </row>
    <row r="10" ht="25.5" customHeight="1">
      <c r="A10" s="465">
        <v>8.0</v>
      </c>
      <c r="B10" s="466" t="s">
        <v>819</v>
      </c>
      <c r="C10" s="467"/>
      <c r="D10" s="467">
        <f>'Tehsil Reports'!L53</f>
        <v>200</v>
      </c>
    </row>
    <row r="11" ht="25.5" customHeight="1">
      <c r="A11" s="465"/>
      <c r="B11" s="466" t="s">
        <v>710</v>
      </c>
      <c r="C11" s="467"/>
      <c r="D11" s="467">
        <f>D3+D4+D5+D6+D7+D8+D9+D10</f>
        <v>24840</v>
      </c>
    </row>
    <row r="12" ht="25.5" customHeight="1">
      <c r="A12" s="468"/>
      <c r="B12" s="469" t="s">
        <v>820</v>
      </c>
      <c r="C12" s="259"/>
      <c r="D12" s="315"/>
    </row>
    <row r="13" ht="25.5" customHeight="1">
      <c r="A13" s="468"/>
      <c r="B13" s="470" t="s">
        <v>821</v>
      </c>
      <c r="C13" s="259"/>
      <c r="D13" s="315"/>
    </row>
    <row r="14" ht="25.5" customHeight="1">
      <c r="A14" s="462" t="s">
        <v>822</v>
      </c>
      <c r="B14" s="469"/>
      <c r="C14" s="469"/>
      <c r="D14" s="469"/>
    </row>
    <row r="15" ht="25.5" customHeight="1">
      <c r="A15" s="465">
        <v>1.0</v>
      </c>
      <c r="B15" s="466" t="s">
        <v>823</v>
      </c>
      <c r="C15" s="467" t="str">
        <f>D15/Sum!Q9&amp;"X25"</f>
        <v>621X25</v>
      </c>
      <c r="D15" s="467">
        <f>'Tehsil Reports'!L57</f>
        <v>15525</v>
      </c>
    </row>
    <row r="16" ht="25.5" customHeight="1">
      <c r="A16" s="465">
        <v>2.0</v>
      </c>
      <c r="B16" s="466" t="s">
        <v>824</v>
      </c>
      <c r="C16" s="467" t="str">
        <f>D16/Sum!R9&amp;"X35"</f>
        <v>176X35</v>
      </c>
      <c r="D16" s="467">
        <f>'Tehsil Reports'!M57</f>
        <v>6160</v>
      </c>
    </row>
    <row r="17" ht="25.5" customHeight="1">
      <c r="A17" s="465">
        <v>3.0</v>
      </c>
      <c r="B17" s="466" t="s">
        <v>825</v>
      </c>
      <c r="C17" s="471" t="str">
        <f>D17/Sum!T9&amp;"X25"</f>
        <v>0X25</v>
      </c>
      <c r="D17" s="467" t="str">
        <f>'Tehsil Reports'!O57</f>
        <v/>
      </c>
    </row>
    <row r="18" ht="25.5" customHeight="1">
      <c r="A18" s="465">
        <v>4.0</v>
      </c>
      <c r="B18" s="466" t="s">
        <v>826</v>
      </c>
      <c r="C18" s="467" t="str">
        <f>D18/Sum!S9&amp;"X250"</f>
        <v>0X250</v>
      </c>
      <c r="D18" s="467">
        <f>'Tehsil Reports'!N57</f>
        <v>0</v>
      </c>
    </row>
    <row r="19" ht="25.5" customHeight="1">
      <c r="A19" s="465">
        <v>5.0</v>
      </c>
      <c r="B19" s="472" t="s">
        <v>827</v>
      </c>
      <c r="C19" s="467" t="str">
        <f>D19/Sum!U9&amp;"X25"</f>
        <v>636X25</v>
      </c>
      <c r="D19" s="471">
        <f>'Tehsil Reports'!Q57</f>
        <v>15900</v>
      </c>
    </row>
    <row r="20" ht="25.5" customHeight="1">
      <c r="A20" s="465">
        <v>6.0</v>
      </c>
      <c r="B20" s="472" t="s">
        <v>828</v>
      </c>
      <c r="C20" s="467" t="str">
        <f>D20/Sum!S9&amp;"X250"</f>
        <v>0X250</v>
      </c>
      <c r="D20" s="467">
        <f>'Tehsil Reports'!R57</f>
        <v>0</v>
      </c>
    </row>
    <row r="21" ht="25.5" customHeight="1">
      <c r="A21" s="465"/>
      <c r="B21" s="466" t="s">
        <v>829</v>
      </c>
      <c r="C21" s="473"/>
      <c r="D21" s="467">
        <f>sum(D15:D20)</f>
        <v>37585</v>
      </c>
    </row>
    <row r="22" ht="24.0" customHeight="1">
      <c r="A22" s="468"/>
      <c r="B22" s="469" t="s">
        <v>830</v>
      </c>
      <c r="C22" s="259"/>
      <c r="D22" s="315"/>
    </row>
    <row r="23" ht="15.75" customHeight="1">
      <c r="A23" s="474"/>
      <c r="B23" s="475" t="s">
        <v>831</v>
      </c>
      <c r="C23" s="259"/>
      <c r="D23" s="315"/>
    </row>
    <row r="24" ht="15.75" customHeight="1"/>
  </sheetData>
  <mergeCells count="4">
    <mergeCell ref="B12:D12"/>
    <mergeCell ref="B13:D13"/>
    <mergeCell ref="B22:D22"/>
    <mergeCell ref="B23:D23"/>
  </mergeCells>
  <printOptions verticalCentered="1"/>
  <pageMargins bottom="0.4047133968393812" footer="0.0" header="0.0" left="0.7" right="0.7" top="0.3638352877564125"/>
  <pageSetup paperSize="5" scale="95"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8.75"/>
    <col customWidth="1" min="3" max="3" width="11.88"/>
    <col customWidth="1" min="4" max="4" width="17.5"/>
    <col customWidth="1" hidden="1" min="5" max="5" width="12.25"/>
    <col customWidth="1" hidden="1" min="6" max="6" width="8.75"/>
    <col customWidth="1" hidden="1" min="7" max="7" width="12.13"/>
    <col customWidth="1" hidden="1" min="8" max="8" width="8.75"/>
    <col customWidth="1" min="9" max="9" width="8.75"/>
    <col customWidth="1" hidden="1" min="10" max="11" width="8.75"/>
    <col customWidth="1" min="12" max="12" width="8.75"/>
    <col customWidth="1" hidden="1" min="13" max="14" width="8.75"/>
    <col customWidth="1" min="15" max="15" width="8.75"/>
    <col customWidth="1" hidden="1" min="16" max="17" width="8.75"/>
    <col customWidth="1" min="18" max="18" width="8.75"/>
    <col customWidth="1" hidden="1" min="19" max="20" width="8.75"/>
    <col customWidth="1" min="21" max="21" width="8.75"/>
    <col customWidth="1" hidden="1" min="22" max="23" width="8.75"/>
    <col customWidth="1" min="24" max="24" width="8.75"/>
    <col customWidth="1" hidden="1" min="25" max="26" width="8.75"/>
    <col customWidth="1" min="27" max="27" width="8.75"/>
    <col customWidth="1" hidden="1" min="28" max="29" width="8.75"/>
    <col customWidth="1" min="30" max="43" width="8.75"/>
  </cols>
  <sheetData>
    <row r="1" ht="78.75" customHeight="1">
      <c r="A1" s="476"/>
      <c r="B1" s="477"/>
      <c r="C1" s="478" t="s">
        <v>832</v>
      </c>
      <c r="D1" s="478" t="s">
        <v>310</v>
      </c>
      <c r="E1" s="479" t="s">
        <v>311</v>
      </c>
      <c r="F1" s="479" t="s">
        <v>312</v>
      </c>
      <c r="G1" s="479" t="s">
        <v>313</v>
      </c>
      <c r="H1" s="479" t="s">
        <v>64</v>
      </c>
      <c r="I1" s="480" t="s">
        <v>833</v>
      </c>
      <c r="J1" s="481" t="s">
        <v>337</v>
      </c>
      <c r="K1" s="481" t="s">
        <v>338</v>
      </c>
      <c r="L1" s="480" t="s">
        <v>834</v>
      </c>
      <c r="M1" s="482"/>
      <c r="N1" s="482"/>
      <c r="O1" s="483" t="s">
        <v>835</v>
      </c>
      <c r="P1" s="482"/>
      <c r="Q1" s="484"/>
      <c r="R1" s="483" t="s">
        <v>836</v>
      </c>
      <c r="S1" s="484"/>
      <c r="T1" s="484"/>
      <c r="U1" s="480" t="s">
        <v>837</v>
      </c>
      <c r="V1" s="484"/>
      <c r="W1" s="482"/>
      <c r="X1" s="480" t="s">
        <v>838</v>
      </c>
      <c r="Y1" s="484"/>
      <c r="Z1" s="484"/>
      <c r="AA1" s="480" t="s">
        <v>839</v>
      </c>
      <c r="AB1" s="481" t="s">
        <v>840</v>
      </c>
      <c r="AC1" s="484"/>
      <c r="AD1" s="480" t="s">
        <v>527</v>
      </c>
      <c r="AE1" s="480" t="s">
        <v>841</v>
      </c>
      <c r="AF1" s="480" t="s">
        <v>529</v>
      </c>
      <c r="AG1" s="480" t="s">
        <v>530</v>
      </c>
      <c r="AH1" s="480" t="s">
        <v>531</v>
      </c>
      <c r="AI1" s="480" t="s">
        <v>532</v>
      </c>
      <c r="AJ1" s="485" t="s">
        <v>842</v>
      </c>
      <c r="AK1" s="485" t="s">
        <v>843</v>
      </c>
      <c r="AL1" s="485" t="s">
        <v>844</v>
      </c>
      <c r="AM1" s="485" t="s">
        <v>845</v>
      </c>
      <c r="AN1" s="480" t="s">
        <v>846</v>
      </c>
      <c r="AO1" s="480" t="s">
        <v>847</v>
      </c>
      <c r="AP1" s="486" t="s">
        <v>848</v>
      </c>
      <c r="AQ1" s="486" t="s">
        <v>849</v>
      </c>
    </row>
    <row r="2" hidden="1">
      <c r="A2" s="5"/>
      <c r="B2" s="86"/>
      <c r="C2" s="487">
        <v>46022.0</v>
      </c>
      <c r="D2" s="62" t="str">
        <f t="array" ref="D2:D3">UNIQUE(Credentials!C3:C50)</f>
        <v>#REF!</v>
      </c>
      <c r="E2" s="62"/>
      <c r="F2" s="488"/>
      <c r="G2" s="62" t="s">
        <v>76</v>
      </c>
      <c r="H2" s="62" t="s">
        <v>76</v>
      </c>
      <c r="I2" s="489">
        <f>sumifs('Form responses'!$AE$2:$AE50, 'Form responses'!$C$2:$C50, "&lt;="&amp;$C2, 'Form responses'!$D$2:$D50,$D2)-(sumifs('Form responses'!$AF$2:$AF50, 'Form responses'!$C$2:$C50, "&lt;="&amp;$C2, 'Form responses'!$D$2:$D50,$D2))</f>
        <v>0</v>
      </c>
      <c r="J2" s="490"/>
      <c r="K2" s="490"/>
      <c r="L2" s="489">
        <f>sumifs('Form responses'!$AH$2:$AH50, 'Form responses'!$C$2:$C50, "&lt;="&amp;$C2, 'Form responses'!$D$2:$D50,$D2)-(sumifs('Form responses'!$AI$2:$AI50, 'Form responses'!$C$2:$C50, "&lt;="&amp;$C2, 'Form responses'!$D$2:$D50,$D2))</f>
        <v>0</v>
      </c>
      <c r="M2" s="490"/>
      <c r="N2" s="490"/>
      <c r="O2" s="489">
        <f>sumifs('Form responses'!$AK$2:$AK50, 'Form responses'!$C$2:$C50, "&lt;="&amp;$C2, 'Form responses'!$D$2:$D50,$D2)-(sumifs('Form responses'!$AL$2:$AL50, 'Form responses'!$C$2:$C50, "&lt;="&amp;$C2, 'Form responses'!$D$2:$D50,$D2))</f>
        <v>0</v>
      </c>
      <c r="P2" s="490"/>
      <c r="Q2" s="490"/>
      <c r="R2" s="489">
        <f>sumifs('Form responses'!AN$2:AN50, 'Form responses'!$C$2:$C50, "&lt;="&amp;$C2, 'Form responses'!$D$2:$D50,$D2)-(sumifs('Form responses'!AO$2:AO50, 'Form responses'!$C$2:$C50, "&lt;="&amp;$C2, 'Form responses'!$D$2:$D50,$D2))</f>
        <v>0</v>
      </c>
      <c r="S2" s="490"/>
      <c r="T2" s="490"/>
      <c r="U2" s="489">
        <f>sumifs('Form responses'!AQ$2:AQ50, 'Form responses'!$C$2:$C50, "&lt;="&amp;$C2, 'Form responses'!$D$2:$D50,$D2)-(sumifs('Form responses'!AR$2:AR50, 'Form responses'!$C$2:$C50, "&lt;="&amp;$C2, 'Form responses'!$D$2:$D50,$D2))</f>
        <v>0</v>
      </c>
      <c r="V2" s="490"/>
      <c r="W2" s="490"/>
      <c r="X2" s="489">
        <f>sumifs('Form responses'!AT$2:AT50, 'Form responses'!$C$2:$C50, "&lt;="&amp;$C2, 'Form responses'!$D$2:$D50,$D2)-(sumifs('Form responses'!AU$2:AU50, 'Form responses'!$C$2:$C50, "&lt;="&amp;$C2, 'Form responses'!$D$2:$D50,$D2))</f>
        <v>0</v>
      </c>
      <c r="Y2" s="490"/>
      <c r="Z2" s="490"/>
      <c r="AA2" s="489">
        <f>sumifs('Form responses'!AW$2:AW50, 'Form responses'!$C$2:$C50, "&lt;="&amp;$C2, 'Form responses'!$D$2:$D50,$D2)-(sumifs('Form responses'!AX$2:AX50, 'Form responses'!$C$2:$C50, "&lt;="&amp;$C2, 'Form responses'!$D$2:$D50,$D2))</f>
        <v>0</v>
      </c>
      <c r="AB2" s="489">
        <f>sumifs('Form responses'!AZ$2:AZ50, 'Form responses'!$C$2:$C50, "&lt;="&amp;$C2, 'Form responses'!$D$2:$D50,$D2)-(sumifs('Form responses'!BA$2:BA50, 'Form responses'!$C$2:$C50, "&lt;="&amp;$C2, 'Form responses'!$D$2:$D50,$D2))</f>
        <v>0</v>
      </c>
      <c r="AC2" s="490"/>
      <c r="AD2" s="489">
        <f>sumifs('Form responses'!ER$2:ER50,
'Form responses'!$D$2:$D50,$D2)
-(+sumifs('Form responses'!FH$2:FH50,
'Form responses'!$D$2:$D50,$D2)+sumifs('Form responses'!BF$2:BF50, 'Form responses'!$D$2:$D50, $D2))</f>
        <v>0</v>
      </c>
      <c r="AE2" s="489">
        <f>sumifs('Form responses'!ES$2:ES50,
'Form responses'!$D$2:$D50,$D2)
-(+sumifs('Form responses'!FI$2:FI50,
'Form responses'!$D$2:$D50,$D2)+sumifs('Form responses'!BH$2:BH50, 'Form responses'!$D$2:$D50, $D2))</f>
        <v>0</v>
      </c>
      <c r="AF2" s="489">
        <f>sumifs('Form responses'!ET$2:ET50,
'Form responses'!$D$2:$D50,$D2)
-(+sumifs('Form responses'!FJ$2:FJ50,
'Form responses'!$D$2:$D50,$D2)+sumifs('Form responses'!BJ$2:BJ50,'Form responses'!$D$2:$D50, $D2))</f>
        <v>0</v>
      </c>
      <c r="AG2" s="489">
        <f>sumifs('Form responses'!EU$2:EU50,
'Form responses'!$D$2:$D50,$D2)
-(+sumifs('Form responses'!FK$2:FK50,
'Form responses'!$D$2:$D50,$D2)+sumifs('Form responses'!BL$2:BL50, 'Form responses'!$D$2:$D50, $D2))</f>
        <v>0</v>
      </c>
      <c r="AH2" s="489">
        <f>sumifs('Form responses'!EV$2:EV50,
'Form responses'!$D$2:$D50,$D2)
-(+sumifs('Form responses'!FL$2:FL50,
'Form responses'!$D$2:$D50,$D2)+sumifs('Form responses'!BN$2:BN50,'Form responses'!$D$2:$D50, $D2))</f>
        <v>0</v>
      </c>
      <c r="AI2" s="489">
        <f>sumifs('Form responses'!EW$2:EW50,
'Form responses'!$D$2:$D50,$D2)
-(+sumifs('Form responses'!FM$2:FM50,
'Form responses'!$D$2:$D50,$D2)+sumifs('Form responses'!BP$2:BP50,'Form responses'!$D$2:$D50, $D2))</f>
        <v>0</v>
      </c>
      <c r="AJ2" s="485">
        <f>sumifs('Form responses'!EX$2:EX50,
'Form responses'!$D$2:$D50,$D2)
-(
+sumifs('Form responses'!FN$2:FN50,
'Form responses'!$D$2:$D50,$D2)+sumifs('Form responses'!BR$2:BR50, 'Form responses'!$D$2:$D50, $D2))</f>
        <v>0</v>
      </c>
      <c r="AK2" s="491">
        <f>sumifs('Form responses'!EY$2:EY50,
'Form responses'!$D$2:$D50,$D2)
-(
+sumifs('Form responses'!FO$2:FO50,
'Form responses'!$D$2:$D50,$D2)+sumifs('Form responses'!BT$2:BT50,'Form responses'!$D$2:$D50, $D2))</f>
        <v>0</v>
      </c>
      <c r="AL2" s="491">
        <f>sumifs('Form responses'!EZ$2:EZ50,
'Form responses'!$D$2:$D50,$D2)
-(
+sumifs('Form responses'!FP$2:FP50,
'Form responses'!$D$2:$D50,$D2)+sumifs('Form responses'!BV$2:BV50,'Form responses'!$D$2:$D50, $D2))</f>
        <v>0</v>
      </c>
      <c r="AM2" s="491">
        <f>sumifs('Form responses'!FA$2:FA50,
'Form responses'!$D$2:$D50,$D2)
-(
+sumifs('Form responses'!FQ$2:FQ50,
'Form responses'!$D$2:$D50,$D2)+sumifs('Form responses'!BX$2:BX50, 'Form responses'!$D$2:$D50, $D2))</f>
        <v>0</v>
      </c>
      <c r="AN2" s="489">
        <f>sumifs('Form responses'!FB$2:FB50,
'Form responses'!$D$2:$D50,$D2)
-(
+sumifs('Form responses'!FR$2:FR50,
'Form responses'!$D$2:$D50,$D2)+sumifs('Form responses'!BZ$2:BZ50,'Form responses'!$D$2:$D50, $D2))</f>
        <v>0</v>
      </c>
      <c r="AO2" s="489">
        <f>sumifs('Form responses'!FC$2:FC50,
'Form responses'!$D$2:$D50,$D2)
-(
+sumifs('Form responses'!FS$2:FS50,
'Form responses'!$D$2:$D50,$D2)+sumifs('Form responses'!CB$2:CB50,'Form responses'!$D$2:$D50, $D2))</f>
        <v>0</v>
      </c>
      <c r="AP2" s="486">
        <f>sumifs('Form responses'!FD$2:FD50,
'Form responses'!$D$2:$D50,$D2)
-(
+sumifs('Form responses'!FT$2:FT50,
'Form responses'!$D$2:$D50,$D2)+sumifs('Form responses'!CD$2:CD50,'Form responses'!$D$2:$D50, $D2))</f>
        <v>0</v>
      </c>
      <c r="AQ2" s="492">
        <f>sumifs('Form responses'!FE$2:FE50,
'Form responses'!$D$2:$D50,$D2)
-(
+sumifs('Form responses'!FU$2:FU50,
'Form responses'!$D$2:$D50,$D2)+sumifs('Form responses'!CF$2:CF50,'Form responses'!$D$2:$D50, $D2))</f>
        <v>0</v>
      </c>
    </row>
    <row r="3">
      <c r="A3" s="493"/>
      <c r="B3" s="494"/>
      <c r="C3" s="494">
        <v>45747.0</v>
      </c>
      <c r="D3" s="495" t="str">
        <f t="array" ref="D3:D48">UNIQUE(Credentials!C2:C50)</f>
        <v>Talwandi Sabo</v>
      </c>
      <c r="E3" s="496"/>
      <c r="F3" s="496"/>
      <c r="G3" s="497" t="s">
        <v>70</v>
      </c>
      <c r="H3" s="497" t="s">
        <v>76</v>
      </c>
      <c r="I3" s="498">
        <f>sumifs('Form responses'!$AE$2:$AE50, 'Form responses'!$C$2:$C50, "&lt;="&amp;$C3, 'Form responses'!$D$2:$D50,$D3)-(sumifs('Form responses'!$AF$2:$AF50, 'Form responses'!$C$2:$C50, "&lt;="&amp;$C3, 'Form responses'!$D$2:$D50,$D3))</f>
        <v>0</v>
      </c>
      <c r="J3" s="499"/>
      <c r="K3" s="499"/>
      <c r="L3" s="498">
        <f>sumifs('Form responses'!$AH$2:$AH50, 'Form responses'!$C$2:$C50, "&lt;="&amp;$C3, 'Form responses'!$D$2:$D50,$D3)-(sumifs('Form responses'!$AI$2:$AI50, 'Form responses'!$C$2:$C50, "&lt;="&amp;$C3, 'Form responses'!$D$2:$D50,$D3))</f>
        <v>0</v>
      </c>
      <c r="M3" s="499"/>
      <c r="N3" s="499"/>
      <c r="O3" s="498">
        <f>sumifs('Form responses'!$AN$2:$AN50, 'Form responses'!$C$2:$C50, "&lt;="&amp;$C3, 'Form responses'!$D$2:$D50,$D3)-(sumifs('Form responses'!$AO$2:$AO50, 'Form responses'!$C$2:$C50, "&lt;="&amp;$C3, 'Form responses'!$D$2:$D50,$D3))</f>
        <v>0</v>
      </c>
      <c r="P3" s="499"/>
      <c r="Q3" s="499"/>
      <c r="R3" s="498">
        <f>sumifs('Form responses'!AK$2:AK50, 'Form responses'!$C$2:$C50, "&lt;="&amp;$C3, 'Form responses'!$D$2:$D50,$D3)-(sumifs('Form responses'!AL$2:AL50, 'Form responses'!$C$2:$C50, "&lt;="&amp;$C3, 'Form responses'!$D$2:$D50,$D3))</f>
        <v>0</v>
      </c>
      <c r="S3" s="499"/>
      <c r="T3" s="499"/>
      <c r="U3" s="498">
        <f>sumifs('Form responses'!AQ$2:AQ50, 'Form responses'!$C$2:$C50, "&lt;="&amp;$C3, 'Form responses'!$D$2:$D50,$D3)-(sumifs('Form responses'!AR$2:AR50, 'Form responses'!$C$2:$C50, "&lt;="&amp;$C3, 'Form responses'!$D$2:$D50,$D3))</f>
        <v>0</v>
      </c>
      <c r="V3" s="499"/>
      <c r="W3" s="499"/>
      <c r="X3" s="498">
        <f>sumifs('Form responses'!AT$2:AT50, 'Form responses'!$C$2:$C50, "&lt;="&amp;$C3, 'Form responses'!$D$2:$D50,$D3)-(sumifs('Form responses'!AU$2:AU50, 'Form responses'!$C$2:$C50, "&lt;="&amp;$C3, 'Form responses'!$D$2:$D50,$D3))</f>
        <v>0</v>
      </c>
      <c r="Y3" s="499"/>
      <c r="Z3" s="499"/>
      <c r="AA3" s="498">
        <f>sumifs('Form responses'!AW$2:AW50, 'Form responses'!$C$2:$C50, "&lt;="&amp;$C3, 'Form responses'!$D$2:$D50,$D3)-(sumifs('Form responses'!AX$2:AX50, 'Form responses'!$C$2:$C50, "&lt;="&amp;$C3, 'Form responses'!$D$2:$D50,$D3))</f>
        <v>0</v>
      </c>
      <c r="AB3" s="500">
        <f>sumifs('Form responses'!AZ$2:AZ50, 'Form responses'!$C$2:$C50, "&lt;="&amp;$C3, 'Form responses'!$D$2:$D50,$D3)-(sumifs('Form responses'!BA$2:BA50, 'Form responses'!$C$2:$C50, "&lt;="&amp;$C3, 'Form responses'!$D$2:$D50,$D3))</f>
        <v>0</v>
      </c>
      <c r="AC3" s="499"/>
      <c r="AD3" s="498">
        <f>sumifs('Form responses'!ER$2:ER50,
'Form responses'!$D$2:$D50,$D3)
-(sumifs('Form responses'!FX$2:FX50,
'Form responses'!$D$2:$D50,$D3)
+sumifs('Form responses'!FH$2:FH50,
'Form responses'!$D$2:$D50,$D3)+sumifs('Form responses'!BF$2:BF50, 'Form responses'!$D$2:$D50, $D3))</f>
        <v>0</v>
      </c>
      <c r="AE3" s="498">
        <f>sumifs('Form responses'!ES$2:ES50,
'Form responses'!$D$2:$D50,$D3)
-(sumifs('Form responses'!FY$2:FY50,
'Form responses'!$D$2:$D50,$D3)
+sumifs('Form responses'!FI$2:FI50,
'Form responses'!$D$2:$D50,$D3)+sumifs('Form responses'!BH$2:BH50, 'Form responses'!$D$2:$D50, $D3))</f>
        <v>0</v>
      </c>
      <c r="AF3" s="498">
        <f>sumifs('Form responses'!ET$2:ET50,
'Form responses'!$D$2:$D50,$D3)
-(sumifs('Form responses'!FZ$2:FZ50,
'Form responses'!$D$2:$D50,$D3)
+sumifs('Form responses'!FJ$2:FJ50,
'Form responses'!$D$2:$D50,$D3)+sumifs('Form responses'!BJ$2:BJ50,'Form responses'!$D$2:$D50, $D3))</f>
        <v>0</v>
      </c>
      <c r="AG3" s="498">
        <f>sumifs('Form responses'!EU$2:EU50,
'Form responses'!$D$2:$D50,$D3)
-(sumifs('Form responses'!GA$2:GA50,
'Form responses'!$D$2:$D50,$D3)
+sumifs('Form responses'!FK$2:FK50,
'Form responses'!$D$2:$D50,$D3)+sumifs('Form responses'!BL$2:BL50, 'Form responses'!$D$2:$D50, $D3))</f>
        <v>0</v>
      </c>
      <c r="AH3" s="498">
        <f>sumifs('Form responses'!EV$2:EV50,
'Form responses'!$D$2:$D50,$D3)
-(sumifs('Form responses'!GB$2:GB50,
'Form responses'!$D$2:$D50,$D3)
+sumifs('Form responses'!FL$2:FL50,
'Form responses'!$D$2:$D50,$D3)+sumifs('Form responses'!BN$2:BN50,'Form responses'!$D$2:$D50, $D3))</f>
        <v>0</v>
      </c>
      <c r="AI3" s="498">
        <f>sumifs('Form responses'!EW$2:EW50,
'Form responses'!$D$2:$D50,$D3)
-(sumifs('Form responses'!GC$2:GC50,
'Form responses'!$D$2:$D50,$D3)
+sumifs('Form responses'!FM$2:FM50,
'Form responses'!$D$2:$D50,$D3)+sumifs('Form responses'!BP$2:BP50,'Form responses'!$D$2:$D50, $D3))</f>
        <v>0</v>
      </c>
      <c r="AJ3" s="485">
        <f>sumifs('Form responses'!EX$2:EX50,
'Form responses'!$D$2:$D50,$D3)
-(sumifs('Form responses'!GD$2:GD50,
'Form responses'!$D$2:$D50,$D3)
+sumifs('Form responses'!FN$2:FN50,
'Form responses'!$D$2:$D50,$D3)+sumifs('Form responses'!BR$2:BR50, 'Form responses'!$D$2:$D50, $D3))</f>
        <v>0</v>
      </c>
      <c r="AK3" s="485">
        <f>sumifs('Form responses'!EY$2:EY50,
'Form responses'!$D$2:$D50,$D3)
-(sumifs('Form responses'!GE$2:GE50,
'Form responses'!$D$2:$D50,$D3)
+sumifs('Form responses'!FO$2:FO50,
'Form responses'!$D$2:$D50,$D3)+sumifs('Form responses'!BT$2:BT50,'Form responses'!$D$2:$D50, $D3))</f>
        <v>0</v>
      </c>
      <c r="AL3" s="485">
        <f>sumifs('Form responses'!EZ$2:EZ50,
'Form responses'!$D$2:$D50,$D3)
-(sumifs('Form responses'!GF$2:GF50,
'Form responses'!$D$2:$D50,$D3)
+sumifs('Form responses'!FP$2:FP50,
'Form responses'!$D$2:$D50,$D3)+sumifs('Form responses'!BV$2:BV50,'Form responses'!$D$2:$D50, $D3))</f>
        <v>0</v>
      </c>
      <c r="AM3" s="485">
        <f>sumifs('Form responses'!FA$2:FA50,
'Form responses'!$D$2:$D50,$D3)
-(sumifs('Form responses'!GG$2:GG50,
'Form responses'!$D$2:$D50,$D3)
+sumifs('Form responses'!FQ$2:FQ50,
'Form responses'!$D$2:$D50,$D3)+sumifs('Form responses'!BX$2:BX50, 'Form responses'!$D$2:$D50, $D3))</f>
        <v>0</v>
      </c>
      <c r="AN3" s="498">
        <f>sumifs('Form responses'!FB$2:FB50,
'Form responses'!$D$2:$D50,$D3)
-(sumifs('Form responses'!GH$2:GH50,
'Form responses'!$D$2:$D50,$D3)
+sumifs('Form responses'!FR$2:FR50,
'Form responses'!$D$2:$D50,$D3)+sumifs('Form responses'!BZ$2:BZ50,'Form responses'!$D$2:$D50, $D3))</f>
        <v>0</v>
      </c>
      <c r="AO3" s="498">
        <f>sumifs('Form responses'!FC$2:FC50,
'Form responses'!$D$2:$D50,$D3)
-(sumifs('Form responses'!GI$2:GI50,
'Form responses'!$D$2:$D50,$D3)
+sumifs('Form responses'!FS$2:FS50,
'Form responses'!$D$2:$D50,$D3)+sumifs('Form responses'!CB$2:CB50,'Form responses'!$D$2:$D50, $D3))</f>
        <v>0</v>
      </c>
      <c r="AP3" s="486">
        <f>sumifs('Form responses'!FD$2:FD50,
'Form responses'!$D$2:$D50,$D3)
-(sumifs('Form responses'!GJ$2:GJ50,
'Form responses'!$D$2:$D50,$D3)
+sumifs('Form responses'!FT$2:FT50,
'Form responses'!$D$2:$D50,$D3)+sumifs('Form responses'!CD$2:CD50,'Form responses'!$D$2:$D50, $D3))</f>
        <v>0</v>
      </c>
      <c r="AQ3" s="486">
        <f>sumifs('Form responses'!FE$2:FE50,
'Form responses'!$D$2:$D50,$D3)
-(sumifs('Form responses'!GK$2:GK50,
'Form responses'!$D$2:$D50,$D3)
+sumifs('Form responses'!FU$2:FU50,
'Form responses'!$D$2:$D50,$D3)+sumifs('Form responses'!CF$2:CF50,'Form responses'!$D$2:$D50, $D3))</f>
        <v>0</v>
      </c>
    </row>
    <row r="4">
      <c r="A4" s="496"/>
      <c r="B4" s="496"/>
      <c r="C4" s="494">
        <f t="shared" ref="C4:C49" si="1">C3</f>
        <v>45747</v>
      </c>
      <c r="D4" s="501" t="s">
        <v>20</v>
      </c>
      <c r="E4" s="496"/>
      <c r="F4" s="496"/>
      <c r="G4" s="497" t="s">
        <v>70</v>
      </c>
      <c r="H4" s="497" t="s">
        <v>76</v>
      </c>
      <c r="I4" s="498">
        <f>sumifs('Form responses'!$AE$2:$AE50, 'Form responses'!$C$2:$C50, "&lt;="&amp;$C4, 'Form responses'!$D$2:$D50,$D4)-(sumifs('Form responses'!$AF$2:$AF50, 'Form responses'!$C$2:$C50, "&lt;="&amp;$C4, 'Form responses'!$D$2:$D50,$D4))</f>
        <v>0</v>
      </c>
      <c r="J4" s="499"/>
      <c r="K4" s="499"/>
      <c r="L4" s="498">
        <f>sumifs('Form responses'!$AH$2:$AH50, 'Form responses'!$C$2:$C50, "&lt;="&amp;$C4, 'Form responses'!$D$2:$D50,$D4)-(sumifs('Form responses'!$AI$2:$AI50, 'Form responses'!$C$2:$C50, "&lt;="&amp;$C4, 'Form responses'!$D$2:$D50,$D4))</f>
        <v>0</v>
      </c>
      <c r="M4" s="499"/>
      <c r="N4" s="499"/>
      <c r="O4" s="498">
        <f>sumifs('Form responses'!$AN$2:$AN50, 'Form responses'!$C$2:$C50, "&lt;="&amp;$C4, 'Form responses'!$D$2:$D50,$D4)-(sumifs('Form responses'!$AO$2:$AO50, 'Form responses'!$C$2:$C50, "&lt;="&amp;$C4, 'Form responses'!$D$2:$D50,$D4))</f>
        <v>200</v>
      </c>
      <c r="P4" s="499"/>
      <c r="Q4" s="499"/>
      <c r="R4" s="498">
        <f>sumifs('Form responses'!AK$2:AK50, 'Form responses'!$C$2:$C50, "&lt;="&amp;$C4, 'Form responses'!$D$2:$D50,$D4)-(sumifs('Form responses'!AL$2:AL50, 'Form responses'!$C$2:$C50, "&lt;="&amp;$C4, 'Form responses'!$D$2:$D50,$D4))</f>
        <v>0</v>
      </c>
      <c r="S4" s="499"/>
      <c r="T4" s="499"/>
      <c r="U4" s="498">
        <f>sumifs('Form responses'!AQ$2:AQ50, 'Form responses'!$C$2:$C50, "&lt;="&amp;$C4, 'Form responses'!$D$2:$D50,$D4)-(sumifs('Form responses'!AR$2:AR50, 'Form responses'!$C$2:$C50, "&lt;="&amp;$C4, 'Form responses'!$D$2:$D50,$D4))</f>
        <v>0</v>
      </c>
      <c r="V4" s="499"/>
      <c r="W4" s="499"/>
      <c r="X4" s="498">
        <f>sumifs('Form responses'!AT$2:AT50, 'Form responses'!$C$2:$C50, "&lt;="&amp;$C4, 'Form responses'!$D$2:$D50,$D4)-(sumifs('Form responses'!AU$2:AU50, 'Form responses'!$C$2:$C50, "&lt;="&amp;$C4, 'Form responses'!$D$2:$D50,$D4))</f>
        <v>0</v>
      </c>
      <c r="Y4" s="499"/>
      <c r="Z4" s="499"/>
      <c r="AA4" s="498">
        <f>sumifs('Form responses'!AW$2:AW50, 'Form responses'!$C$2:$C50, "&lt;="&amp;$C4, 'Form responses'!$D$2:$D50,$D4)-(sumifs('Form responses'!AX$2:AX50, 'Form responses'!$C$2:$C50, "&lt;="&amp;$C4, 'Form responses'!$D$2:$D50,$D4))</f>
        <v>0</v>
      </c>
      <c r="AB4" s="500">
        <f>sumifs('Form responses'!AZ$2:AZ50, 'Form responses'!$C$2:$C50, "&lt;="&amp;$C4, 'Form responses'!$D$2:$D50,$D4)-(sumifs('Form responses'!BA$2:BA50, 'Form responses'!$C$2:$C50, "&lt;="&amp;$C4, 'Form responses'!$D$2:$D50,$D4))</f>
        <v>0</v>
      </c>
      <c r="AC4" s="499"/>
      <c r="AD4" s="498">
        <f>sumifs('Form responses'!ER$2:ER50,
'Form responses'!$D$2:$D50,$D4)
-(sumifs('Form responses'!FX$2:FX50,
'Form responses'!$D$2:$D50,$D4)
+sumifs('Form responses'!FH$2:FH50,
'Form responses'!$D$2:$D50,$D4)+sumifs('Form responses'!BF$2:BF50, 'Form responses'!$D$2:$D50, $D4))</f>
        <v>-13</v>
      </c>
      <c r="AE4" s="498">
        <f>sumifs('Form responses'!ES$2:ES50,
'Form responses'!$D$2:$D50,$D4)
-(sumifs('Form responses'!FY$2:FY50,
'Form responses'!$D$2:$D50,$D4)
+sumifs('Form responses'!FI$2:FI50,
'Form responses'!$D$2:$D50,$D4)+sumifs('Form responses'!BH$2:BH50, 'Form responses'!$D$2:$D50, $D4))</f>
        <v>0</v>
      </c>
      <c r="AF4" s="498">
        <f>sumifs('Form responses'!ET$2:ET50,
'Form responses'!$D$2:$D50,$D4)
-(sumifs('Form responses'!FZ$2:FZ50,
'Form responses'!$D$2:$D50,$D4)
+sumifs('Form responses'!FJ$2:FJ50,
'Form responses'!$D$2:$D50,$D4)+sumifs('Form responses'!BJ$2:BJ50,'Form responses'!$D$2:$D50, $D4))</f>
        <v>-1010</v>
      </c>
      <c r="AG4" s="498">
        <f>sumifs('Form responses'!EU$2:EU50,
'Form responses'!$D$2:$D50,$D4)
-(sumifs('Form responses'!GA$2:GA50,
'Form responses'!$D$2:$D50,$D4)
+sumifs('Form responses'!FK$2:FK50,
'Form responses'!$D$2:$D50,$D4)+sumifs('Form responses'!BL$2:BL50, 'Form responses'!$D$2:$D50, $D4))</f>
        <v>0</v>
      </c>
      <c r="AH4" s="498">
        <f>sumifs('Form responses'!EV$2:EV50,
'Form responses'!$D$2:$D50,$D4)
-(sumifs('Form responses'!GB$2:GB50,
'Form responses'!$D$2:$D50,$D4)
+sumifs('Form responses'!FL$2:FL50,
'Form responses'!$D$2:$D50,$D4)+sumifs('Form responses'!BN$2:BN50,'Form responses'!$D$2:$D50, $D4))</f>
        <v>0</v>
      </c>
      <c r="AI4" s="498">
        <f>sumifs('Form responses'!EW$2:EW50,
'Form responses'!$D$2:$D50,$D4)
-(sumifs('Form responses'!GC$2:GC50,
'Form responses'!$D$2:$D50,$D4)
+sumifs('Form responses'!FM$2:FM50,
'Form responses'!$D$2:$D50,$D4)+sumifs('Form responses'!BP$2:BP50,'Form responses'!$D$2:$D50, $D4))</f>
        <v>0</v>
      </c>
      <c r="AJ4" s="485">
        <f>sumifs('Form responses'!EX$2:EX50,
'Form responses'!$D$2:$D50,$D4)
-(sumifs('Form responses'!GD$2:GD50,
'Form responses'!$D$2:$D50,$D4)
+sumifs('Form responses'!FN$2:FN50,
'Form responses'!$D$2:$D50,$D4)+sumifs('Form responses'!BR$2:BR50, 'Form responses'!$D$2:$D50, $D4))</f>
        <v>0</v>
      </c>
      <c r="AK4" s="485">
        <f>sumifs('Form responses'!EY$2:EY50,
'Form responses'!$D$2:$D50,$D4)
-(sumifs('Form responses'!GE$2:GE50,
'Form responses'!$D$2:$D50,$D4)
+sumifs('Form responses'!FO$2:FO50,
'Form responses'!$D$2:$D50,$D4)+sumifs('Form responses'!BT$2:BT50,'Form responses'!$D$2:$D50, $D4))</f>
        <v>0</v>
      </c>
      <c r="AL4" s="485">
        <f>sumifs('Form responses'!EZ$2:EZ50,
'Form responses'!$D$2:$D50,$D4)
-(sumifs('Form responses'!GF$2:GF50,
'Form responses'!$D$2:$D50,$D4)
+sumifs('Form responses'!FP$2:FP50,
'Form responses'!$D$2:$D50,$D4)+sumifs('Form responses'!BV$2:BV50,'Form responses'!$D$2:$D50, $D4))</f>
        <v>0</v>
      </c>
      <c r="AM4" s="485">
        <f>sumifs('Form responses'!FA$2:FA50,
'Form responses'!$D$2:$D50,$D4)
-(sumifs('Form responses'!GG$2:GG50,
'Form responses'!$D$2:$D50,$D4)
+sumifs('Form responses'!FQ$2:FQ50,
'Form responses'!$D$2:$D50,$D4)+sumifs('Form responses'!BX$2:BX50, 'Form responses'!$D$2:$D50, $D4))</f>
        <v>0</v>
      </c>
      <c r="AN4" s="498">
        <f>sumifs('Form responses'!FB$2:FB50,
'Form responses'!$D$2:$D50,$D4)
-(sumifs('Form responses'!GH$2:GH50,
'Form responses'!$D$2:$D50,$D4)
+sumifs('Form responses'!FR$2:FR50,
'Form responses'!$D$2:$D50,$D4)+sumifs('Form responses'!BZ$2:BZ50,'Form responses'!$D$2:$D50, $D4))</f>
        <v>0</v>
      </c>
      <c r="AO4" s="498">
        <f>sumifs('Form responses'!FC$2:FC50,
'Form responses'!$D$2:$D50,$D4)
-(sumifs('Form responses'!GI$2:GI50,
'Form responses'!$D$2:$D50,$D4)
+sumifs('Form responses'!FS$2:FS50,
'Form responses'!$D$2:$D50,$D4)+sumifs('Form responses'!CB$2:CB50,'Form responses'!$D$2:$D50, $D4))</f>
        <v>0</v>
      </c>
      <c r="AP4" s="486">
        <f>sumifs('Form responses'!FD$2:FD50,
'Form responses'!$D$2:$D50,$D4)
-(sumifs('Form responses'!GJ$2:GJ50,
'Form responses'!$D$2:$D50,$D4)
+sumifs('Form responses'!FT$2:FT50,
'Form responses'!$D$2:$D50,$D4)+sumifs('Form responses'!CD$2:CD50,'Form responses'!$D$2:$D50, $D4))</f>
        <v>0</v>
      </c>
      <c r="AQ4" s="486">
        <f>sumifs('Form responses'!FE$2:FE50,
'Form responses'!$D$2:$D50,$D4)
-(sumifs('Form responses'!GK$2:GK50,
'Form responses'!$D$2:$D50,$D4)
+sumifs('Form responses'!FU$2:FU50,
'Form responses'!$D$2:$D50,$D4)+sumifs('Form responses'!CF$2:CF50,'Form responses'!$D$2:$D50, $D4))</f>
        <v>0</v>
      </c>
    </row>
    <row r="5">
      <c r="A5" s="496"/>
      <c r="B5" s="496"/>
      <c r="C5" s="494">
        <f t="shared" si="1"/>
        <v>45747</v>
      </c>
      <c r="D5" s="501" t="s">
        <v>37</v>
      </c>
      <c r="E5" s="496"/>
      <c r="F5" s="496"/>
      <c r="G5" s="497" t="s">
        <v>70</v>
      </c>
      <c r="H5" s="497" t="s">
        <v>76</v>
      </c>
      <c r="I5" s="498">
        <f>sumifs('Form responses'!$AE$2:$AE50, 'Form responses'!$C$2:$C50, "&lt;="&amp;$C5, 'Form responses'!$D$2:$D50,$D5)-(sumifs('Form responses'!$AF$2:$AF50, 'Form responses'!$C$2:$C50, "&lt;="&amp;$C5, 'Form responses'!$D$2:$D50,$D5))</f>
        <v>0</v>
      </c>
      <c r="J5" s="499"/>
      <c r="K5" s="499"/>
      <c r="L5" s="498">
        <f>sumifs('Form responses'!$AH$2:$AH50, 'Form responses'!$C$2:$C50, "&lt;="&amp;$C5, 'Form responses'!$D$2:$D50,$D5)-(sumifs('Form responses'!$AI$2:$AI50, 'Form responses'!$C$2:$C50, "&lt;="&amp;$C5, 'Form responses'!$D$2:$D50,$D5))</f>
        <v>0</v>
      </c>
      <c r="M5" s="499"/>
      <c r="N5" s="499"/>
      <c r="O5" s="498">
        <f>sumifs('Form responses'!$AN$2:$AN50, 'Form responses'!$C$2:$C50, "&lt;="&amp;$C5, 'Form responses'!$D$2:$D50,$D5)-(sumifs('Form responses'!$AO$2:$AO50, 'Form responses'!$C$2:$C50, "&lt;="&amp;$C5, 'Form responses'!$D$2:$D50,$D5))</f>
        <v>0</v>
      </c>
      <c r="P5" s="499"/>
      <c r="Q5" s="499"/>
      <c r="R5" s="498">
        <f>sumifs('Form responses'!AK$2:AK50, 'Form responses'!$C$2:$C50, "&lt;="&amp;$C5, 'Form responses'!$D$2:$D50,$D5)-(sumifs('Form responses'!AL$2:AL50, 'Form responses'!$C$2:$C50, "&lt;="&amp;$C5, 'Form responses'!$D$2:$D50,$D5))</f>
        <v>0</v>
      </c>
      <c r="S5" s="499"/>
      <c r="T5" s="499"/>
      <c r="U5" s="498">
        <f>sumifs('Form responses'!AQ$2:AQ50, 'Form responses'!$C$2:$C50, "&lt;="&amp;$C5, 'Form responses'!$D$2:$D50,$D5)-(sumifs('Form responses'!AR$2:AR50, 'Form responses'!$C$2:$C50, "&lt;="&amp;$C5, 'Form responses'!$D$2:$D50,$D5))</f>
        <v>0</v>
      </c>
      <c r="V5" s="499"/>
      <c r="W5" s="499"/>
      <c r="X5" s="498">
        <f>sumifs('Form responses'!AT$2:AT50, 'Form responses'!$C$2:$C50, "&lt;="&amp;$C5, 'Form responses'!$D$2:$D50,$D5)-(sumifs('Form responses'!AU$2:AU50, 'Form responses'!$C$2:$C50, "&lt;="&amp;$C5, 'Form responses'!$D$2:$D50,$D5))</f>
        <v>0</v>
      </c>
      <c r="Y5" s="499"/>
      <c r="Z5" s="499"/>
      <c r="AA5" s="498">
        <f>sumifs('Form responses'!AW$2:AW50, 'Form responses'!$C$2:$C50, "&lt;="&amp;$C5, 'Form responses'!$D$2:$D50,$D5)-(sumifs('Form responses'!AX$2:AX50, 'Form responses'!$C$2:$C50, "&lt;="&amp;$C5, 'Form responses'!$D$2:$D50,$D5))</f>
        <v>0</v>
      </c>
      <c r="AB5" s="500">
        <f>sumifs('Form responses'!AZ$2:AZ50, 'Form responses'!$C$2:$C50, "&lt;="&amp;$C5, 'Form responses'!$D$2:$D50,$D5)-(sumifs('Form responses'!BA$2:BA50, 'Form responses'!$C$2:$C50, "&lt;="&amp;$C5, 'Form responses'!$D$2:$D50,$D5))</f>
        <v>0</v>
      </c>
      <c r="AC5" s="499"/>
      <c r="AD5" s="498">
        <f>sumifs('Form responses'!ER$2:ER50,
'Form responses'!$D$2:$D50,$D5)
-(sumifs('Form responses'!FX$2:FX50,
'Form responses'!$D$2:$D50,$D5)
+sumifs('Form responses'!FH$2:FH50,
'Form responses'!$D$2:$D50,$D5)+sumifs('Form responses'!BF$2:BF50, 'Form responses'!$D$2:$D50, $D5))</f>
        <v>0</v>
      </c>
      <c r="AE5" s="498">
        <f>sumifs('Form responses'!ES$2:ES50,
'Form responses'!$D$2:$D50,$D5)
-(sumifs('Form responses'!FY$2:FY50,
'Form responses'!$D$2:$D50,$D5)
+sumifs('Form responses'!FI$2:FI50,
'Form responses'!$D$2:$D50,$D5)+sumifs('Form responses'!BH$2:BH50, 'Form responses'!$D$2:$D50, $D5))</f>
        <v>0</v>
      </c>
      <c r="AF5" s="498">
        <f>sumifs('Form responses'!ET$2:ET50,
'Form responses'!$D$2:$D50,$D5)
-(sumifs('Form responses'!FZ$2:FZ50,
'Form responses'!$D$2:$D50,$D5)
+sumifs('Form responses'!FJ$2:FJ50,
'Form responses'!$D$2:$D50,$D5)+sumifs('Form responses'!BJ$2:BJ50,'Form responses'!$D$2:$D50, $D5))</f>
        <v>0</v>
      </c>
      <c r="AG5" s="498">
        <f>sumifs('Form responses'!EU$2:EU50,
'Form responses'!$D$2:$D50,$D5)
-(sumifs('Form responses'!GA$2:GA50,
'Form responses'!$D$2:$D50,$D5)
+sumifs('Form responses'!FK$2:FK50,
'Form responses'!$D$2:$D50,$D5)+sumifs('Form responses'!BL$2:BL50, 'Form responses'!$D$2:$D50, $D5))</f>
        <v>0</v>
      </c>
      <c r="AH5" s="498">
        <f>sumifs('Form responses'!EV$2:EV50,
'Form responses'!$D$2:$D50,$D5)
-(sumifs('Form responses'!GB$2:GB50,
'Form responses'!$D$2:$D50,$D5)
+sumifs('Form responses'!FL$2:FL50,
'Form responses'!$D$2:$D50,$D5)+sumifs('Form responses'!BN$2:BN50,'Form responses'!$D$2:$D50, $D5))</f>
        <v>15</v>
      </c>
      <c r="AI5" s="498">
        <f>sumifs('Form responses'!EW$2:EW50,
'Form responses'!$D$2:$D50,$D5)
-(sumifs('Form responses'!GC$2:GC50,
'Form responses'!$D$2:$D50,$D5)
+sumifs('Form responses'!FM$2:FM50,
'Form responses'!$D$2:$D50,$D5)+sumifs('Form responses'!BP$2:BP50,'Form responses'!$D$2:$D50, $D5))</f>
        <v>0</v>
      </c>
      <c r="AJ5" s="485">
        <f>sumifs('Form responses'!EX$2:EX50,
'Form responses'!$D$2:$D50,$D5)
-(sumifs('Form responses'!GD$2:GD50,
'Form responses'!$D$2:$D50,$D5)
+sumifs('Form responses'!FN$2:FN50,
'Form responses'!$D$2:$D50,$D5)+sumifs('Form responses'!BR$2:BR50, 'Form responses'!$D$2:$D50, $D5))</f>
        <v>0</v>
      </c>
      <c r="AK5" s="485">
        <f>sumifs('Form responses'!EY$2:EY50,
'Form responses'!$D$2:$D50,$D5)
-(sumifs('Form responses'!GE$2:GE50,
'Form responses'!$D$2:$D50,$D5)
+sumifs('Form responses'!FO$2:FO50,
'Form responses'!$D$2:$D50,$D5)+sumifs('Form responses'!BT$2:BT50,'Form responses'!$D$2:$D50, $D5))</f>
        <v>0</v>
      </c>
      <c r="AL5" s="485">
        <f>sumifs('Form responses'!EZ$2:EZ50,
'Form responses'!$D$2:$D50,$D5)
-(sumifs('Form responses'!GF$2:GF50,
'Form responses'!$D$2:$D50,$D5)
+sumifs('Form responses'!FP$2:FP50,
'Form responses'!$D$2:$D50,$D5)+sumifs('Form responses'!BV$2:BV50,'Form responses'!$D$2:$D50, $D5))</f>
        <v>0</v>
      </c>
      <c r="AM5" s="485">
        <f>sumifs('Form responses'!FA$2:FA50,
'Form responses'!$D$2:$D50,$D5)
-(sumifs('Form responses'!GG$2:GG50,
'Form responses'!$D$2:$D50,$D5)
+sumifs('Form responses'!FQ$2:FQ50,
'Form responses'!$D$2:$D50,$D5)+sumifs('Form responses'!BX$2:BX50, 'Form responses'!$D$2:$D50, $D5))</f>
        <v>0</v>
      </c>
      <c r="AN5" s="498">
        <f>sumifs('Form responses'!FB$2:FB50,
'Form responses'!$D$2:$D50,$D5)
-(sumifs('Form responses'!GH$2:GH50,
'Form responses'!$D$2:$D50,$D5)
+sumifs('Form responses'!FR$2:FR50,
'Form responses'!$D$2:$D50,$D5)+sumifs('Form responses'!BZ$2:BZ50,'Form responses'!$D$2:$D50, $D5))</f>
        <v>25</v>
      </c>
      <c r="AO5" s="498">
        <f>sumifs('Form responses'!FC$2:FC50,
'Form responses'!$D$2:$D50,$D5)
-(sumifs('Form responses'!GI$2:GI50,
'Form responses'!$D$2:$D50,$D5)
+sumifs('Form responses'!FS$2:FS50,
'Form responses'!$D$2:$D50,$D5)+sumifs('Form responses'!CB$2:CB50,'Form responses'!$D$2:$D50, $D5))</f>
        <v>0</v>
      </c>
      <c r="AP5" s="486">
        <f>sumifs('Form responses'!FD$2:FD50,
'Form responses'!$D$2:$D50,$D5)
-(sumifs('Form responses'!GJ$2:GJ50,
'Form responses'!$D$2:$D50,$D5)
+sumifs('Form responses'!FT$2:FT50,
'Form responses'!$D$2:$D50,$D5)+sumifs('Form responses'!CD$2:CD50,'Form responses'!$D$2:$D50, $D5))</f>
        <v>0</v>
      </c>
      <c r="AQ5" s="486">
        <f>sumifs('Form responses'!FE$2:FE50,
'Form responses'!$D$2:$D50,$D5)
-(sumifs('Form responses'!GK$2:GK50,
'Form responses'!$D$2:$D50,$D5)
+sumifs('Form responses'!FU$2:FU50,
'Form responses'!$D$2:$D50,$D5)+sumifs('Form responses'!CF$2:CF50,'Form responses'!$D$2:$D50, $D5))</f>
        <v>0</v>
      </c>
    </row>
    <row r="6">
      <c r="A6" s="496"/>
      <c r="B6" s="496"/>
      <c r="C6" s="494">
        <f t="shared" si="1"/>
        <v>45747</v>
      </c>
      <c r="D6" s="501" t="s">
        <v>23</v>
      </c>
      <c r="E6" s="496"/>
      <c r="F6" s="496"/>
      <c r="G6" s="497" t="s">
        <v>70</v>
      </c>
      <c r="H6" s="497" t="s">
        <v>76</v>
      </c>
      <c r="I6" s="498">
        <f>sumifs('Form responses'!$AE$2:$AE50, 'Form responses'!$C$2:$C50, "&lt;="&amp;$C6, 'Form responses'!$D$2:$D50,$D6)-(sumifs('Form responses'!$AF$2:$AF50, 'Form responses'!$C$2:$C50, "&lt;="&amp;$C6, 'Form responses'!$D$2:$D50,$D6))</f>
        <v>0</v>
      </c>
      <c r="J6" s="499"/>
      <c r="K6" s="499"/>
      <c r="L6" s="498">
        <f>sumifs('Form responses'!$AH$2:$AH50, 'Form responses'!$C$2:$C50, "&lt;="&amp;$C6, 'Form responses'!$D$2:$D50,$D6)-(sumifs('Form responses'!$AI$2:$AI50, 'Form responses'!$C$2:$C50, "&lt;="&amp;$C6, 'Form responses'!$D$2:$D50,$D6))</f>
        <v>0</v>
      </c>
      <c r="M6" s="499"/>
      <c r="N6" s="499"/>
      <c r="O6" s="498">
        <f>sumifs('Form responses'!$AN$2:$AN50, 'Form responses'!$C$2:$C50, "&lt;="&amp;$C6, 'Form responses'!$D$2:$D50,$D6)-(sumifs('Form responses'!$AO$2:$AO50, 'Form responses'!$C$2:$C50, "&lt;="&amp;$C6, 'Form responses'!$D$2:$D50,$D6))</f>
        <v>0</v>
      </c>
      <c r="P6" s="499"/>
      <c r="Q6" s="499"/>
      <c r="R6" s="498">
        <f>sumifs('Form responses'!AK$2:AK50, 'Form responses'!$C$2:$C50, "&lt;="&amp;$C6, 'Form responses'!$D$2:$D50,$D6)-(sumifs('Form responses'!AL$2:AL50, 'Form responses'!$C$2:$C50, "&lt;="&amp;$C6, 'Form responses'!$D$2:$D50,$D6))</f>
        <v>0</v>
      </c>
      <c r="S6" s="499"/>
      <c r="T6" s="499"/>
      <c r="U6" s="498">
        <f>sumifs('Form responses'!AQ$2:AQ50, 'Form responses'!$C$2:$C50, "&lt;="&amp;$C6, 'Form responses'!$D$2:$D50,$D6)-(sumifs('Form responses'!AR$2:AR50, 'Form responses'!$C$2:$C50, "&lt;="&amp;$C6, 'Form responses'!$D$2:$D50,$D6))</f>
        <v>0</v>
      </c>
      <c r="V6" s="499"/>
      <c r="W6" s="499"/>
      <c r="X6" s="498">
        <f>sumifs('Form responses'!AT$2:AT50, 'Form responses'!$C$2:$C50, "&lt;="&amp;$C6, 'Form responses'!$D$2:$D50,$D6)-(sumifs('Form responses'!AU$2:AU50, 'Form responses'!$C$2:$C50, "&lt;="&amp;$C6, 'Form responses'!$D$2:$D50,$D6))</f>
        <v>0</v>
      </c>
      <c r="Y6" s="499"/>
      <c r="Z6" s="499"/>
      <c r="AA6" s="498">
        <f>sumifs('Form responses'!AW$2:AW50, 'Form responses'!$C$2:$C50, "&lt;="&amp;$C6, 'Form responses'!$D$2:$D50,$D6)-(sumifs('Form responses'!AX$2:AX50, 'Form responses'!$C$2:$C50, "&lt;="&amp;$C6, 'Form responses'!$D$2:$D50,$D6))</f>
        <v>0</v>
      </c>
      <c r="AB6" s="500">
        <f>sumifs('Form responses'!AZ$2:AZ50, 'Form responses'!$C$2:$C50, "&lt;="&amp;$C6, 'Form responses'!$D$2:$D50,$D6)-(sumifs('Form responses'!BA$2:BA50, 'Form responses'!$C$2:$C50, "&lt;="&amp;$C6, 'Form responses'!$D$2:$D50,$D6))</f>
        <v>0</v>
      </c>
      <c r="AC6" s="499"/>
      <c r="AD6" s="498">
        <f>sumifs('Form responses'!ER$2:ER50,
'Form responses'!$D$2:$D50,$D6)
-(sumifs('Form responses'!FX$2:FX50,
'Form responses'!$D$2:$D50,$D6)
+sumifs('Form responses'!FH$2:FH50,
'Form responses'!$D$2:$D50,$D6)+sumifs('Form responses'!BF$2:BF50, 'Form responses'!$D$2:$D50, $D6))</f>
        <v>0</v>
      </c>
      <c r="AE6" s="498">
        <f>sumifs('Form responses'!ES$2:ES50,
'Form responses'!$D$2:$D50,$D6)
-(sumifs('Form responses'!FY$2:FY50,
'Form responses'!$D$2:$D50,$D6)
+sumifs('Form responses'!FI$2:FI50,
'Form responses'!$D$2:$D50,$D6)+sumifs('Form responses'!BH$2:BH50, 'Form responses'!$D$2:$D50, $D6))</f>
        <v>0</v>
      </c>
      <c r="AF6" s="498">
        <f>sumifs('Form responses'!ET$2:ET50,
'Form responses'!$D$2:$D50,$D6)
-(sumifs('Form responses'!FZ$2:FZ50,
'Form responses'!$D$2:$D50,$D6)
+sumifs('Form responses'!FJ$2:FJ50,
'Form responses'!$D$2:$D50,$D6)+sumifs('Form responses'!BJ$2:BJ50,'Form responses'!$D$2:$D50, $D6))</f>
        <v>0</v>
      </c>
      <c r="AG6" s="498">
        <f>sumifs('Form responses'!EU$2:EU50,
'Form responses'!$D$2:$D50,$D6)
-(sumifs('Form responses'!GA$2:GA50,
'Form responses'!$D$2:$D50,$D6)
+sumifs('Form responses'!FK$2:FK50,
'Form responses'!$D$2:$D50,$D6)+sumifs('Form responses'!BL$2:BL50, 'Form responses'!$D$2:$D50, $D6))</f>
        <v>0</v>
      </c>
      <c r="AH6" s="498">
        <f>sumifs('Form responses'!EV$2:EV50,
'Form responses'!$D$2:$D50,$D6)
-(sumifs('Form responses'!GB$2:GB50,
'Form responses'!$D$2:$D50,$D6)
+sumifs('Form responses'!FL$2:FL50,
'Form responses'!$D$2:$D50,$D6)+sumifs('Form responses'!BN$2:BN50,'Form responses'!$D$2:$D50, $D6))</f>
        <v>0</v>
      </c>
      <c r="AI6" s="498">
        <f>sumifs('Form responses'!EW$2:EW50,
'Form responses'!$D$2:$D50,$D6)
-(sumifs('Form responses'!GC$2:GC50,
'Form responses'!$D$2:$D50,$D6)
+sumifs('Form responses'!FM$2:FM50,
'Form responses'!$D$2:$D50,$D6)+sumifs('Form responses'!BP$2:BP50,'Form responses'!$D$2:$D50, $D6))</f>
        <v>0</v>
      </c>
      <c r="AJ6" s="485">
        <f>sumifs('Form responses'!EX$2:EX50,
'Form responses'!$D$2:$D50,$D6)
-(sumifs('Form responses'!GD$2:GD50,
'Form responses'!$D$2:$D50,$D6)
+sumifs('Form responses'!FN$2:FN50,
'Form responses'!$D$2:$D50,$D6)+sumifs('Form responses'!BR$2:BR50, 'Form responses'!$D$2:$D50, $D6))</f>
        <v>0</v>
      </c>
      <c r="AK6" s="485">
        <f>sumifs('Form responses'!EY$2:EY50,
'Form responses'!$D$2:$D50,$D6)
-(sumifs('Form responses'!GE$2:GE50,
'Form responses'!$D$2:$D50,$D6)
+sumifs('Form responses'!FO$2:FO50,
'Form responses'!$D$2:$D50,$D6)+sumifs('Form responses'!BT$2:BT50,'Form responses'!$D$2:$D50, $D6))</f>
        <v>0</v>
      </c>
      <c r="AL6" s="485">
        <f>sumifs('Form responses'!EZ$2:EZ50,
'Form responses'!$D$2:$D50,$D6)
-(sumifs('Form responses'!GF$2:GF50,
'Form responses'!$D$2:$D50,$D6)
+sumifs('Form responses'!FP$2:FP50,
'Form responses'!$D$2:$D50,$D6)+sumifs('Form responses'!BV$2:BV50,'Form responses'!$D$2:$D50, $D6))</f>
        <v>0</v>
      </c>
      <c r="AM6" s="485">
        <f>sumifs('Form responses'!FA$2:FA50,
'Form responses'!$D$2:$D50,$D6)
-(sumifs('Form responses'!GG$2:GG50,
'Form responses'!$D$2:$D50,$D6)
+sumifs('Form responses'!FQ$2:FQ50,
'Form responses'!$D$2:$D50,$D6)+sumifs('Form responses'!BX$2:BX50, 'Form responses'!$D$2:$D50, $D6))</f>
        <v>0</v>
      </c>
      <c r="AN6" s="498">
        <f>sumifs('Form responses'!FB$2:FB50,
'Form responses'!$D$2:$D50,$D6)
-(sumifs('Form responses'!GH$2:GH50,
'Form responses'!$D$2:$D50,$D6)
+sumifs('Form responses'!FR$2:FR50,
'Form responses'!$D$2:$D50,$D6)+sumifs('Form responses'!BZ$2:BZ50,'Form responses'!$D$2:$D50, $D6))</f>
        <v>0</v>
      </c>
      <c r="AO6" s="498">
        <f>sumifs('Form responses'!FC$2:FC50,
'Form responses'!$D$2:$D50,$D6)
-(sumifs('Form responses'!GI$2:GI50,
'Form responses'!$D$2:$D50,$D6)
+sumifs('Form responses'!FS$2:FS50,
'Form responses'!$D$2:$D50,$D6)+sumifs('Form responses'!CB$2:CB50,'Form responses'!$D$2:$D50, $D6))</f>
        <v>0</v>
      </c>
      <c r="AP6" s="486">
        <f>sumifs('Form responses'!FD$2:FD50,
'Form responses'!$D$2:$D50,$D6)
-(sumifs('Form responses'!GJ$2:GJ50,
'Form responses'!$D$2:$D50,$D6)
+sumifs('Form responses'!FT$2:FT50,
'Form responses'!$D$2:$D50,$D6)+sumifs('Form responses'!CD$2:CD50,'Form responses'!$D$2:$D50, $D6))</f>
        <v>0</v>
      </c>
      <c r="AQ6" s="486">
        <f>sumifs('Form responses'!FE$2:FE50,
'Form responses'!$D$2:$D50,$D6)
-(sumifs('Form responses'!GK$2:GK50,
'Form responses'!$D$2:$D50,$D6)
+sumifs('Form responses'!FU$2:FU50,
'Form responses'!$D$2:$D50,$D6)+sumifs('Form responses'!CF$2:CF50,'Form responses'!$D$2:$D50, $D6))</f>
        <v>0</v>
      </c>
    </row>
    <row r="7">
      <c r="A7" s="496"/>
      <c r="B7" s="496"/>
      <c r="C7" s="494">
        <f t="shared" si="1"/>
        <v>45747</v>
      </c>
      <c r="D7" s="501" t="s">
        <v>83</v>
      </c>
      <c r="E7" s="496"/>
      <c r="F7" s="496"/>
      <c r="G7" s="497" t="s">
        <v>70</v>
      </c>
      <c r="H7" s="497" t="s">
        <v>76</v>
      </c>
      <c r="I7" s="498">
        <f>sumifs('Form responses'!$AE$2:$AE50, 'Form responses'!$C$2:$C50, "&lt;="&amp;$C7, 'Form responses'!$D$2:$D50,$D7)-(sumifs('Form responses'!$AF$2:$AF50, 'Form responses'!$C$2:$C50, "&lt;="&amp;$C7, 'Form responses'!$D$2:$D50,$D7))</f>
        <v>0</v>
      </c>
      <c r="J7" s="499"/>
      <c r="K7" s="499"/>
      <c r="L7" s="498">
        <f>sumifs('Form responses'!$AH$2:$AH50, 'Form responses'!$C$2:$C50, "&lt;="&amp;$C7, 'Form responses'!$D$2:$D50,$D7)-(sumifs('Form responses'!$AI$2:$AI50, 'Form responses'!$C$2:$C50, "&lt;="&amp;$C7, 'Form responses'!$D$2:$D50,$D7))</f>
        <v>0</v>
      </c>
      <c r="M7" s="499"/>
      <c r="N7" s="499"/>
      <c r="O7" s="498">
        <f>sumifs('Form responses'!$AN$2:$AN50, 'Form responses'!$C$2:$C50, "&lt;="&amp;$C7, 'Form responses'!$D$2:$D50,$D7)-(sumifs('Form responses'!$AO$2:$AO50, 'Form responses'!$C$2:$C50, "&lt;="&amp;$C7, 'Form responses'!$D$2:$D50,$D7))</f>
        <v>0</v>
      </c>
      <c r="P7" s="499"/>
      <c r="Q7" s="499"/>
      <c r="R7" s="498">
        <f>sumifs('Form responses'!AK$2:AK50, 'Form responses'!$C$2:$C50, "&lt;="&amp;$C7, 'Form responses'!$D$2:$D50,$D7)-(sumifs('Form responses'!AL$2:AL50, 'Form responses'!$C$2:$C50, "&lt;="&amp;$C7, 'Form responses'!$D$2:$D50,$D7))</f>
        <v>0</v>
      </c>
      <c r="S7" s="499"/>
      <c r="T7" s="499"/>
      <c r="U7" s="498">
        <f>sumifs('Form responses'!AQ$2:AQ50, 'Form responses'!$C$2:$C50, "&lt;="&amp;$C7, 'Form responses'!$D$2:$D50,$D7)-(sumifs('Form responses'!AR$2:AR50, 'Form responses'!$C$2:$C50, "&lt;="&amp;$C7, 'Form responses'!$D$2:$D50,$D7))</f>
        <v>0</v>
      </c>
      <c r="V7" s="499"/>
      <c r="W7" s="499"/>
      <c r="X7" s="498">
        <f>sumifs('Form responses'!AT$2:AT50, 'Form responses'!$C$2:$C50, "&lt;="&amp;$C7, 'Form responses'!$D$2:$D50,$D7)-(sumifs('Form responses'!AU$2:AU50, 'Form responses'!$C$2:$C50, "&lt;="&amp;$C7, 'Form responses'!$D$2:$D50,$D7))</f>
        <v>0</v>
      </c>
      <c r="Y7" s="499"/>
      <c r="Z7" s="499"/>
      <c r="AA7" s="498">
        <f>sumifs('Form responses'!AW$2:AW50, 'Form responses'!$C$2:$C50, "&lt;="&amp;$C7, 'Form responses'!$D$2:$D50,$D7)-(sumifs('Form responses'!AX$2:AX50, 'Form responses'!$C$2:$C50, "&lt;="&amp;$C7, 'Form responses'!$D$2:$D50,$D7))</f>
        <v>0</v>
      </c>
      <c r="AB7" s="500">
        <f>sumifs('Form responses'!AZ$2:AZ50, 'Form responses'!$C$2:$C50, "&lt;="&amp;$C7, 'Form responses'!$D$2:$D50,$D7)-(sumifs('Form responses'!BA$2:BA50, 'Form responses'!$C$2:$C50, "&lt;="&amp;$C7, 'Form responses'!$D$2:$D50,$D7))</f>
        <v>0</v>
      </c>
      <c r="AC7" s="499"/>
      <c r="AD7" s="498">
        <f>sumifs('Form responses'!ER$2:ER50,
'Form responses'!$D$2:$D50,$D7)
-(sumifs('Form responses'!FX$2:FX50,
'Form responses'!$D$2:$D50,$D7)
+sumifs('Form responses'!FH$2:FH50,
'Form responses'!$D$2:$D50,$D7)+sumifs('Form responses'!BF$2:BF50, 'Form responses'!$D$2:$D50, $D7))</f>
        <v>0</v>
      </c>
      <c r="AE7" s="498">
        <f>sumifs('Form responses'!ES$2:ES50,
'Form responses'!$D$2:$D50,$D7)
-(sumifs('Form responses'!FY$2:FY50,
'Form responses'!$D$2:$D50,$D7)
+sumifs('Form responses'!FI$2:FI50,
'Form responses'!$D$2:$D50,$D7)+sumifs('Form responses'!BH$2:BH50, 'Form responses'!$D$2:$D50, $D7))</f>
        <v>0</v>
      </c>
      <c r="AF7" s="498">
        <f>sumifs('Form responses'!ET$2:ET50,
'Form responses'!$D$2:$D50,$D7)
-(sumifs('Form responses'!FZ$2:FZ50,
'Form responses'!$D$2:$D50,$D7)
+sumifs('Form responses'!FJ$2:FJ50,
'Form responses'!$D$2:$D50,$D7)+sumifs('Form responses'!BJ$2:BJ50,'Form responses'!$D$2:$D50, $D7))</f>
        <v>0</v>
      </c>
      <c r="AG7" s="498">
        <f>sumifs('Form responses'!EU$2:EU50,
'Form responses'!$D$2:$D50,$D7)
-(sumifs('Form responses'!GA$2:GA50,
'Form responses'!$D$2:$D50,$D7)
+sumifs('Form responses'!FK$2:FK50,
'Form responses'!$D$2:$D50,$D7)+sumifs('Form responses'!BL$2:BL50, 'Form responses'!$D$2:$D50, $D7))</f>
        <v>0</v>
      </c>
      <c r="AH7" s="498">
        <f>sumifs('Form responses'!EV$2:EV50,
'Form responses'!$D$2:$D50,$D7)
-(sumifs('Form responses'!GB$2:GB50,
'Form responses'!$D$2:$D50,$D7)
+sumifs('Form responses'!FL$2:FL50,
'Form responses'!$D$2:$D50,$D7)+sumifs('Form responses'!BN$2:BN50,'Form responses'!$D$2:$D50, $D7))</f>
        <v>0</v>
      </c>
      <c r="AI7" s="498">
        <f>sumifs('Form responses'!EW$2:EW50,
'Form responses'!$D$2:$D50,$D7)
-(sumifs('Form responses'!GC$2:GC50,
'Form responses'!$D$2:$D50,$D7)
+sumifs('Form responses'!FM$2:FM50,
'Form responses'!$D$2:$D50,$D7)+sumifs('Form responses'!BP$2:BP50,'Form responses'!$D$2:$D50, $D7))</f>
        <v>0</v>
      </c>
      <c r="AJ7" s="485">
        <f>sumifs('Form responses'!EX$2:EX50,
'Form responses'!$D$2:$D50,$D7)
-(sumifs('Form responses'!GD$2:GD50,
'Form responses'!$D$2:$D50,$D7)
+sumifs('Form responses'!FN$2:FN50,
'Form responses'!$D$2:$D50,$D7)+sumifs('Form responses'!BR$2:BR50, 'Form responses'!$D$2:$D50, $D7))</f>
        <v>0</v>
      </c>
      <c r="AK7" s="485">
        <f>sumifs('Form responses'!EY$2:EY50,
'Form responses'!$D$2:$D50,$D7)
-(sumifs('Form responses'!GE$2:GE50,
'Form responses'!$D$2:$D50,$D7)
+sumifs('Form responses'!FO$2:FO50,
'Form responses'!$D$2:$D50,$D7)+sumifs('Form responses'!BT$2:BT50,'Form responses'!$D$2:$D50, $D7))</f>
        <v>0</v>
      </c>
      <c r="AL7" s="485">
        <f>sumifs('Form responses'!EZ$2:EZ50,
'Form responses'!$D$2:$D50,$D7)
-(sumifs('Form responses'!GF$2:GF50,
'Form responses'!$D$2:$D50,$D7)
+sumifs('Form responses'!FP$2:FP50,
'Form responses'!$D$2:$D50,$D7)+sumifs('Form responses'!BV$2:BV50,'Form responses'!$D$2:$D50, $D7))</f>
        <v>0</v>
      </c>
      <c r="AM7" s="485">
        <f>sumifs('Form responses'!FA$2:FA50,
'Form responses'!$D$2:$D50,$D7)
-(sumifs('Form responses'!GG$2:GG50,
'Form responses'!$D$2:$D50,$D7)
+sumifs('Form responses'!FQ$2:FQ50,
'Form responses'!$D$2:$D50,$D7)+sumifs('Form responses'!BX$2:BX50, 'Form responses'!$D$2:$D50, $D7))</f>
        <v>0</v>
      </c>
      <c r="AN7" s="498">
        <f>sumifs('Form responses'!FB$2:FB50,
'Form responses'!$D$2:$D50,$D7)
-(sumifs('Form responses'!GH$2:GH50,
'Form responses'!$D$2:$D50,$D7)
+sumifs('Form responses'!FR$2:FR50,
'Form responses'!$D$2:$D50,$D7)+sumifs('Form responses'!BZ$2:BZ50,'Form responses'!$D$2:$D50, $D7))</f>
        <v>0</v>
      </c>
      <c r="AO7" s="498">
        <f>sumifs('Form responses'!FC$2:FC50,
'Form responses'!$D$2:$D50,$D7)
-(sumifs('Form responses'!GI$2:GI50,
'Form responses'!$D$2:$D50,$D7)
+sumifs('Form responses'!FS$2:FS50,
'Form responses'!$D$2:$D50,$D7)+sumifs('Form responses'!CB$2:CB50,'Form responses'!$D$2:$D50, $D7))</f>
        <v>0</v>
      </c>
      <c r="AP7" s="486">
        <f>sumifs('Form responses'!FD$2:FD50,
'Form responses'!$D$2:$D50,$D7)
-(sumifs('Form responses'!GJ$2:GJ50,
'Form responses'!$D$2:$D50,$D7)
+sumifs('Form responses'!FT$2:FT50,
'Form responses'!$D$2:$D50,$D7)+sumifs('Form responses'!CD$2:CD50,'Form responses'!$D$2:$D50, $D7))</f>
        <v>0</v>
      </c>
      <c r="AQ7" s="486">
        <f>sumifs('Form responses'!FE$2:FE50,
'Form responses'!$D$2:$D50,$D7)
-(sumifs('Form responses'!GK$2:GK50,
'Form responses'!$D$2:$D50,$D7)
+sumifs('Form responses'!FU$2:FU50,
'Form responses'!$D$2:$D50,$D7)+sumifs('Form responses'!CF$2:CF50,'Form responses'!$D$2:$D50, $D7))</f>
        <v>0</v>
      </c>
    </row>
    <row r="8">
      <c r="A8" s="496"/>
      <c r="B8" s="496"/>
      <c r="C8" s="494">
        <f t="shared" si="1"/>
        <v>45747</v>
      </c>
      <c r="D8" s="501" t="s">
        <v>26</v>
      </c>
      <c r="E8" s="496"/>
      <c r="F8" s="496"/>
      <c r="G8" s="497" t="s">
        <v>70</v>
      </c>
      <c r="H8" s="497" t="s">
        <v>76</v>
      </c>
      <c r="I8" s="498">
        <f>sumifs('Form responses'!$AE$2:$AE50, 'Form responses'!$C$2:$C50, "&lt;="&amp;$C8, 'Form responses'!$D$2:$D50,$D8)-(sumifs('Form responses'!$AF$2:$AF50, 'Form responses'!$C$2:$C50, "&lt;="&amp;$C8, 'Form responses'!$D$2:$D50,$D8))</f>
        <v>0</v>
      </c>
      <c r="J8" s="499"/>
      <c r="K8" s="499"/>
      <c r="L8" s="498">
        <f>sumifs('Form responses'!$AH$2:$AH50, 'Form responses'!$C$2:$C50, "&lt;="&amp;$C8, 'Form responses'!$D$2:$D50,$D8)-(sumifs('Form responses'!$AI$2:$AI50, 'Form responses'!$C$2:$C50, "&lt;="&amp;$C8, 'Form responses'!$D$2:$D50,$D8))</f>
        <v>0</v>
      </c>
      <c r="M8" s="499"/>
      <c r="N8" s="499"/>
      <c r="O8" s="498">
        <f>sumifs('Form responses'!$AN$2:$AN50, 'Form responses'!$C$2:$C50, "&lt;="&amp;$C8, 'Form responses'!$D$2:$D50,$D8)-(sumifs('Form responses'!$AO$2:$AO50, 'Form responses'!$C$2:$C50, "&lt;="&amp;$C8, 'Form responses'!$D$2:$D50,$D8))</f>
        <v>330</v>
      </c>
      <c r="P8" s="499"/>
      <c r="Q8" s="499"/>
      <c r="R8" s="498">
        <f>sumifs('Form responses'!AK$2:AK50, 'Form responses'!$C$2:$C50, "&lt;="&amp;$C8, 'Form responses'!$D$2:$D50,$D8)-(sumifs('Form responses'!AL$2:AL50, 'Form responses'!$C$2:$C50, "&lt;="&amp;$C8, 'Form responses'!$D$2:$D50,$D8))</f>
        <v>0</v>
      </c>
      <c r="S8" s="499"/>
      <c r="T8" s="499"/>
      <c r="U8" s="498">
        <f>sumifs('Form responses'!AQ$2:AQ50, 'Form responses'!$C$2:$C50, "&lt;="&amp;$C8, 'Form responses'!$D$2:$D50,$D8)-(sumifs('Form responses'!AR$2:AR50, 'Form responses'!$C$2:$C50, "&lt;="&amp;$C8, 'Form responses'!$D$2:$D50,$D8))</f>
        <v>0</v>
      </c>
      <c r="V8" s="499"/>
      <c r="W8" s="499"/>
      <c r="X8" s="498">
        <f>sumifs('Form responses'!AT$2:AT50, 'Form responses'!$C$2:$C50, "&lt;="&amp;$C8, 'Form responses'!$D$2:$D50,$D8)-(sumifs('Form responses'!AU$2:AU50, 'Form responses'!$C$2:$C50, "&lt;="&amp;$C8, 'Form responses'!$D$2:$D50,$D8))</f>
        <v>0</v>
      </c>
      <c r="Y8" s="499"/>
      <c r="Z8" s="499"/>
      <c r="AA8" s="498">
        <f>sumifs('Form responses'!AW$2:AW50, 'Form responses'!$C$2:$C50, "&lt;="&amp;$C8, 'Form responses'!$D$2:$D50,$D8)-(sumifs('Form responses'!AX$2:AX50, 'Form responses'!$C$2:$C50, "&lt;="&amp;$C8, 'Form responses'!$D$2:$D50,$D8))</f>
        <v>0</v>
      </c>
      <c r="AB8" s="500">
        <f>sumifs('Form responses'!AZ$2:AZ50, 'Form responses'!$C$2:$C50, "&lt;="&amp;$C8, 'Form responses'!$D$2:$D50,$D8)-(sumifs('Form responses'!BA$2:BA50, 'Form responses'!$C$2:$C50, "&lt;="&amp;$C8, 'Form responses'!$D$2:$D50,$D8))</f>
        <v>0</v>
      </c>
      <c r="AC8" s="499"/>
      <c r="AD8" s="498">
        <f>sumifs('Form responses'!ER$2:ER50,
'Form responses'!$D$2:$D50,$D8)
-(sumifs('Form responses'!FX$2:FX50,
'Form responses'!$D$2:$D50,$D8)
+sumifs('Form responses'!FH$2:FH50,
'Form responses'!$D$2:$D50,$D8)+sumifs('Form responses'!BF$2:BF50, 'Form responses'!$D$2:$D50, $D8))</f>
        <v>0</v>
      </c>
      <c r="AE8" s="498">
        <f>sumifs('Form responses'!ES$2:ES50,
'Form responses'!$D$2:$D50,$D8)
-(sumifs('Form responses'!FY$2:FY50,
'Form responses'!$D$2:$D50,$D8)
+sumifs('Form responses'!FI$2:FI50,
'Form responses'!$D$2:$D50,$D8)+sumifs('Form responses'!BH$2:BH50, 'Form responses'!$D$2:$D50, $D8))</f>
        <v>0</v>
      </c>
      <c r="AF8" s="498">
        <f>sumifs('Form responses'!ET$2:ET50,
'Form responses'!$D$2:$D50,$D8)
-(sumifs('Form responses'!FZ$2:FZ50,
'Form responses'!$D$2:$D50,$D8)
+sumifs('Form responses'!FJ$2:FJ50,
'Form responses'!$D$2:$D50,$D8)+sumifs('Form responses'!BJ$2:BJ50,'Form responses'!$D$2:$D50, $D8))</f>
        <v>0</v>
      </c>
      <c r="AG8" s="498">
        <f>sumifs('Form responses'!EU$2:EU50,
'Form responses'!$D$2:$D50,$D8)
-(sumifs('Form responses'!GA$2:GA50,
'Form responses'!$D$2:$D50,$D8)
+sumifs('Form responses'!FK$2:FK50,
'Form responses'!$D$2:$D50,$D8)+sumifs('Form responses'!BL$2:BL50, 'Form responses'!$D$2:$D50, $D8))</f>
        <v>0</v>
      </c>
      <c r="AH8" s="498">
        <f>sumifs('Form responses'!EV$2:EV50,
'Form responses'!$D$2:$D50,$D8)
-(sumifs('Form responses'!GB$2:GB50,
'Form responses'!$D$2:$D50,$D8)
+sumifs('Form responses'!FL$2:FL50,
'Form responses'!$D$2:$D50,$D8)+sumifs('Form responses'!BN$2:BN50,'Form responses'!$D$2:$D50, $D8))</f>
        <v>0</v>
      </c>
      <c r="AI8" s="498">
        <f>sumifs('Form responses'!EW$2:EW50,
'Form responses'!$D$2:$D50,$D8)
-(sumifs('Form responses'!GC$2:GC50,
'Form responses'!$D$2:$D50,$D8)
+sumifs('Form responses'!FM$2:FM50,
'Form responses'!$D$2:$D50,$D8)+sumifs('Form responses'!BP$2:BP50,'Form responses'!$D$2:$D50, $D8))</f>
        <v>0</v>
      </c>
      <c r="AJ8" s="485">
        <f>sumifs('Form responses'!EX$2:EX50,
'Form responses'!$D$2:$D50,$D8)
-(sumifs('Form responses'!GD$2:GD50,
'Form responses'!$D$2:$D50,$D8)
+sumifs('Form responses'!FN$2:FN50,
'Form responses'!$D$2:$D50,$D8)+sumifs('Form responses'!BR$2:BR50, 'Form responses'!$D$2:$D50, $D8))</f>
        <v>0</v>
      </c>
      <c r="AK8" s="485">
        <f>sumifs('Form responses'!EY$2:EY50,
'Form responses'!$D$2:$D50,$D8)
-(sumifs('Form responses'!GE$2:GE50,
'Form responses'!$D$2:$D50,$D8)
+sumifs('Form responses'!FO$2:FO50,
'Form responses'!$D$2:$D50,$D8)+sumifs('Form responses'!BT$2:BT50,'Form responses'!$D$2:$D50, $D8))</f>
        <v>0</v>
      </c>
      <c r="AL8" s="485">
        <f>sumifs('Form responses'!EZ$2:EZ50,
'Form responses'!$D$2:$D50,$D8)
-(sumifs('Form responses'!GF$2:GF50,
'Form responses'!$D$2:$D50,$D8)
+sumifs('Form responses'!FP$2:FP50,
'Form responses'!$D$2:$D50,$D8)+sumifs('Form responses'!BV$2:BV50,'Form responses'!$D$2:$D50, $D8))</f>
        <v>0</v>
      </c>
      <c r="AM8" s="485">
        <f>sumifs('Form responses'!FA$2:FA50,
'Form responses'!$D$2:$D50,$D8)
-(sumifs('Form responses'!GG$2:GG50,
'Form responses'!$D$2:$D50,$D8)
+sumifs('Form responses'!FQ$2:FQ50,
'Form responses'!$D$2:$D50,$D8)+sumifs('Form responses'!BX$2:BX50, 'Form responses'!$D$2:$D50, $D8))</f>
        <v>0</v>
      </c>
      <c r="AN8" s="498">
        <f>sumifs('Form responses'!FB$2:FB50,
'Form responses'!$D$2:$D50,$D8)
-(sumifs('Form responses'!GH$2:GH50,
'Form responses'!$D$2:$D50,$D8)
+sumifs('Form responses'!FR$2:FR50,
'Form responses'!$D$2:$D50,$D8)+sumifs('Form responses'!BZ$2:BZ50,'Form responses'!$D$2:$D50, $D8))</f>
        <v>15</v>
      </c>
      <c r="AO8" s="498">
        <f>sumifs('Form responses'!FC$2:FC50,
'Form responses'!$D$2:$D50,$D8)
-(sumifs('Form responses'!GI$2:GI50,
'Form responses'!$D$2:$D50,$D8)
+sumifs('Form responses'!FS$2:FS50,
'Form responses'!$D$2:$D50,$D8)+sumifs('Form responses'!CB$2:CB50,'Form responses'!$D$2:$D50, $D8))</f>
        <v>0</v>
      </c>
      <c r="AP8" s="486">
        <f>sumifs('Form responses'!FD$2:FD50,
'Form responses'!$D$2:$D50,$D8)
-(sumifs('Form responses'!GJ$2:GJ50,
'Form responses'!$D$2:$D50,$D8)
+sumifs('Form responses'!FT$2:FT50,
'Form responses'!$D$2:$D50,$D8)+sumifs('Form responses'!CD$2:CD50,'Form responses'!$D$2:$D50, $D8))</f>
        <v>0</v>
      </c>
      <c r="AQ8" s="486">
        <f>sumifs('Form responses'!FE$2:FE50,
'Form responses'!$D$2:$D50,$D8)
-(sumifs('Form responses'!GK$2:GK50,
'Form responses'!$D$2:$D50,$D8)
+sumifs('Form responses'!FU$2:FU50,
'Form responses'!$D$2:$D50,$D8)+sumifs('Form responses'!CF$2:CF50,'Form responses'!$D$2:$D50, $D8))</f>
        <v>0</v>
      </c>
    </row>
    <row r="9">
      <c r="A9" s="496"/>
      <c r="B9" s="496"/>
      <c r="C9" s="494">
        <f t="shared" si="1"/>
        <v>45747</v>
      </c>
      <c r="D9" s="501" t="s">
        <v>29</v>
      </c>
      <c r="E9" s="496"/>
      <c r="F9" s="496"/>
      <c r="G9" s="497" t="s">
        <v>70</v>
      </c>
      <c r="H9" s="497" t="s">
        <v>76</v>
      </c>
      <c r="I9" s="498">
        <f>sumifs('Form responses'!$AE$2:$AE50, 'Form responses'!$C$2:$C50, "&lt;="&amp;$C9, 'Form responses'!$D$2:$D50,$D9)-(sumifs('Form responses'!$AF$2:$AF50, 'Form responses'!$C$2:$C50, "&lt;="&amp;$C9, 'Form responses'!$D$2:$D50,$D9))</f>
        <v>0</v>
      </c>
      <c r="J9" s="499"/>
      <c r="K9" s="499"/>
      <c r="L9" s="498">
        <f>sumifs('Form responses'!$AH$2:$AH50, 'Form responses'!$C$2:$C50, "&lt;="&amp;$C9, 'Form responses'!$D$2:$D50,$D9)-(sumifs('Form responses'!$AI$2:$AI50, 'Form responses'!$C$2:$C50, "&lt;="&amp;$C9, 'Form responses'!$D$2:$D50,$D9))</f>
        <v>0</v>
      </c>
      <c r="M9" s="499"/>
      <c r="N9" s="499"/>
      <c r="O9" s="498">
        <f>sumifs('Form responses'!$AN$2:$AN50, 'Form responses'!$C$2:$C50, "&lt;="&amp;$C9, 'Form responses'!$D$2:$D50,$D9)-(sumifs('Form responses'!$AO$2:$AO50, 'Form responses'!$C$2:$C50, "&lt;="&amp;$C9, 'Form responses'!$D$2:$D50,$D9))</f>
        <v>0</v>
      </c>
      <c r="P9" s="499"/>
      <c r="Q9" s="499"/>
      <c r="R9" s="498">
        <f>sumifs('Form responses'!AK$2:AK50, 'Form responses'!$C$2:$C50, "&lt;="&amp;$C9, 'Form responses'!$D$2:$D50,$D9)-(sumifs('Form responses'!AL$2:AL50, 'Form responses'!$C$2:$C50, "&lt;="&amp;$C9, 'Form responses'!$D$2:$D50,$D9))</f>
        <v>0</v>
      </c>
      <c r="S9" s="499"/>
      <c r="T9" s="499"/>
      <c r="U9" s="498">
        <f>sumifs('Form responses'!AQ$2:AQ50, 'Form responses'!$C$2:$C50, "&lt;="&amp;$C9, 'Form responses'!$D$2:$D50,$D9)-(sumifs('Form responses'!AR$2:AR50, 'Form responses'!$C$2:$C50, "&lt;="&amp;$C9, 'Form responses'!$D$2:$D50,$D9))</f>
        <v>0</v>
      </c>
      <c r="V9" s="499"/>
      <c r="W9" s="499"/>
      <c r="X9" s="498">
        <f>sumifs('Form responses'!AT$2:AT50, 'Form responses'!$C$2:$C50, "&lt;="&amp;$C9, 'Form responses'!$D$2:$D50,$D9)-(sumifs('Form responses'!AU$2:AU50, 'Form responses'!$C$2:$C50, "&lt;="&amp;$C9, 'Form responses'!$D$2:$D50,$D9))</f>
        <v>0</v>
      </c>
      <c r="Y9" s="499"/>
      <c r="Z9" s="499"/>
      <c r="AA9" s="498">
        <f>sumifs('Form responses'!AW$2:AW50, 'Form responses'!$C$2:$C50, "&lt;="&amp;$C9, 'Form responses'!$D$2:$D50,$D9)-(sumifs('Form responses'!AX$2:AX50, 'Form responses'!$C$2:$C50, "&lt;="&amp;$C9, 'Form responses'!$D$2:$D50,$D9))</f>
        <v>0</v>
      </c>
      <c r="AB9" s="500">
        <f>sumifs('Form responses'!AZ$2:AZ50, 'Form responses'!$C$2:$C50, "&lt;="&amp;$C9, 'Form responses'!$D$2:$D50,$D9)-(sumifs('Form responses'!BA$2:BA50, 'Form responses'!$C$2:$C50, "&lt;="&amp;$C9, 'Form responses'!$D$2:$D50,$D9))</f>
        <v>0</v>
      </c>
      <c r="AC9" s="499"/>
      <c r="AD9" s="498">
        <f>sumifs('Form responses'!ER$2:ER50,
'Form responses'!$D$2:$D50,$D9)
-(sumifs('Form responses'!FX$2:FX50,
'Form responses'!$D$2:$D50,$D9)
+sumifs('Form responses'!FH$2:FH50,
'Form responses'!$D$2:$D50,$D9)+sumifs('Form responses'!BF$2:BF50, 'Form responses'!$D$2:$D50, $D9))</f>
        <v>0</v>
      </c>
      <c r="AE9" s="498">
        <f>sumifs('Form responses'!ES$2:ES50,
'Form responses'!$D$2:$D50,$D9)
-(sumifs('Form responses'!FY$2:FY50,
'Form responses'!$D$2:$D50,$D9)
+sumifs('Form responses'!FI$2:FI50,
'Form responses'!$D$2:$D50,$D9)+sumifs('Form responses'!BH$2:BH50, 'Form responses'!$D$2:$D50, $D9))</f>
        <v>0</v>
      </c>
      <c r="AF9" s="498">
        <f>sumifs('Form responses'!ET$2:ET50,
'Form responses'!$D$2:$D50,$D9)
-(sumifs('Form responses'!FZ$2:FZ50,
'Form responses'!$D$2:$D50,$D9)
+sumifs('Form responses'!FJ$2:FJ50,
'Form responses'!$D$2:$D50,$D9)+sumifs('Form responses'!BJ$2:BJ50,'Form responses'!$D$2:$D50, $D9))</f>
        <v>0</v>
      </c>
      <c r="AG9" s="498">
        <f>sumifs('Form responses'!EU$2:EU50,
'Form responses'!$D$2:$D50,$D9)
-(sumifs('Form responses'!GA$2:GA50,
'Form responses'!$D$2:$D50,$D9)
+sumifs('Form responses'!FK$2:FK50,
'Form responses'!$D$2:$D50,$D9)+sumifs('Form responses'!BL$2:BL50, 'Form responses'!$D$2:$D50, $D9))</f>
        <v>0</v>
      </c>
      <c r="AH9" s="498">
        <f>sumifs('Form responses'!EV$2:EV50,
'Form responses'!$D$2:$D50,$D9)
-(sumifs('Form responses'!GB$2:GB50,
'Form responses'!$D$2:$D50,$D9)
+sumifs('Form responses'!FL$2:FL50,
'Form responses'!$D$2:$D50,$D9)+sumifs('Form responses'!BN$2:BN50,'Form responses'!$D$2:$D50, $D9))</f>
        <v>0</v>
      </c>
      <c r="AI9" s="498">
        <f>sumifs('Form responses'!EW$2:EW50,
'Form responses'!$D$2:$D50,$D9)
-(sumifs('Form responses'!GC$2:GC50,
'Form responses'!$D$2:$D50,$D9)
+sumifs('Form responses'!FM$2:FM50,
'Form responses'!$D$2:$D50,$D9)+sumifs('Form responses'!BP$2:BP50,'Form responses'!$D$2:$D50, $D9))</f>
        <v>0</v>
      </c>
      <c r="AJ9" s="485">
        <f>sumifs('Form responses'!EX$2:EX50,
'Form responses'!$D$2:$D50,$D9)
-(sumifs('Form responses'!GD$2:GD50,
'Form responses'!$D$2:$D50,$D9)
+sumifs('Form responses'!FN$2:FN50,
'Form responses'!$D$2:$D50,$D9)+sumifs('Form responses'!BR$2:BR50, 'Form responses'!$D$2:$D50, $D9))</f>
        <v>0</v>
      </c>
      <c r="AK9" s="485">
        <f>sumifs('Form responses'!EY$2:EY50,
'Form responses'!$D$2:$D50,$D9)
-(sumifs('Form responses'!GE$2:GE50,
'Form responses'!$D$2:$D50,$D9)
+sumifs('Form responses'!FO$2:FO50,
'Form responses'!$D$2:$D50,$D9)+sumifs('Form responses'!BT$2:BT50,'Form responses'!$D$2:$D50, $D9))</f>
        <v>0</v>
      </c>
      <c r="AL9" s="485">
        <f>sumifs('Form responses'!EZ$2:EZ50,
'Form responses'!$D$2:$D50,$D9)
-(sumifs('Form responses'!GF$2:GF50,
'Form responses'!$D$2:$D50,$D9)
+sumifs('Form responses'!FP$2:FP50,
'Form responses'!$D$2:$D50,$D9)+sumifs('Form responses'!BV$2:BV50,'Form responses'!$D$2:$D50, $D9))</f>
        <v>0</v>
      </c>
      <c r="AM9" s="485">
        <f>sumifs('Form responses'!FA$2:FA50,
'Form responses'!$D$2:$D50,$D9)
-(sumifs('Form responses'!GG$2:GG50,
'Form responses'!$D$2:$D50,$D9)
+sumifs('Form responses'!FQ$2:FQ50,
'Form responses'!$D$2:$D50,$D9)+sumifs('Form responses'!BX$2:BX50, 'Form responses'!$D$2:$D50, $D9))</f>
        <v>0</v>
      </c>
      <c r="AN9" s="498">
        <f>sumifs('Form responses'!FB$2:FB50,
'Form responses'!$D$2:$D50,$D9)
-(sumifs('Form responses'!GH$2:GH50,
'Form responses'!$D$2:$D50,$D9)
+sumifs('Form responses'!FR$2:FR50,
'Form responses'!$D$2:$D50,$D9)+sumifs('Form responses'!BZ$2:BZ50,'Form responses'!$D$2:$D50, $D9))</f>
        <v>0</v>
      </c>
      <c r="AO9" s="498">
        <f>sumifs('Form responses'!FC$2:FC50,
'Form responses'!$D$2:$D50,$D9)
-(sumifs('Form responses'!GI$2:GI50,
'Form responses'!$D$2:$D50,$D9)
+sumifs('Form responses'!FS$2:FS50,
'Form responses'!$D$2:$D50,$D9)+sumifs('Form responses'!CB$2:CB50,'Form responses'!$D$2:$D50, $D9))</f>
        <v>15</v>
      </c>
      <c r="AP9" s="486">
        <f>sumifs('Form responses'!FD$2:FD50,
'Form responses'!$D$2:$D50,$D9)
-(sumifs('Form responses'!GJ$2:GJ50,
'Form responses'!$D$2:$D50,$D9)
+sumifs('Form responses'!FT$2:FT50,
'Form responses'!$D$2:$D50,$D9)+sumifs('Form responses'!CD$2:CD50,'Form responses'!$D$2:$D50, $D9))</f>
        <v>0</v>
      </c>
      <c r="AQ9" s="486">
        <f>sumifs('Form responses'!FE$2:FE50,
'Form responses'!$D$2:$D50,$D9)
-(sumifs('Form responses'!GK$2:GK50,
'Form responses'!$D$2:$D50,$D9)
+sumifs('Form responses'!FU$2:FU50,
'Form responses'!$D$2:$D50,$D9)+sumifs('Form responses'!CF$2:CF50,'Form responses'!$D$2:$D50, $D9))</f>
        <v>0</v>
      </c>
    </row>
    <row r="10">
      <c r="A10" s="496"/>
      <c r="B10" s="496"/>
      <c r="C10" s="494">
        <f t="shared" si="1"/>
        <v>45747</v>
      </c>
      <c r="D10" s="501" t="s">
        <v>84</v>
      </c>
      <c r="E10" s="496"/>
      <c r="F10" s="496"/>
      <c r="G10" s="497" t="s">
        <v>70</v>
      </c>
      <c r="H10" s="497" t="s">
        <v>76</v>
      </c>
      <c r="I10" s="498">
        <f>sumifs('Form responses'!$AE$2:$AE50, 'Form responses'!$C$2:$C50, "&lt;="&amp;$C10, 'Form responses'!$D$2:$D50,$D10)-(sumifs('Form responses'!$AF$2:$AF50, 'Form responses'!$C$2:$C50, "&lt;="&amp;$C10, 'Form responses'!$D$2:$D50,$D10))</f>
        <v>0</v>
      </c>
      <c r="J10" s="499"/>
      <c r="K10" s="499"/>
      <c r="L10" s="498">
        <f>sumifs('Form responses'!$AH$2:$AH50, 'Form responses'!$C$2:$C50, "&lt;="&amp;$C10, 'Form responses'!$D$2:$D50,$D10)-(sumifs('Form responses'!$AI$2:$AI50, 'Form responses'!$C$2:$C50, "&lt;="&amp;$C10, 'Form responses'!$D$2:$D50,$D10))</f>
        <v>0</v>
      </c>
      <c r="M10" s="499"/>
      <c r="N10" s="499"/>
      <c r="O10" s="498">
        <f>sumifs('Form responses'!$AN$2:$AN50, 'Form responses'!$C$2:$C50, "&lt;="&amp;$C10, 'Form responses'!$D$2:$D50,$D10)-(sumifs('Form responses'!$AO$2:$AO50, 'Form responses'!$C$2:$C50, "&lt;="&amp;$C10, 'Form responses'!$D$2:$D50,$D10))</f>
        <v>0</v>
      </c>
      <c r="P10" s="499"/>
      <c r="Q10" s="499"/>
      <c r="R10" s="498">
        <f>sumifs('Form responses'!AK$2:AK50, 'Form responses'!$C$2:$C50, "&lt;="&amp;$C10, 'Form responses'!$D$2:$D50,$D10)-(sumifs('Form responses'!AL$2:AL50, 'Form responses'!$C$2:$C50, "&lt;="&amp;$C10, 'Form responses'!$D$2:$D50,$D10))</f>
        <v>0</v>
      </c>
      <c r="S10" s="499"/>
      <c r="T10" s="499"/>
      <c r="U10" s="498">
        <f>sumifs('Form responses'!AQ$2:AQ50, 'Form responses'!$C$2:$C50, "&lt;="&amp;$C10, 'Form responses'!$D$2:$D50,$D10)-(sumifs('Form responses'!AR$2:AR50, 'Form responses'!$C$2:$C50, "&lt;="&amp;$C10, 'Form responses'!$D$2:$D50,$D10))</f>
        <v>0</v>
      </c>
      <c r="V10" s="499"/>
      <c r="W10" s="499"/>
      <c r="X10" s="498">
        <f>sumifs('Form responses'!AT$2:AT50, 'Form responses'!$C$2:$C50, "&lt;="&amp;$C10, 'Form responses'!$D$2:$D50,$D10)-(sumifs('Form responses'!AU$2:AU50, 'Form responses'!$C$2:$C50, "&lt;="&amp;$C10, 'Form responses'!$D$2:$D50,$D10))</f>
        <v>0</v>
      </c>
      <c r="Y10" s="499"/>
      <c r="Z10" s="499"/>
      <c r="AA10" s="498">
        <f>sumifs('Form responses'!AW$2:AW50, 'Form responses'!$C$2:$C50, "&lt;="&amp;$C10, 'Form responses'!$D$2:$D50,$D10)-(sumifs('Form responses'!AX$2:AX50, 'Form responses'!$C$2:$C50, "&lt;="&amp;$C10, 'Form responses'!$D$2:$D50,$D10))</f>
        <v>0</v>
      </c>
      <c r="AB10" s="500">
        <f>sumifs('Form responses'!AZ$2:AZ50, 'Form responses'!$C$2:$C50, "&lt;="&amp;$C10, 'Form responses'!$D$2:$D50,$D10)-(sumifs('Form responses'!BA$2:BA50, 'Form responses'!$C$2:$C50, "&lt;="&amp;$C10, 'Form responses'!$D$2:$D50,$D10))</f>
        <v>0</v>
      </c>
      <c r="AC10" s="499"/>
      <c r="AD10" s="498">
        <f>sumifs('Form responses'!ER$2:ER50,
'Form responses'!$D$2:$D50,$D10)
-(sumifs('Form responses'!FX$2:FX50,
'Form responses'!$D$2:$D50,$D10)
+sumifs('Form responses'!FH$2:FH50,
'Form responses'!$D$2:$D50,$D10)+sumifs('Form responses'!BF$2:BF50, 'Form responses'!$D$2:$D50, $D10))</f>
        <v>0</v>
      </c>
      <c r="AE10" s="498">
        <f>sumifs('Form responses'!ES$2:ES50,
'Form responses'!$D$2:$D50,$D10)
-(sumifs('Form responses'!FY$2:FY50,
'Form responses'!$D$2:$D50,$D10)
+sumifs('Form responses'!FI$2:FI50,
'Form responses'!$D$2:$D50,$D10)+sumifs('Form responses'!BH$2:BH50, 'Form responses'!$D$2:$D50, $D10))</f>
        <v>0</v>
      </c>
      <c r="AF10" s="498">
        <f>sumifs('Form responses'!ET$2:ET50,
'Form responses'!$D$2:$D50,$D10)
-(sumifs('Form responses'!FZ$2:FZ50,
'Form responses'!$D$2:$D50,$D10)
+sumifs('Form responses'!FJ$2:FJ50,
'Form responses'!$D$2:$D50,$D10)+sumifs('Form responses'!BJ$2:BJ50,'Form responses'!$D$2:$D50, $D10))</f>
        <v>0</v>
      </c>
      <c r="AG10" s="498">
        <f>sumifs('Form responses'!EU$2:EU50,
'Form responses'!$D$2:$D50,$D10)
-(sumifs('Form responses'!GA$2:GA50,
'Form responses'!$D$2:$D50,$D10)
+sumifs('Form responses'!FK$2:FK50,
'Form responses'!$D$2:$D50,$D10)+sumifs('Form responses'!BL$2:BL50, 'Form responses'!$D$2:$D50, $D10))</f>
        <v>0</v>
      </c>
      <c r="AH10" s="498">
        <f>sumifs('Form responses'!EV$2:EV50,
'Form responses'!$D$2:$D50,$D10)
-(sumifs('Form responses'!GB$2:GB50,
'Form responses'!$D$2:$D50,$D10)
+sumifs('Form responses'!FL$2:FL50,
'Form responses'!$D$2:$D50,$D10)+sumifs('Form responses'!BN$2:BN50,'Form responses'!$D$2:$D50, $D10))</f>
        <v>0</v>
      </c>
      <c r="AI10" s="498">
        <f>sumifs('Form responses'!EW$2:EW50,
'Form responses'!$D$2:$D50,$D10)
-(sumifs('Form responses'!GC$2:GC50,
'Form responses'!$D$2:$D50,$D10)
+sumifs('Form responses'!FM$2:FM50,
'Form responses'!$D$2:$D50,$D10)+sumifs('Form responses'!BP$2:BP50,'Form responses'!$D$2:$D50, $D10))</f>
        <v>0</v>
      </c>
      <c r="AJ10" s="485">
        <f>sumifs('Form responses'!EX$2:EX50,
'Form responses'!$D$2:$D50,$D10)
-(sumifs('Form responses'!GD$2:GD50,
'Form responses'!$D$2:$D50,$D10)
+sumifs('Form responses'!FN$2:FN50,
'Form responses'!$D$2:$D50,$D10)+sumifs('Form responses'!BR$2:BR50, 'Form responses'!$D$2:$D50, $D10))</f>
        <v>0</v>
      </c>
      <c r="AK10" s="485">
        <f>sumifs('Form responses'!EY$2:EY50,
'Form responses'!$D$2:$D50,$D10)
-(sumifs('Form responses'!GE$2:GE50,
'Form responses'!$D$2:$D50,$D10)
+sumifs('Form responses'!FO$2:FO50,
'Form responses'!$D$2:$D50,$D10)+sumifs('Form responses'!BT$2:BT50,'Form responses'!$D$2:$D50, $D10))</f>
        <v>0</v>
      </c>
      <c r="AL10" s="485">
        <f>sumifs('Form responses'!EZ$2:EZ50,
'Form responses'!$D$2:$D50,$D10)
-(sumifs('Form responses'!GF$2:GF50,
'Form responses'!$D$2:$D50,$D10)
+sumifs('Form responses'!FP$2:FP50,
'Form responses'!$D$2:$D50,$D10)+sumifs('Form responses'!BV$2:BV50,'Form responses'!$D$2:$D50, $D10))</f>
        <v>0</v>
      </c>
      <c r="AM10" s="485">
        <f>sumifs('Form responses'!FA$2:FA50,
'Form responses'!$D$2:$D50,$D10)
-(sumifs('Form responses'!GG$2:GG50,
'Form responses'!$D$2:$D50,$D10)
+sumifs('Form responses'!FQ$2:FQ50,
'Form responses'!$D$2:$D50,$D10)+sumifs('Form responses'!BX$2:BX50, 'Form responses'!$D$2:$D50, $D10))</f>
        <v>0</v>
      </c>
      <c r="AN10" s="498">
        <f>sumifs('Form responses'!FB$2:FB50,
'Form responses'!$D$2:$D50,$D10)
-(sumifs('Form responses'!GH$2:GH50,
'Form responses'!$D$2:$D50,$D10)
+sumifs('Form responses'!FR$2:FR50,
'Form responses'!$D$2:$D50,$D10)+sumifs('Form responses'!BZ$2:BZ50,'Form responses'!$D$2:$D50, $D10))</f>
        <v>0</v>
      </c>
      <c r="AO10" s="498">
        <f>sumifs('Form responses'!FC$2:FC50,
'Form responses'!$D$2:$D50,$D10)
-(sumifs('Form responses'!GI$2:GI50,
'Form responses'!$D$2:$D50,$D10)
+sumifs('Form responses'!FS$2:FS50,
'Form responses'!$D$2:$D50,$D10)+sumifs('Form responses'!CB$2:CB50,'Form responses'!$D$2:$D50, $D10))</f>
        <v>0</v>
      </c>
      <c r="AP10" s="486">
        <f>sumifs('Form responses'!FD$2:FD50,
'Form responses'!$D$2:$D50,$D10)
-(sumifs('Form responses'!GJ$2:GJ50,
'Form responses'!$D$2:$D50,$D10)
+sumifs('Form responses'!FT$2:FT50,
'Form responses'!$D$2:$D50,$D10)+sumifs('Form responses'!CD$2:CD50,'Form responses'!$D$2:$D50, $D10))</f>
        <v>0</v>
      </c>
      <c r="AQ10" s="486">
        <f>sumifs('Form responses'!FE$2:FE50,
'Form responses'!$D$2:$D50,$D10)
-(sumifs('Form responses'!GK$2:GK50,
'Form responses'!$D$2:$D50,$D10)
+sumifs('Form responses'!FU$2:FU50,
'Form responses'!$D$2:$D50,$D10)+sumifs('Form responses'!CF$2:CF50,'Form responses'!$D$2:$D50, $D10))</f>
        <v>0</v>
      </c>
    </row>
    <row r="11">
      <c r="A11" s="496"/>
      <c r="B11" s="496"/>
      <c r="C11" s="494">
        <f t="shared" si="1"/>
        <v>45747</v>
      </c>
      <c r="D11" s="501" t="s">
        <v>27</v>
      </c>
      <c r="E11" s="496"/>
      <c r="F11" s="496"/>
      <c r="G11" s="497" t="s">
        <v>70</v>
      </c>
      <c r="H11" s="497" t="s">
        <v>76</v>
      </c>
      <c r="I11" s="498">
        <f>sumifs('Form responses'!$AE$2:$AE50, 'Form responses'!$C$2:$C50, "&lt;="&amp;$C11, 'Form responses'!$D$2:$D50,$D11)-(sumifs('Form responses'!$AF$2:$AF50, 'Form responses'!$C$2:$C50, "&lt;="&amp;$C11, 'Form responses'!$D$2:$D50,$D11))</f>
        <v>0</v>
      </c>
      <c r="J11" s="499"/>
      <c r="K11" s="499"/>
      <c r="L11" s="498">
        <f>sumifs('Form responses'!$AH$2:$AH50, 'Form responses'!$C$2:$C50, "&lt;="&amp;$C11, 'Form responses'!$D$2:$D50,$D11)-(sumifs('Form responses'!$AI$2:$AI50, 'Form responses'!$C$2:$C50, "&lt;="&amp;$C11, 'Form responses'!$D$2:$D50,$D11))</f>
        <v>0</v>
      </c>
      <c r="M11" s="499"/>
      <c r="N11" s="499"/>
      <c r="O11" s="498">
        <f>sumifs('Form responses'!$AN$2:$AN50, 'Form responses'!$C$2:$C50, "&lt;="&amp;$C11, 'Form responses'!$D$2:$D50,$D11)-(sumifs('Form responses'!$AO$2:$AO50, 'Form responses'!$C$2:$C50, "&lt;="&amp;$C11, 'Form responses'!$D$2:$D50,$D11))</f>
        <v>350</v>
      </c>
      <c r="P11" s="499"/>
      <c r="Q11" s="499"/>
      <c r="R11" s="498">
        <f>sumifs('Form responses'!AK$2:AK50, 'Form responses'!$C$2:$C50, "&lt;="&amp;$C11, 'Form responses'!$D$2:$D50,$D11)-(sumifs('Form responses'!AL$2:AL50, 'Form responses'!$C$2:$C50, "&lt;="&amp;$C11, 'Form responses'!$D$2:$D50,$D11))</f>
        <v>0</v>
      </c>
      <c r="S11" s="499"/>
      <c r="T11" s="499"/>
      <c r="U11" s="498">
        <f>sumifs('Form responses'!AQ$2:AQ50, 'Form responses'!$C$2:$C50, "&lt;="&amp;$C11, 'Form responses'!$D$2:$D50,$D11)-(sumifs('Form responses'!AR$2:AR50, 'Form responses'!$C$2:$C50, "&lt;="&amp;$C11, 'Form responses'!$D$2:$D50,$D11))</f>
        <v>0</v>
      </c>
      <c r="V11" s="499"/>
      <c r="W11" s="499"/>
      <c r="X11" s="498">
        <f>sumifs('Form responses'!AT$2:AT50, 'Form responses'!$C$2:$C50, "&lt;="&amp;$C11, 'Form responses'!$D$2:$D50,$D11)-(sumifs('Form responses'!AU$2:AU50, 'Form responses'!$C$2:$C50, "&lt;="&amp;$C11, 'Form responses'!$D$2:$D50,$D11))</f>
        <v>0</v>
      </c>
      <c r="Y11" s="499"/>
      <c r="Z11" s="499"/>
      <c r="AA11" s="498">
        <f>sumifs('Form responses'!AW$2:AW50, 'Form responses'!$C$2:$C50, "&lt;="&amp;$C11, 'Form responses'!$D$2:$D50,$D11)-(sumifs('Form responses'!AX$2:AX50, 'Form responses'!$C$2:$C50, "&lt;="&amp;$C11, 'Form responses'!$D$2:$D50,$D11))</f>
        <v>0</v>
      </c>
      <c r="AB11" s="500">
        <f>sumifs('Form responses'!AZ$2:AZ50, 'Form responses'!$C$2:$C50, "&lt;="&amp;$C11, 'Form responses'!$D$2:$D50,$D11)-(sumifs('Form responses'!BA$2:BA50, 'Form responses'!$C$2:$C50, "&lt;="&amp;$C11, 'Form responses'!$D$2:$D50,$D11))</f>
        <v>0</v>
      </c>
      <c r="AC11" s="499"/>
      <c r="AD11" s="498">
        <f>sumifs('Form responses'!ER$2:ER50,
'Form responses'!$D$2:$D50,$D11)
-(sumifs('Form responses'!FX$2:FX50,
'Form responses'!$D$2:$D50,$D11)
+sumifs('Form responses'!FH$2:FH50,
'Form responses'!$D$2:$D50,$D11)+sumifs('Form responses'!BF$2:BF50, 'Form responses'!$D$2:$D50, $D11))</f>
        <v>0</v>
      </c>
      <c r="AE11" s="498">
        <f>sumifs('Form responses'!ES$2:ES50,
'Form responses'!$D$2:$D50,$D11)
-(sumifs('Form responses'!FY$2:FY50,
'Form responses'!$D$2:$D50,$D11)
+sumifs('Form responses'!FI$2:FI50,
'Form responses'!$D$2:$D50,$D11)+sumifs('Form responses'!BH$2:BH50, 'Form responses'!$D$2:$D50, $D11))</f>
        <v>0</v>
      </c>
      <c r="AF11" s="498">
        <f>sumifs('Form responses'!ET$2:ET50,
'Form responses'!$D$2:$D50,$D11)
-(sumifs('Form responses'!FZ$2:FZ50,
'Form responses'!$D$2:$D50,$D11)
+sumifs('Form responses'!FJ$2:FJ50,
'Form responses'!$D$2:$D50,$D11)+sumifs('Form responses'!BJ$2:BJ50,'Form responses'!$D$2:$D50, $D11))</f>
        <v>0</v>
      </c>
      <c r="AG11" s="498">
        <f>sumifs('Form responses'!EU$2:EU50,
'Form responses'!$D$2:$D50,$D11)
-(sumifs('Form responses'!GA$2:GA50,
'Form responses'!$D$2:$D50,$D11)
+sumifs('Form responses'!FK$2:FK50,
'Form responses'!$D$2:$D50,$D11)+sumifs('Form responses'!BL$2:BL50, 'Form responses'!$D$2:$D50, $D11))</f>
        <v>0</v>
      </c>
      <c r="AH11" s="498">
        <f>sumifs('Form responses'!EV$2:EV50,
'Form responses'!$D$2:$D50,$D11)
-(sumifs('Form responses'!GB$2:GB50,
'Form responses'!$D$2:$D50,$D11)
+sumifs('Form responses'!FL$2:FL50,
'Form responses'!$D$2:$D50,$D11)+sumifs('Form responses'!BN$2:BN50,'Form responses'!$D$2:$D50, $D11))</f>
        <v>0</v>
      </c>
      <c r="AI11" s="498">
        <f>sumifs('Form responses'!EW$2:EW50,
'Form responses'!$D$2:$D50,$D11)
-(sumifs('Form responses'!GC$2:GC50,
'Form responses'!$D$2:$D50,$D11)
+sumifs('Form responses'!FM$2:FM50,
'Form responses'!$D$2:$D50,$D11)+sumifs('Form responses'!BP$2:BP50,'Form responses'!$D$2:$D50, $D11))</f>
        <v>0</v>
      </c>
      <c r="AJ11" s="485">
        <f>sumifs('Form responses'!EX$2:EX50,
'Form responses'!$D$2:$D50,$D11)
-(sumifs('Form responses'!GD$2:GD50,
'Form responses'!$D$2:$D50,$D11)
+sumifs('Form responses'!FN$2:FN50,
'Form responses'!$D$2:$D50,$D11)+sumifs('Form responses'!BR$2:BR50, 'Form responses'!$D$2:$D50, $D11))</f>
        <v>0</v>
      </c>
      <c r="AK11" s="485">
        <f>sumifs('Form responses'!EY$2:EY50,
'Form responses'!$D$2:$D50,$D11)
-(sumifs('Form responses'!GE$2:GE50,
'Form responses'!$D$2:$D50,$D11)
+sumifs('Form responses'!FO$2:FO50,
'Form responses'!$D$2:$D50,$D11)+sumifs('Form responses'!BT$2:BT50,'Form responses'!$D$2:$D50, $D11))</f>
        <v>0</v>
      </c>
      <c r="AL11" s="485">
        <f>sumifs('Form responses'!EZ$2:EZ50,
'Form responses'!$D$2:$D50,$D11)
-(sumifs('Form responses'!GF$2:GF50,
'Form responses'!$D$2:$D50,$D11)
+sumifs('Form responses'!FP$2:FP50,
'Form responses'!$D$2:$D50,$D11)+sumifs('Form responses'!BV$2:BV50,'Form responses'!$D$2:$D50, $D11))</f>
        <v>0</v>
      </c>
      <c r="AM11" s="485">
        <f>sumifs('Form responses'!FA$2:FA50,
'Form responses'!$D$2:$D50,$D11)
-(sumifs('Form responses'!GG$2:GG50,
'Form responses'!$D$2:$D50,$D11)
+sumifs('Form responses'!FQ$2:FQ50,
'Form responses'!$D$2:$D50,$D11)+sumifs('Form responses'!BX$2:BX50, 'Form responses'!$D$2:$D50, $D11))</f>
        <v>0</v>
      </c>
      <c r="AN11" s="498">
        <f>sumifs('Form responses'!FB$2:FB50,
'Form responses'!$D$2:$D50,$D11)
-(sumifs('Form responses'!GH$2:GH50,
'Form responses'!$D$2:$D50,$D11)
+sumifs('Form responses'!FR$2:FR50,
'Form responses'!$D$2:$D50,$D11)+sumifs('Form responses'!BZ$2:BZ50,'Form responses'!$D$2:$D50, $D11))</f>
        <v>0</v>
      </c>
      <c r="AO11" s="498">
        <f>sumifs('Form responses'!FC$2:FC50,
'Form responses'!$D$2:$D50,$D11)
-(sumifs('Form responses'!GI$2:GI50,
'Form responses'!$D$2:$D50,$D11)
+sumifs('Form responses'!FS$2:FS50,
'Form responses'!$D$2:$D50,$D11)+sumifs('Form responses'!CB$2:CB50,'Form responses'!$D$2:$D50, $D11))</f>
        <v>0</v>
      </c>
      <c r="AP11" s="486">
        <f>sumifs('Form responses'!FD$2:FD50,
'Form responses'!$D$2:$D50,$D11)
-(sumifs('Form responses'!GJ$2:GJ50,
'Form responses'!$D$2:$D50,$D11)
+sumifs('Form responses'!FT$2:FT50,
'Form responses'!$D$2:$D50,$D11)+sumifs('Form responses'!CD$2:CD50,'Form responses'!$D$2:$D50, $D11))</f>
        <v>0</v>
      </c>
      <c r="AQ11" s="486">
        <f>sumifs('Form responses'!FE$2:FE50,
'Form responses'!$D$2:$D50,$D11)
-(sumifs('Form responses'!GK$2:GK50,
'Form responses'!$D$2:$D50,$D11)
+sumifs('Form responses'!FU$2:FU50,
'Form responses'!$D$2:$D50,$D11)+sumifs('Form responses'!CF$2:CF50,'Form responses'!$D$2:$D50, $D11))</f>
        <v>0</v>
      </c>
    </row>
    <row r="12">
      <c r="A12" s="496"/>
      <c r="B12" s="496"/>
      <c r="C12" s="494">
        <f t="shared" si="1"/>
        <v>45747</v>
      </c>
      <c r="D12" s="501" t="s">
        <v>126</v>
      </c>
      <c r="E12" s="496"/>
      <c r="F12" s="496"/>
      <c r="G12" s="497" t="s">
        <v>70</v>
      </c>
      <c r="H12" s="497" t="s">
        <v>76</v>
      </c>
      <c r="I12" s="498">
        <f>sumifs('Form responses'!$AE$2:$AE50, 'Form responses'!$C$2:$C50, "&lt;="&amp;$C12, 'Form responses'!$D$2:$D50,$D12)-(sumifs('Form responses'!$AF$2:$AF50, 'Form responses'!$C$2:$C50, "&lt;="&amp;$C12, 'Form responses'!$D$2:$D50,$D12))</f>
        <v>0</v>
      </c>
      <c r="J12" s="499"/>
      <c r="K12" s="499"/>
      <c r="L12" s="498">
        <f>sumifs('Form responses'!$AH$2:$AH50, 'Form responses'!$C$2:$C50, "&lt;="&amp;$C12, 'Form responses'!$D$2:$D50,$D12)-(sumifs('Form responses'!$AI$2:$AI50, 'Form responses'!$C$2:$C50, "&lt;="&amp;$C12, 'Form responses'!$D$2:$D50,$D12))</f>
        <v>0</v>
      </c>
      <c r="M12" s="499"/>
      <c r="N12" s="499"/>
      <c r="O12" s="498">
        <f>sumifs('Form responses'!$AN$2:$AN50, 'Form responses'!$C$2:$C50, "&lt;="&amp;$C12, 'Form responses'!$D$2:$D50,$D12)-(sumifs('Form responses'!$AO$2:$AO50, 'Form responses'!$C$2:$C50, "&lt;="&amp;$C12, 'Form responses'!$D$2:$D50,$D12))</f>
        <v>0</v>
      </c>
      <c r="P12" s="499"/>
      <c r="Q12" s="499"/>
      <c r="R12" s="498">
        <f>sumifs('Form responses'!AK$2:AK50, 'Form responses'!$C$2:$C50, "&lt;="&amp;$C12, 'Form responses'!$D$2:$D50,$D12)-(sumifs('Form responses'!AL$2:AL50, 'Form responses'!$C$2:$C50, "&lt;="&amp;$C12, 'Form responses'!$D$2:$D50,$D12))</f>
        <v>0</v>
      </c>
      <c r="S12" s="499"/>
      <c r="T12" s="499"/>
      <c r="U12" s="498">
        <f>sumifs('Form responses'!AQ$2:AQ50, 'Form responses'!$C$2:$C50, "&lt;="&amp;$C12, 'Form responses'!$D$2:$D50,$D12)-(sumifs('Form responses'!AR$2:AR50, 'Form responses'!$C$2:$C50, "&lt;="&amp;$C12, 'Form responses'!$D$2:$D50,$D12))</f>
        <v>0</v>
      </c>
      <c r="V12" s="499"/>
      <c r="W12" s="499"/>
      <c r="X12" s="498">
        <f>sumifs('Form responses'!AT$2:AT50, 'Form responses'!$C$2:$C50, "&lt;="&amp;$C12, 'Form responses'!$D$2:$D50,$D12)-(sumifs('Form responses'!AU$2:AU50, 'Form responses'!$C$2:$C50, "&lt;="&amp;$C12, 'Form responses'!$D$2:$D50,$D12))</f>
        <v>0</v>
      </c>
      <c r="Y12" s="499"/>
      <c r="Z12" s="499"/>
      <c r="AA12" s="498">
        <f>sumifs('Form responses'!AW$2:AW50, 'Form responses'!$C$2:$C50, "&lt;="&amp;$C12, 'Form responses'!$D$2:$D50,$D12)-(sumifs('Form responses'!AX$2:AX50, 'Form responses'!$C$2:$C50, "&lt;="&amp;$C12, 'Form responses'!$D$2:$D50,$D12))</f>
        <v>0</v>
      </c>
      <c r="AB12" s="500">
        <f>sumifs('Form responses'!AZ$2:AZ50, 'Form responses'!$C$2:$C50, "&lt;="&amp;$C12, 'Form responses'!$D$2:$D50,$D12)-(sumifs('Form responses'!BA$2:BA50, 'Form responses'!$C$2:$C50, "&lt;="&amp;$C12, 'Form responses'!$D$2:$D50,$D12))</f>
        <v>0</v>
      </c>
      <c r="AC12" s="499"/>
      <c r="AD12" s="498">
        <f>sumifs('Form responses'!ER$2:ER50,
'Form responses'!$D$2:$D50,$D12)
-(sumifs('Form responses'!FX$2:FX50,
'Form responses'!$D$2:$D50,$D12)
+sumifs('Form responses'!FH$2:FH50,
'Form responses'!$D$2:$D50,$D12)+sumifs('Form responses'!BF$2:BF50, 'Form responses'!$D$2:$D50, $D12))</f>
        <v>0</v>
      </c>
      <c r="AE12" s="498">
        <f>sumifs('Form responses'!ES$2:ES50,
'Form responses'!$D$2:$D50,$D12)
-(sumifs('Form responses'!FY$2:FY50,
'Form responses'!$D$2:$D50,$D12)
+sumifs('Form responses'!FI$2:FI50,
'Form responses'!$D$2:$D50,$D12)+sumifs('Form responses'!BH$2:BH50, 'Form responses'!$D$2:$D50, $D12))</f>
        <v>0</v>
      </c>
      <c r="AF12" s="498">
        <f>sumifs('Form responses'!ET$2:ET50,
'Form responses'!$D$2:$D50,$D12)
-(sumifs('Form responses'!FZ$2:FZ50,
'Form responses'!$D$2:$D50,$D12)
+sumifs('Form responses'!FJ$2:FJ50,
'Form responses'!$D$2:$D50,$D12)+sumifs('Form responses'!BJ$2:BJ50,'Form responses'!$D$2:$D50, $D12))</f>
        <v>0</v>
      </c>
      <c r="AG12" s="498">
        <f>sumifs('Form responses'!EU$2:EU50,
'Form responses'!$D$2:$D50,$D12)
-(sumifs('Form responses'!GA$2:GA50,
'Form responses'!$D$2:$D50,$D12)
+sumifs('Form responses'!FK$2:FK50,
'Form responses'!$D$2:$D50,$D12)+sumifs('Form responses'!BL$2:BL50, 'Form responses'!$D$2:$D50, $D12))</f>
        <v>0</v>
      </c>
      <c r="AH12" s="498">
        <f>sumifs('Form responses'!EV$2:EV50,
'Form responses'!$D$2:$D50,$D12)
-(sumifs('Form responses'!GB$2:GB50,
'Form responses'!$D$2:$D50,$D12)
+sumifs('Form responses'!FL$2:FL50,
'Form responses'!$D$2:$D50,$D12)+sumifs('Form responses'!BN$2:BN50,'Form responses'!$D$2:$D50, $D12))</f>
        <v>0</v>
      </c>
      <c r="AI12" s="498">
        <f>sumifs('Form responses'!EW$2:EW50,
'Form responses'!$D$2:$D50,$D12)
-(sumifs('Form responses'!GC$2:GC50,
'Form responses'!$D$2:$D50,$D12)
+sumifs('Form responses'!FM$2:FM50,
'Form responses'!$D$2:$D50,$D12)+sumifs('Form responses'!BP$2:BP50,'Form responses'!$D$2:$D50, $D12))</f>
        <v>0</v>
      </c>
      <c r="AJ12" s="485">
        <f>sumifs('Form responses'!EX$2:EX50,
'Form responses'!$D$2:$D50,$D12)
-(sumifs('Form responses'!GD$2:GD50,
'Form responses'!$D$2:$D50,$D12)
+sumifs('Form responses'!FN$2:FN50,
'Form responses'!$D$2:$D50,$D12)+sumifs('Form responses'!BR$2:BR50, 'Form responses'!$D$2:$D50, $D12))</f>
        <v>0</v>
      </c>
      <c r="AK12" s="485">
        <f>sumifs('Form responses'!EY$2:EY50,
'Form responses'!$D$2:$D50,$D12)
-(sumifs('Form responses'!GE$2:GE50,
'Form responses'!$D$2:$D50,$D12)
+sumifs('Form responses'!FO$2:FO50,
'Form responses'!$D$2:$D50,$D12)+sumifs('Form responses'!BT$2:BT50,'Form responses'!$D$2:$D50, $D12))</f>
        <v>0</v>
      </c>
      <c r="AL12" s="485">
        <f>sumifs('Form responses'!EZ$2:EZ50,
'Form responses'!$D$2:$D50,$D12)
-(sumifs('Form responses'!GF$2:GF50,
'Form responses'!$D$2:$D50,$D12)
+sumifs('Form responses'!FP$2:FP50,
'Form responses'!$D$2:$D50,$D12)+sumifs('Form responses'!BV$2:BV50,'Form responses'!$D$2:$D50, $D12))</f>
        <v>0</v>
      </c>
      <c r="AM12" s="485">
        <f>sumifs('Form responses'!FA$2:FA50,
'Form responses'!$D$2:$D50,$D12)
-(sumifs('Form responses'!GG$2:GG50,
'Form responses'!$D$2:$D50,$D12)
+sumifs('Form responses'!FQ$2:FQ50,
'Form responses'!$D$2:$D50,$D12)+sumifs('Form responses'!BX$2:BX50, 'Form responses'!$D$2:$D50, $D12))</f>
        <v>0</v>
      </c>
      <c r="AN12" s="498">
        <f>sumifs('Form responses'!FB$2:FB50,
'Form responses'!$D$2:$D50,$D12)
-(sumifs('Form responses'!GH$2:GH50,
'Form responses'!$D$2:$D50,$D12)
+sumifs('Form responses'!FR$2:FR50,
'Form responses'!$D$2:$D50,$D12)+sumifs('Form responses'!BZ$2:BZ50,'Form responses'!$D$2:$D50, $D12))</f>
        <v>0</v>
      </c>
      <c r="AO12" s="498">
        <f>sumifs('Form responses'!FC$2:FC50,
'Form responses'!$D$2:$D50,$D12)
-(sumifs('Form responses'!GI$2:GI50,
'Form responses'!$D$2:$D50,$D12)
+sumifs('Form responses'!FS$2:FS50,
'Form responses'!$D$2:$D50,$D12)+sumifs('Form responses'!CB$2:CB50,'Form responses'!$D$2:$D50, $D12))</f>
        <v>0</v>
      </c>
      <c r="AP12" s="486">
        <f>sumifs('Form responses'!FD$2:FD50,
'Form responses'!$D$2:$D50,$D12)
-(sumifs('Form responses'!GJ$2:GJ50,
'Form responses'!$D$2:$D50,$D12)
+sumifs('Form responses'!FT$2:FT50,
'Form responses'!$D$2:$D50,$D12)+sumifs('Form responses'!CD$2:CD50,'Form responses'!$D$2:$D50, $D12))</f>
        <v>0</v>
      </c>
      <c r="AQ12" s="486">
        <f>sumifs('Form responses'!FE$2:FE50,
'Form responses'!$D$2:$D50,$D12)
-(sumifs('Form responses'!GK$2:GK50,
'Form responses'!$D$2:$D50,$D12)
+sumifs('Form responses'!FU$2:FU50,
'Form responses'!$D$2:$D50,$D12)+sumifs('Form responses'!CF$2:CF50,'Form responses'!$D$2:$D50, $D12))</f>
        <v>0</v>
      </c>
    </row>
    <row r="13">
      <c r="A13" s="496"/>
      <c r="B13" s="496"/>
      <c r="C13" s="494">
        <f t="shared" si="1"/>
        <v>45747</v>
      </c>
      <c r="D13" s="501" t="s">
        <v>32</v>
      </c>
      <c r="E13" s="496"/>
      <c r="F13" s="496"/>
      <c r="G13" s="497" t="s">
        <v>70</v>
      </c>
      <c r="H13" s="497" t="s">
        <v>76</v>
      </c>
      <c r="I13" s="498">
        <f>sumifs('Form responses'!$AE$2:$AE50, 'Form responses'!$C$2:$C50, "&lt;="&amp;$C13, 'Form responses'!$D$2:$D50,$D13)-(sumifs('Form responses'!$AF$2:$AF50, 'Form responses'!$C$2:$C50, "&lt;="&amp;$C13, 'Form responses'!$D$2:$D50,$D13))</f>
        <v>0</v>
      </c>
      <c r="J13" s="499"/>
      <c r="K13" s="499"/>
      <c r="L13" s="498">
        <f>sumifs('Form responses'!$AH$2:$AH50, 'Form responses'!$C$2:$C50, "&lt;="&amp;$C13, 'Form responses'!$D$2:$D50,$D13)-(sumifs('Form responses'!$AI$2:$AI50, 'Form responses'!$C$2:$C50, "&lt;="&amp;$C13, 'Form responses'!$D$2:$D50,$D13))</f>
        <v>0</v>
      </c>
      <c r="M13" s="499"/>
      <c r="N13" s="499"/>
      <c r="O13" s="498">
        <f>sumifs('Form responses'!$AN$2:$AN50, 'Form responses'!$C$2:$C50, "&lt;="&amp;$C13, 'Form responses'!$D$2:$D50,$D13)-(sumifs('Form responses'!$AO$2:$AO50, 'Form responses'!$C$2:$C50, "&lt;="&amp;$C13, 'Form responses'!$D$2:$D50,$D13))</f>
        <v>200</v>
      </c>
      <c r="P13" s="499"/>
      <c r="Q13" s="499"/>
      <c r="R13" s="498">
        <f>sumifs('Form responses'!AK$2:AK50, 'Form responses'!$C$2:$C50, "&lt;="&amp;$C13, 'Form responses'!$D$2:$D50,$D13)-(sumifs('Form responses'!AL$2:AL50, 'Form responses'!$C$2:$C50, "&lt;="&amp;$C13, 'Form responses'!$D$2:$D50,$D13))</f>
        <v>0</v>
      </c>
      <c r="S13" s="499"/>
      <c r="T13" s="499"/>
      <c r="U13" s="498">
        <f>sumifs('Form responses'!AQ$2:AQ50, 'Form responses'!$C$2:$C50, "&lt;="&amp;$C13, 'Form responses'!$D$2:$D50,$D13)-(sumifs('Form responses'!AR$2:AR50, 'Form responses'!$C$2:$C50, "&lt;="&amp;$C13, 'Form responses'!$D$2:$D50,$D13))</f>
        <v>0</v>
      </c>
      <c r="V13" s="499"/>
      <c r="W13" s="499"/>
      <c r="X13" s="498">
        <f>sumifs('Form responses'!AT$2:AT50, 'Form responses'!$C$2:$C50, "&lt;="&amp;$C13, 'Form responses'!$D$2:$D50,$D13)-(sumifs('Form responses'!AU$2:AU50, 'Form responses'!$C$2:$C50, "&lt;="&amp;$C13, 'Form responses'!$D$2:$D50,$D13))</f>
        <v>0</v>
      </c>
      <c r="Y13" s="499"/>
      <c r="Z13" s="499"/>
      <c r="AA13" s="498">
        <f>sumifs('Form responses'!AW$2:AW50, 'Form responses'!$C$2:$C50, "&lt;="&amp;$C13, 'Form responses'!$D$2:$D50,$D13)-(sumifs('Form responses'!AX$2:AX50, 'Form responses'!$C$2:$C50, "&lt;="&amp;$C13, 'Form responses'!$D$2:$D50,$D13))</f>
        <v>0</v>
      </c>
      <c r="AB13" s="500">
        <f>sumifs('Form responses'!AZ$2:AZ50, 'Form responses'!$C$2:$C50, "&lt;="&amp;$C13, 'Form responses'!$D$2:$D50,$D13)-(sumifs('Form responses'!BA$2:BA50, 'Form responses'!$C$2:$C50, "&lt;="&amp;$C13, 'Form responses'!$D$2:$D50,$D13))</f>
        <v>0</v>
      </c>
      <c r="AC13" s="499"/>
      <c r="AD13" s="498">
        <f>sumifs('Form responses'!ER$2:ER50,
'Form responses'!$D$2:$D50,$D13)
-(sumifs('Form responses'!FX$2:FX50,
'Form responses'!$D$2:$D50,$D13)
+sumifs('Form responses'!FH$2:FH50,
'Form responses'!$D$2:$D50,$D13)+sumifs('Form responses'!BF$2:BF50, 'Form responses'!$D$2:$D50, $D13))</f>
        <v>3</v>
      </c>
      <c r="AE13" s="498">
        <f>sumifs('Form responses'!ES$2:ES50,
'Form responses'!$D$2:$D50,$D13)
-(sumifs('Form responses'!FY$2:FY50,
'Form responses'!$D$2:$D50,$D13)
+sumifs('Form responses'!FI$2:FI50,
'Form responses'!$D$2:$D50,$D13)+sumifs('Form responses'!BH$2:BH50, 'Form responses'!$D$2:$D50, $D13))</f>
        <v>0</v>
      </c>
      <c r="AF13" s="498">
        <f>sumifs('Form responses'!ET$2:ET50,
'Form responses'!$D$2:$D50,$D13)
-(sumifs('Form responses'!FZ$2:FZ50,
'Form responses'!$D$2:$D50,$D13)
+sumifs('Form responses'!FJ$2:FJ50,
'Form responses'!$D$2:$D50,$D13)+sumifs('Form responses'!BJ$2:BJ50,'Form responses'!$D$2:$D50, $D13))</f>
        <v>0</v>
      </c>
      <c r="AG13" s="498">
        <f>sumifs('Form responses'!EU$2:EU50,
'Form responses'!$D$2:$D50,$D13)
-(sumifs('Form responses'!GA$2:GA50,
'Form responses'!$D$2:$D50,$D13)
+sumifs('Form responses'!FK$2:FK50,
'Form responses'!$D$2:$D50,$D13)+sumifs('Form responses'!BL$2:BL50, 'Form responses'!$D$2:$D50, $D13))</f>
        <v>5</v>
      </c>
      <c r="AH13" s="498">
        <f>sumifs('Form responses'!EV$2:EV50,
'Form responses'!$D$2:$D50,$D13)
-(sumifs('Form responses'!GB$2:GB50,
'Form responses'!$D$2:$D50,$D13)
+sumifs('Form responses'!FL$2:FL50,
'Form responses'!$D$2:$D50,$D13)+sumifs('Form responses'!BN$2:BN50,'Form responses'!$D$2:$D50, $D13))</f>
        <v>9</v>
      </c>
      <c r="AI13" s="498">
        <f>sumifs('Form responses'!EW$2:EW50,
'Form responses'!$D$2:$D50,$D13)
-(sumifs('Form responses'!GC$2:GC50,
'Form responses'!$D$2:$D50,$D13)
+sumifs('Form responses'!FM$2:FM50,
'Form responses'!$D$2:$D50,$D13)+sumifs('Form responses'!BP$2:BP50,'Form responses'!$D$2:$D50, $D13))</f>
        <v>0</v>
      </c>
      <c r="AJ13" s="485">
        <f>sumifs('Form responses'!EX$2:EX50,
'Form responses'!$D$2:$D50,$D13)
-(sumifs('Form responses'!GD$2:GD50,
'Form responses'!$D$2:$D50,$D13)
+sumifs('Form responses'!FN$2:FN50,
'Form responses'!$D$2:$D50,$D13)+sumifs('Form responses'!BR$2:BR50, 'Form responses'!$D$2:$D50, $D13))</f>
        <v>0</v>
      </c>
      <c r="AK13" s="485">
        <f>sumifs('Form responses'!EY$2:EY50,
'Form responses'!$D$2:$D50,$D13)
-(sumifs('Form responses'!GE$2:GE50,
'Form responses'!$D$2:$D50,$D13)
+sumifs('Form responses'!FO$2:FO50,
'Form responses'!$D$2:$D50,$D13)+sumifs('Form responses'!BT$2:BT50,'Form responses'!$D$2:$D50, $D13))</f>
        <v>0</v>
      </c>
      <c r="AL13" s="485">
        <f>sumifs('Form responses'!EZ$2:EZ50,
'Form responses'!$D$2:$D50,$D13)
-(sumifs('Form responses'!GF$2:GF50,
'Form responses'!$D$2:$D50,$D13)
+sumifs('Form responses'!FP$2:FP50,
'Form responses'!$D$2:$D50,$D13)+sumifs('Form responses'!BV$2:BV50,'Form responses'!$D$2:$D50, $D13))</f>
        <v>0</v>
      </c>
      <c r="AM13" s="485">
        <f>sumifs('Form responses'!FA$2:FA50,
'Form responses'!$D$2:$D50,$D13)
-(sumifs('Form responses'!GG$2:GG50,
'Form responses'!$D$2:$D50,$D13)
+sumifs('Form responses'!FQ$2:FQ50,
'Form responses'!$D$2:$D50,$D13)+sumifs('Form responses'!BX$2:BX50, 'Form responses'!$D$2:$D50, $D13))</f>
        <v>0</v>
      </c>
      <c r="AN13" s="498">
        <f>sumifs('Form responses'!FB$2:FB50,
'Form responses'!$D$2:$D50,$D13)
-(sumifs('Form responses'!GH$2:GH50,
'Form responses'!$D$2:$D50,$D13)
+sumifs('Form responses'!FR$2:FR50,
'Form responses'!$D$2:$D50,$D13)+sumifs('Form responses'!BZ$2:BZ50,'Form responses'!$D$2:$D50, $D13))</f>
        <v>7</v>
      </c>
      <c r="AO13" s="498">
        <f>sumifs('Form responses'!FC$2:FC50,
'Form responses'!$D$2:$D50,$D13)
-(sumifs('Form responses'!GI$2:GI50,
'Form responses'!$D$2:$D50,$D13)
+sumifs('Form responses'!FS$2:FS50,
'Form responses'!$D$2:$D50,$D13)+sumifs('Form responses'!CB$2:CB50,'Form responses'!$D$2:$D50, $D13))</f>
        <v>0</v>
      </c>
      <c r="AP13" s="486">
        <f>sumifs('Form responses'!FD$2:FD50,
'Form responses'!$D$2:$D50,$D13)
-(sumifs('Form responses'!GJ$2:GJ50,
'Form responses'!$D$2:$D50,$D13)
+sumifs('Form responses'!FT$2:FT50,
'Form responses'!$D$2:$D50,$D13)+sumifs('Form responses'!CD$2:CD50,'Form responses'!$D$2:$D50, $D13))</f>
        <v>0</v>
      </c>
      <c r="AQ13" s="486">
        <f>sumifs('Form responses'!FE$2:FE50,
'Form responses'!$D$2:$D50,$D13)
-(sumifs('Form responses'!GK$2:GK50,
'Form responses'!$D$2:$D50,$D13)
+sumifs('Form responses'!FU$2:FU50,
'Form responses'!$D$2:$D50,$D13)+sumifs('Form responses'!CF$2:CF50,'Form responses'!$D$2:$D50, $D13))</f>
        <v>0</v>
      </c>
    </row>
    <row r="14">
      <c r="A14" s="496"/>
      <c r="B14" s="496"/>
      <c r="C14" s="494">
        <f t="shared" si="1"/>
        <v>45747</v>
      </c>
      <c r="D14" s="501" t="s">
        <v>31</v>
      </c>
      <c r="E14" s="496"/>
      <c r="F14" s="496"/>
      <c r="G14" s="497" t="s">
        <v>70</v>
      </c>
      <c r="H14" s="497" t="s">
        <v>76</v>
      </c>
      <c r="I14" s="498">
        <f>sumifs('Form responses'!$AE$2:$AE50, 'Form responses'!$C$2:$C50, "&lt;="&amp;$C14, 'Form responses'!$D$2:$D50,$D14)-(sumifs('Form responses'!$AF$2:$AF50, 'Form responses'!$C$2:$C50, "&lt;="&amp;$C14, 'Form responses'!$D$2:$D50,$D14))</f>
        <v>0</v>
      </c>
      <c r="J14" s="499"/>
      <c r="K14" s="499"/>
      <c r="L14" s="498">
        <f>sumifs('Form responses'!$AH$2:$AH50, 'Form responses'!$C$2:$C50, "&lt;="&amp;$C14, 'Form responses'!$D$2:$D50,$D14)-(sumifs('Form responses'!$AI$2:$AI50, 'Form responses'!$C$2:$C50, "&lt;="&amp;$C14, 'Form responses'!$D$2:$D50,$D14))</f>
        <v>0</v>
      </c>
      <c r="M14" s="499"/>
      <c r="N14" s="499"/>
      <c r="O14" s="498">
        <f>sumifs('Form responses'!$AN$2:$AN50, 'Form responses'!$C$2:$C50, "&lt;="&amp;$C14, 'Form responses'!$D$2:$D50,$D14)-(sumifs('Form responses'!$AO$2:$AO50, 'Form responses'!$C$2:$C50, "&lt;="&amp;$C14, 'Form responses'!$D$2:$D50,$D14))</f>
        <v>140</v>
      </c>
      <c r="P14" s="499"/>
      <c r="Q14" s="499"/>
      <c r="R14" s="498">
        <f>sumifs('Form responses'!AK$2:AK50, 'Form responses'!$C$2:$C50, "&lt;="&amp;$C14, 'Form responses'!$D$2:$D50,$D14)-(sumifs('Form responses'!AL$2:AL50, 'Form responses'!$C$2:$C50, "&lt;="&amp;$C14, 'Form responses'!$D$2:$D50,$D14))</f>
        <v>0</v>
      </c>
      <c r="S14" s="499"/>
      <c r="T14" s="499"/>
      <c r="U14" s="498">
        <f>sumifs('Form responses'!AQ$2:AQ50, 'Form responses'!$C$2:$C50, "&lt;="&amp;$C14, 'Form responses'!$D$2:$D50,$D14)-(sumifs('Form responses'!AR$2:AR50, 'Form responses'!$C$2:$C50, "&lt;="&amp;$C14, 'Form responses'!$D$2:$D50,$D14))</f>
        <v>0</v>
      </c>
      <c r="V14" s="499"/>
      <c r="W14" s="499"/>
      <c r="X14" s="498">
        <f>sumifs('Form responses'!AT$2:AT50, 'Form responses'!$C$2:$C50, "&lt;="&amp;$C14, 'Form responses'!$D$2:$D50,$D14)-(sumifs('Form responses'!AU$2:AU50, 'Form responses'!$C$2:$C50, "&lt;="&amp;$C14, 'Form responses'!$D$2:$D50,$D14))</f>
        <v>0</v>
      </c>
      <c r="Y14" s="499"/>
      <c r="Z14" s="499"/>
      <c r="AA14" s="498">
        <f>sumifs('Form responses'!AW$2:AW50, 'Form responses'!$C$2:$C50, "&lt;="&amp;$C14, 'Form responses'!$D$2:$D50,$D14)-(sumifs('Form responses'!AX$2:AX50, 'Form responses'!$C$2:$C50, "&lt;="&amp;$C14, 'Form responses'!$D$2:$D50,$D14))</f>
        <v>0</v>
      </c>
      <c r="AB14" s="500">
        <f>sumifs('Form responses'!AZ$2:AZ50, 'Form responses'!$C$2:$C50, "&lt;="&amp;$C14, 'Form responses'!$D$2:$D50,$D14)-(sumifs('Form responses'!BA$2:BA50, 'Form responses'!$C$2:$C50, "&lt;="&amp;$C14, 'Form responses'!$D$2:$D50,$D14))</f>
        <v>0</v>
      </c>
      <c r="AC14" s="499"/>
      <c r="AD14" s="498">
        <f>sumifs('Form responses'!ER$2:ER50,
'Form responses'!$D$2:$D50,$D14)
-(sumifs('Form responses'!FX$2:FX50,
'Form responses'!$D$2:$D50,$D14)
+sumifs('Form responses'!FH$2:FH50,
'Form responses'!$D$2:$D50,$D14)+sumifs('Form responses'!BF$2:BF50, 'Form responses'!$D$2:$D50, $D14))</f>
        <v>6</v>
      </c>
      <c r="AE14" s="498">
        <f>sumifs('Form responses'!ES$2:ES50,
'Form responses'!$D$2:$D50,$D14)
-(sumifs('Form responses'!FY$2:FY50,
'Form responses'!$D$2:$D50,$D14)
+sumifs('Form responses'!FI$2:FI50,
'Form responses'!$D$2:$D50,$D14)+sumifs('Form responses'!BH$2:BH50, 'Form responses'!$D$2:$D50, $D14))</f>
        <v>0</v>
      </c>
      <c r="AF14" s="498">
        <f>sumifs('Form responses'!ET$2:ET50,
'Form responses'!$D$2:$D50,$D14)
-(sumifs('Form responses'!FZ$2:FZ50,
'Form responses'!$D$2:$D50,$D14)
+sumifs('Form responses'!FJ$2:FJ50,
'Form responses'!$D$2:$D50,$D14)+sumifs('Form responses'!BJ$2:BJ50,'Form responses'!$D$2:$D50, $D14))</f>
        <v>0</v>
      </c>
      <c r="AG14" s="498">
        <f>sumifs('Form responses'!EU$2:EU50,
'Form responses'!$D$2:$D50,$D14)
-(sumifs('Form responses'!GA$2:GA50,
'Form responses'!$D$2:$D50,$D14)
+sumifs('Form responses'!FK$2:FK50,
'Form responses'!$D$2:$D50,$D14)+sumifs('Form responses'!BL$2:BL50, 'Form responses'!$D$2:$D50, $D14))</f>
        <v>0</v>
      </c>
      <c r="AH14" s="498">
        <f>sumifs('Form responses'!EV$2:EV50,
'Form responses'!$D$2:$D50,$D14)
-(sumifs('Form responses'!GB$2:GB50,
'Form responses'!$D$2:$D50,$D14)
+sumifs('Form responses'!FL$2:FL50,
'Form responses'!$D$2:$D50,$D14)+sumifs('Form responses'!BN$2:BN50,'Form responses'!$D$2:$D50, $D14))</f>
        <v>0</v>
      </c>
      <c r="AI14" s="498">
        <f>sumifs('Form responses'!EW$2:EW50,
'Form responses'!$D$2:$D50,$D14)
-(sumifs('Form responses'!GC$2:GC50,
'Form responses'!$D$2:$D50,$D14)
+sumifs('Form responses'!FM$2:FM50,
'Form responses'!$D$2:$D50,$D14)+sumifs('Form responses'!BP$2:BP50,'Form responses'!$D$2:$D50, $D14))</f>
        <v>0</v>
      </c>
      <c r="AJ14" s="485">
        <f>sumifs('Form responses'!EX$2:EX50,
'Form responses'!$D$2:$D50,$D14)
-(sumifs('Form responses'!GD$2:GD50,
'Form responses'!$D$2:$D50,$D14)
+sumifs('Form responses'!FN$2:FN50,
'Form responses'!$D$2:$D50,$D14)+sumifs('Form responses'!BR$2:BR50, 'Form responses'!$D$2:$D50, $D14))</f>
        <v>0</v>
      </c>
      <c r="AK14" s="485">
        <f>sumifs('Form responses'!EY$2:EY50,
'Form responses'!$D$2:$D50,$D14)
-(sumifs('Form responses'!GE$2:GE50,
'Form responses'!$D$2:$D50,$D14)
+sumifs('Form responses'!FO$2:FO50,
'Form responses'!$D$2:$D50,$D14)+sumifs('Form responses'!BT$2:BT50,'Form responses'!$D$2:$D50, $D14))</f>
        <v>0</v>
      </c>
      <c r="AL14" s="485">
        <f>sumifs('Form responses'!EZ$2:EZ50,
'Form responses'!$D$2:$D50,$D14)
-(sumifs('Form responses'!GF$2:GF50,
'Form responses'!$D$2:$D50,$D14)
+sumifs('Form responses'!FP$2:FP50,
'Form responses'!$D$2:$D50,$D14)+sumifs('Form responses'!BV$2:BV50,'Form responses'!$D$2:$D50, $D14))</f>
        <v>0</v>
      </c>
      <c r="AM14" s="485">
        <f>sumifs('Form responses'!FA$2:FA50,
'Form responses'!$D$2:$D50,$D14)
-(sumifs('Form responses'!GG$2:GG50,
'Form responses'!$D$2:$D50,$D14)
+sumifs('Form responses'!FQ$2:FQ50,
'Form responses'!$D$2:$D50,$D14)+sumifs('Form responses'!BX$2:BX50, 'Form responses'!$D$2:$D50, $D14))</f>
        <v>0</v>
      </c>
      <c r="AN14" s="498">
        <f>sumifs('Form responses'!FB$2:FB50,
'Form responses'!$D$2:$D50,$D14)
-(sumifs('Form responses'!GH$2:GH50,
'Form responses'!$D$2:$D50,$D14)
+sumifs('Form responses'!FR$2:FR50,
'Form responses'!$D$2:$D50,$D14)+sumifs('Form responses'!BZ$2:BZ50,'Form responses'!$D$2:$D50, $D14))</f>
        <v>26</v>
      </c>
      <c r="AO14" s="498">
        <f>sumifs('Form responses'!FC$2:FC50,
'Form responses'!$D$2:$D50,$D14)
-(sumifs('Form responses'!GI$2:GI50,
'Form responses'!$D$2:$D50,$D14)
+sumifs('Form responses'!FS$2:FS50,
'Form responses'!$D$2:$D50,$D14)+sumifs('Form responses'!CB$2:CB50,'Form responses'!$D$2:$D50, $D14))</f>
        <v>13</v>
      </c>
      <c r="AP14" s="486">
        <f>sumifs('Form responses'!FD$2:FD50,
'Form responses'!$D$2:$D50,$D14)
-(sumifs('Form responses'!GJ$2:GJ50,
'Form responses'!$D$2:$D50,$D14)
+sumifs('Form responses'!FT$2:FT50,
'Form responses'!$D$2:$D50,$D14)+sumifs('Form responses'!CD$2:CD50,'Form responses'!$D$2:$D50, $D14))</f>
        <v>0</v>
      </c>
      <c r="AQ14" s="486">
        <f>sumifs('Form responses'!FE$2:FE50,
'Form responses'!$D$2:$D50,$D14)
-(sumifs('Form responses'!GK$2:GK50,
'Form responses'!$D$2:$D50,$D14)
+sumifs('Form responses'!FU$2:FU50,
'Form responses'!$D$2:$D50,$D14)+sumifs('Form responses'!CF$2:CF50,'Form responses'!$D$2:$D50, $D14))</f>
        <v>0</v>
      </c>
    </row>
    <row r="15">
      <c r="A15" s="496"/>
      <c r="B15" s="496"/>
      <c r="C15" s="494">
        <f t="shared" si="1"/>
        <v>45747</v>
      </c>
      <c r="D15" s="501" t="s">
        <v>127</v>
      </c>
      <c r="E15" s="496"/>
      <c r="F15" s="496"/>
      <c r="G15" s="497" t="s">
        <v>70</v>
      </c>
      <c r="H15" s="497" t="s">
        <v>76</v>
      </c>
      <c r="I15" s="498">
        <f>sumifs('Form responses'!$AE$2:$AE50, 'Form responses'!$C$2:$C50, "&lt;="&amp;$C15, 'Form responses'!$D$2:$D50,$D15)-(sumifs('Form responses'!$AF$2:$AF50, 'Form responses'!$C$2:$C50, "&lt;="&amp;$C15, 'Form responses'!$D$2:$D50,$D15))</f>
        <v>0</v>
      </c>
      <c r="J15" s="499"/>
      <c r="K15" s="499"/>
      <c r="L15" s="498">
        <f>sumifs('Form responses'!$AH$2:$AH50, 'Form responses'!$C$2:$C50, "&lt;="&amp;$C15, 'Form responses'!$D$2:$D50,$D15)-(sumifs('Form responses'!$AI$2:$AI50, 'Form responses'!$C$2:$C50, "&lt;="&amp;$C15, 'Form responses'!$D$2:$D50,$D15))</f>
        <v>0</v>
      </c>
      <c r="M15" s="499"/>
      <c r="N15" s="499"/>
      <c r="O15" s="498">
        <f>sumifs('Form responses'!$AN$2:$AN50, 'Form responses'!$C$2:$C50, "&lt;="&amp;$C15, 'Form responses'!$D$2:$D50,$D15)-(sumifs('Form responses'!$AO$2:$AO50, 'Form responses'!$C$2:$C50, "&lt;="&amp;$C15, 'Form responses'!$D$2:$D50,$D15))</f>
        <v>0</v>
      </c>
      <c r="P15" s="499"/>
      <c r="Q15" s="499"/>
      <c r="R15" s="498">
        <f>sumifs('Form responses'!AK$2:AK50, 'Form responses'!$C$2:$C50, "&lt;="&amp;$C15, 'Form responses'!$D$2:$D50,$D15)-(sumifs('Form responses'!AL$2:AL50, 'Form responses'!$C$2:$C50, "&lt;="&amp;$C15, 'Form responses'!$D$2:$D50,$D15))</f>
        <v>0</v>
      </c>
      <c r="S15" s="499"/>
      <c r="T15" s="499"/>
      <c r="U15" s="498">
        <f>sumifs('Form responses'!AQ$2:AQ50, 'Form responses'!$C$2:$C50, "&lt;="&amp;$C15, 'Form responses'!$D$2:$D50,$D15)-(sumifs('Form responses'!AR$2:AR50, 'Form responses'!$C$2:$C50, "&lt;="&amp;$C15, 'Form responses'!$D$2:$D50,$D15))</f>
        <v>0</v>
      </c>
      <c r="V15" s="499"/>
      <c r="W15" s="499"/>
      <c r="X15" s="498">
        <f>sumifs('Form responses'!AT$2:AT50, 'Form responses'!$C$2:$C50, "&lt;="&amp;$C15, 'Form responses'!$D$2:$D50,$D15)-(sumifs('Form responses'!AU$2:AU50, 'Form responses'!$C$2:$C50, "&lt;="&amp;$C15, 'Form responses'!$D$2:$D50,$D15))</f>
        <v>0</v>
      </c>
      <c r="Y15" s="499"/>
      <c r="Z15" s="499"/>
      <c r="AA15" s="498">
        <f>sumifs('Form responses'!AW$2:AW50, 'Form responses'!$C$2:$C50, "&lt;="&amp;$C15, 'Form responses'!$D$2:$D50,$D15)-(sumifs('Form responses'!AX$2:AX50, 'Form responses'!$C$2:$C50, "&lt;="&amp;$C15, 'Form responses'!$D$2:$D50,$D15))</f>
        <v>0</v>
      </c>
      <c r="AB15" s="500">
        <f>sumifs('Form responses'!AZ$2:AZ50, 'Form responses'!$C$2:$C50, "&lt;="&amp;$C15, 'Form responses'!$D$2:$D50,$D15)-(sumifs('Form responses'!BA$2:BA50, 'Form responses'!$C$2:$C50, "&lt;="&amp;$C15, 'Form responses'!$D$2:$D50,$D15))</f>
        <v>0</v>
      </c>
      <c r="AC15" s="499"/>
      <c r="AD15" s="498">
        <f>sumifs('Form responses'!ER$2:ER50,
'Form responses'!$D$2:$D50,$D15)
-(sumifs('Form responses'!FX$2:FX50,
'Form responses'!$D$2:$D50,$D15)
+sumifs('Form responses'!FH$2:FH50,
'Form responses'!$D$2:$D50,$D15)+sumifs('Form responses'!BF$2:BF50, 'Form responses'!$D$2:$D50, $D15))</f>
        <v>0</v>
      </c>
      <c r="AE15" s="498">
        <f>sumifs('Form responses'!ES$2:ES50,
'Form responses'!$D$2:$D50,$D15)
-(sumifs('Form responses'!FY$2:FY50,
'Form responses'!$D$2:$D50,$D15)
+sumifs('Form responses'!FI$2:FI50,
'Form responses'!$D$2:$D50,$D15)+sumifs('Form responses'!BH$2:BH50, 'Form responses'!$D$2:$D50, $D15))</f>
        <v>0</v>
      </c>
      <c r="AF15" s="498">
        <f>sumifs('Form responses'!ET$2:ET50,
'Form responses'!$D$2:$D50,$D15)
-(sumifs('Form responses'!FZ$2:FZ50,
'Form responses'!$D$2:$D50,$D15)
+sumifs('Form responses'!FJ$2:FJ50,
'Form responses'!$D$2:$D50,$D15)+sumifs('Form responses'!BJ$2:BJ50,'Form responses'!$D$2:$D50, $D15))</f>
        <v>0</v>
      </c>
      <c r="AG15" s="498">
        <f>sumifs('Form responses'!EU$2:EU50,
'Form responses'!$D$2:$D50,$D15)
-(sumifs('Form responses'!GA$2:GA50,
'Form responses'!$D$2:$D50,$D15)
+sumifs('Form responses'!FK$2:FK50,
'Form responses'!$D$2:$D50,$D15)+sumifs('Form responses'!BL$2:BL50, 'Form responses'!$D$2:$D50, $D15))</f>
        <v>0</v>
      </c>
      <c r="AH15" s="498">
        <f>sumifs('Form responses'!EV$2:EV50,
'Form responses'!$D$2:$D50,$D15)
-(sumifs('Form responses'!GB$2:GB50,
'Form responses'!$D$2:$D50,$D15)
+sumifs('Form responses'!FL$2:FL50,
'Form responses'!$D$2:$D50,$D15)+sumifs('Form responses'!BN$2:BN50,'Form responses'!$D$2:$D50, $D15))</f>
        <v>0</v>
      </c>
      <c r="AI15" s="498">
        <f>sumifs('Form responses'!EW$2:EW50,
'Form responses'!$D$2:$D50,$D15)
-(sumifs('Form responses'!GC$2:GC50,
'Form responses'!$D$2:$D50,$D15)
+sumifs('Form responses'!FM$2:FM50,
'Form responses'!$D$2:$D50,$D15)+sumifs('Form responses'!BP$2:BP50,'Form responses'!$D$2:$D50, $D15))</f>
        <v>0</v>
      </c>
      <c r="AJ15" s="485">
        <f>sumifs('Form responses'!EX$2:EX50,
'Form responses'!$D$2:$D50,$D15)
-(sumifs('Form responses'!GD$2:GD50,
'Form responses'!$D$2:$D50,$D15)
+sumifs('Form responses'!FN$2:FN50,
'Form responses'!$D$2:$D50,$D15)+sumifs('Form responses'!BR$2:BR50, 'Form responses'!$D$2:$D50, $D15))</f>
        <v>0</v>
      </c>
      <c r="AK15" s="485">
        <f>sumifs('Form responses'!EY$2:EY50,
'Form responses'!$D$2:$D50,$D15)
-(sumifs('Form responses'!GE$2:GE50,
'Form responses'!$D$2:$D50,$D15)
+sumifs('Form responses'!FO$2:FO50,
'Form responses'!$D$2:$D50,$D15)+sumifs('Form responses'!BT$2:BT50,'Form responses'!$D$2:$D50, $D15))</f>
        <v>0</v>
      </c>
      <c r="AL15" s="485">
        <f>sumifs('Form responses'!EZ$2:EZ50,
'Form responses'!$D$2:$D50,$D15)
-(sumifs('Form responses'!GF$2:GF50,
'Form responses'!$D$2:$D50,$D15)
+sumifs('Form responses'!FP$2:FP50,
'Form responses'!$D$2:$D50,$D15)+sumifs('Form responses'!BV$2:BV50,'Form responses'!$D$2:$D50, $D15))</f>
        <v>0</v>
      </c>
      <c r="AM15" s="485">
        <f>sumifs('Form responses'!FA$2:FA50,
'Form responses'!$D$2:$D50,$D15)
-(sumifs('Form responses'!GG$2:GG50,
'Form responses'!$D$2:$D50,$D15)
+sumifs('Form responses'!FQ$2:FQ50,
'Form responses'!$D$2:$D50,$D15)+sumifs('Form responses'!BX$2:BX50, 'Form responses'!$D$2:$D50, $D15))</f>
        <v>0</v>
      </c>
      <c r="AN15" s="498">
        <f>sumifs('Form responses'!FB$2:FB50,
'Form responses'!$D$2:$D50,$D15)
-(sumifs('Form responses'!GH$2:GH50,
'Form responses'!$D$2:$D50,$D15)
+sumifs('Form responses'!FR$2:FR50,
'Form responses'!$D$2:$D50,$D15)+sumifs('Form responses'!BZ$2:BZ50,'Form responses'!$D$2:$D50, $D15))</f>
        <v>0</v>
      </c>
      <c r="AO15" s="498">
        <f>sumifs('Form responses'!FC$2:FC50,
'Form responses'!$D$2:$D50,$D15)
-(sumifs('Form responses'!GI$2:GI50,
'Form responses'!$D$2:$D50,$D15)
+sumifs('Form responses'!FS$2:FS50,
'Form responses'!$D$2:$D50,$D15)+sumifs('Form responses'!CB$2:CB50,'Form responses'!$D$2:$D50, $D15))</f>
        <v>0</v>
      </c>
      <c r="AP15" s="486">
        <f>sumifs('Form responses'!FD$2:FD50,
'Form responses'!$D$2:$D50,$D15)
-(sumifs('Form responses'!GJ$2:GJ50,
'Form responses'!$D$2:$D50,$D15)
+sumifs('Form responses'!FT$2:FT50,
'Form responses'!$D$2:$D50,$D15)+sumifs('Form responses'!CD$2:CD50,'Form responses'!$D$2:$D50, $D15))</f>
        <v>0</v>
      </c>
      <c r="AQ15" s="486">
        <f>sumifs('Form responses'!FE$2:FE50,
'Form responses'!$D$2:$D50,$D15)
-(sumifs('Form responses'!GK$2:GK50,
'Form responses'!$D$2:$D50,$D15)
+sumifs('Form responses'!FU$2:FU50,
'Form responses'!$D$2:$D50,$D15)+sumifs('Form responses'!CF$2:CF50,'Form responses'!$D$2:$D50, $D15))</f>
        <v>0</v>
      </c>
    </row>
    <row r="16">
      <c r="A16" s="496"/>
      <c r="B16" s="496"/>
      <c r="C16" s="494">
        <f t="shared" si="1"/>
        <v>45747</v>
      </c>
      <c r="D16" s="501" t="s">
        <v>33</v>
      </c>
      <c r="E16" s="496"/>
      <c r="F16" s="496"/>
      <c r="G16" s="497" t="s">
        <v>70</v>
      </c>
      <c r="H16" s="497" t="s">
        <v>76</v>
      </c>
      <c r="I16" s="498">
        <f>sumifs('Form responses'!$AE$2:$AE50, 'Form responses'!$C$2:$C50, "&lt;="&amp;$C16, 'Form responses'!$D$2:$D50,$D16)-(sumifs('Form responses'!$AF$2:$AF50, 'Form responses'!$C$2:$C50, "&lt;="&amp;$C16, 'Form responses'!$D$2:$D50,$D16))</f>
        <v>0</v>
      </c>
      <c r="J16" s="499"/>
      <c r="K16" s="499"/>
      <c r="L16" s="498">
        <f>sumifs('Form responses'!$AH$2:$AH50, 'Form responses'!$C$2:$C50, "&lt;="&amp;$C16, 'Form responses'!$D$2:$D50,$D16)-(sumifs('Form responses'!$AI$2:$AI50, 'Form responses'!$C$2:$C50, "&lt;="&amp;$C16, 'Form responses'!$D$2:$D50,$D16))</f>
        <v>0</v>
      </c>
      <c r="M16" s="499"/>
      <c r="N16" s="499"/>
      <c r="O16" s="498">
        <f>sumifs('Form responses'!$AN$2:$AN50, 'Form responses'!$C$2:$C50, "&lt;="&amp;$C16, 'Form responses'!$D$2:$D50,$D16)-(sumifs('Form responses'!$AO$2:$AO50, 'Form responses'!$C$2:$C50, "&lt;="&amp;$C16, 'Form responses'!$D$2:$D50,$D16))</f>
        <v>120</v>
      </c>
      <c r="P16" s="499"/>
      <c r="Q16" s="499"/>
      <c r="R16" s="498">
        <f>sumifs('Form responses'!AK$2:AK50, 'Form responses'!$C$2:$C50, "&lt;="&amp;$C16, 'Form responses'!$D$2:$D50,$D16)-(sumifs('Form responses'!AL$2:AL50, 'Form responses'!$C$2:$C50, "&lt;="&amp;$C16, 'Form responses'!$D$2:$D50,$D16))</f>
        <v>0</v>
      </c>
      <c r="S16" s="499"/>
      <c r="T16" s="499"/>
      <c r="U16" s="498">
        <f>sumifs('Form responses'!AQ$2:AQ50, 'Form responses'!$C$2:$C50, "&lt;="&amp;$C16, 'Form responses'!$D$2:$D50,$D16)-(sumifs('Form responses'!AR$2:AR50, 'Form responses'!$C$2:$C50, "&lt;="&amp;$C16, 'Form responses'!$D$2:$D50,$D16))</f>
        <v>0</v>
      </c>
      <c r="V16" s="499"/>
      <c r="W16" s="499"/>
      <c r="X16" s="498">
        <f>sumifs('Form responses'!AT$2:AT50, 'Form responses'!$C$2:$C50, "&lt;="&amp;$C16, 'Form responses'!$D$2:$D50,$D16)-(sumifs('Form responses'!AU$2:AU50, 'Form responses'!$C$2:$C50, "&lt;="&amp;$C16, 'Form responses'!$D$2:$D50,$D16))</f>
        <v>0</v>
      </c>
      <c r="Y16" s="499"/>
      <c r="Z16" s="499"/>
      <c r="AA16" s="498">
        <f>sumifs('Form responses'!AW$2:AW50, 'Form responses'!$C$2:$C50, "&lt;="&amp;$C16, 'Form responses'!$D$2:$D50,$D16)-(sumifs('Form responses'!AX$2:AX50, 'Form responses'!$C$2:$C50, "&lt;="&amp;$C16, 'Form responses'!$D$2:$D50,$D16))</f>
        <v>0</v>
      </c>
      <c r="AB16" s="500">
        <f>sumifs('Form responses'!AZ$2:AZ50, 'Form responses'!$C$2:$C50, "&lt;="&amp;$C16, 'Form responses'!$D$2:$D50,$D16)-(sumifs('Form responses'!BA$2:BA50, 'Form responses'!$C$2:$C50, "&lt;="&amp;$C16, 'Form responses'!$D$2:$D50,$D16))</f>
        <v>0</v>
      </c>
      <c r="AC16" s="499"/>
      <c r="AD16" s="498">
        <f>sumifs('Form responses'!ER$2:ER50,
'Form responses'!$D$2:$D50,$D16)
-(sumifs('Form responses'!FX$2:FX50,
'Form responses'!$D$2:$D50,$D16)
+sumifs('Form responses'!FH$2:FH50,
'Form responses'!$D$2:$D50,$D16)+sumifs('Form responses'!BF$2:BF50, 'Form responses'!$D$2:$D50, $D16))</f>
        <v>0</v>
      </c>
      <c r="AE16" s="498">
        <f>sumifs('Form responses'!ES$2:ES50,
'Form responses'!$D$2:$D50,$D16)
-(sumifs('Form responses'!FY$2:FY50,
'Form responses'!$D$2:$D50,$D16)
+sumifs('Form responses'!FI$2:FI50,
'Form responses'!$D$2:$D50,$D16)+sumifs('Form responses'!BH$2:BH50, 'Form responses'!$D$2:$D50, $D16))</f>
        <v>0</v>
      </c>
      <c r="AF16" s="498">
        <f>sumifs('Form responses'!ET$2:ET50,
'Form responses'!$D$2:$D50,$D16)
-(sumifs('Form responses'!FZ$2:FZ50,
'Form responses'!$D$2:$D50,$D16)
+sumifs('Form responses'!FJ$2:FJ50,
'Form responses'!$D$2:$D50,$D16)+sumifs('Form responses'!BJ$2:BJ50,'Form responses'!$D$2:$D50, $D16))</f>
        <v>0</v>
      </c>
      <c r="AG16" s="498">
        <f>sumifs('Form responses'!EU$2:EU50,
'Form responses'!$D$2:$D50,$D16)
-(sumifs('Form responses'!GA$2:GA50,
'Form responses'!$D$2:$D50,$D16)
+sumifs('Form responses'!FK$2:FK50,
'Form responses'!$D$2:$D50,$D16)+sumifs('Form responses'!BL$2:BL50, 'Form responses'!$D$2:$D50, $D16))</f>
        <v>0</v>
      </c>
      <c r="AH16" s="498">
        <f>sumifs('Form responses'!EV$2:EV50,
'Form responses'!$D$2:$D50,$D16)
-(sumifs('Form responses'!GB$2:GB50,
'Form responses'!$D$2:$D50,$D16)
+sumifs('Form responses'!FL$2:FL50,
'Form responses'!$D$2:$D50,$D16)+sumifs('Form responses'!BN$2:BN50,'Form responses'!$D$2:$D50, $D16))</f>
        <v>0</v>
      </c>
      <c r="AI16" s="498">
        <f>sumifs('Form responses'!EW$2:EW50,
'Form responses'!$D$2:$D50,$D16)
-(sumifs('Form responses'!GC$2:GC50,
'Form responses'!$D$2:$D50,$D16)
+sumifs('Form responses'!FM$2:FM50,
'Form responses'!$D$2:$D50,$D16)+sumifs('Form responses'!BP$2:BP50,'Form responses'!$D$2:$D50, $D16))</f>
        <v>0</v>
      </c>
      <c r="AJ16" s="485">
        <f>sumifs('Form responses'!EX$2:EX50,
'Form responses'!$D$2:$D50,$D16)
-(sumifs('Form responses'!GD$2:GD50,
'Form responses'!$D$2:$D50,$D16)
+sumifs('Form responses'!FN$2:FN50,
'Form responses'!$D$2:$D50,$D16)+sumifs('Form responses'!BR$2:BR50, 'Form responses'!$D$2:$D50, $D16))</f>
        <v>0</v>
      </c>
      <c r="AK16" s="485">
        <f>sumifs('Form responses'!EY$2:EY50,
'Form responses'!$D$2:$D50,$D16)
-(sumifs('Form responses'!GE$2:GE50,
'Form responses'!$D$2:$D50,$D16)
+sumifs('Form responses'!FO$2:FO50,
'Form responses'!$D$2:$D50,$D16)+sumifs('Form responses'!BT$2:BT50,'Form responses'!$D$2:$D50, $D16))</f>
        <v>0</v>
      </c>
      <c r="AL16" s="485">
        <f>sumifs('Form responses'!EZ$2:EZ50,
'Form responses'!$D$2:$D50,$D16)
-(sumifs('Form responses'!GF$2:GF50,
'Form responses'!$D$2:$D50,$D16)
+sumifs('Form responses'!FP$2:FP50,
'Form responses'!$D$2:$D50,$D16)+sumifs('Form responses'!BV$2:BV50,'Form responses'!$D$2:$D50, $D16))</f>
        <v>0</v>
      </c>
      <c r="AM16" s="485">
        <f>sumifs('Form responses'!FA$2:FA50,
'Form responses'!$D$2:$D50,$D16)
-(sumifs('Form responses'!GG$2:GG50,
'Form responses'!$D$2:$D50,$D16)
+sumifs('Form responses'!FQ$2:FQ50,
'Form responses'!$D$2:$D50,$D16)+sumifs('Form responses'!BX$2:BX50, 'Form responses'!$D$2:$D50, $D16))</f>
        <v>0</v>
      </c>
      <c r="AN16" s="498">
        <f>sumifs('Form responses'!FB$2:FB50,
'Form responses'!$D$2:$D50,$D16)
-(sumifs('Form responses'!GH$2:GH50,
'Form responses'!$D$2:$D50,$D16)
+sumifs('Form responses'!FR$2:FR50,
'Form responses'!$D$2:$D50,$D16)+sumifs('Form responses'!BZ$2:BZ50,'Form responses'!$D$2:$D50, $D16))</f>
        <v>0</v>
      </c>
      <c r="AO16" s="498">
        <f>sumifs('Form responses'!FC$2:FC50,
'Form responses'!$D$2:$D50,$D16)
-(sumifs('Form responses'!GI$2:GI50,
'Form responses'!$D$2:$D50,$D16)
+sumifs('Form responses'!FS$2:FS50,
'Form responses'!$D$2:$D50,$D16)+sumifs('Form responses'!CB$2:CB50,'Form responses'!$D$2:$D50, $D16))</f>
        <v>0</v>
      </c>
      <c r="AP16" s="486">
        <f>sumifs('Form responses'!FD$2:FD50,
'Form responses'!$D$2:$D50,$D16)
-(sumifs('Form responses'!GJ$2:GJ50,
'Form responses'!$D$2:$D50,$D16)
+sumifs('Form responses'!FT$2:FT50,
'Form responses'!$D$2:$D50,$D16)+sumifs('Form responses'!CD$2:CD50,'Form responses'!$D$2:$D50, $D16))</f>
        <v>0</v>
      </c>
      <c r="AQ16" s="486">
        <f>sumifs('Form responses'!FE$2:FE50,
'Form responses'!$D$2:$D50,$D16)
-(sumifs('Form responses'!GK$2:GK50,
'Form responses'!$D$2:$D50,$D16)
+sumifs('Form responses'!FU$2:FU50,
'Form responses'!$D$2:$D50,$D16)+sumifs('Form responses'!CF$2:CF50,'Form responses'!$D$2:$D50, $D16))</f>
        <v>0</v>
      </c>
    </row>
    <row r="17">
      <c r="A17" s="496"/>
      <c r="B17" s="496"/>
      <c r="C17" s="494">
        <f t="shared" si="1"/>
        <v>45747</v>
      </c>
      <c r="D17" s="501" t="s">
        <v>24</v>
      </c>
      <c r="E17" s="496"/>
      <c r="F17" s="496"/>
      <c r="G17" s="497" t="s">
        <v>70</v>
      </c>
      <c r="H17" s="497" t="s">
        <v>76</v>
      </c>
      <c r="I17" s="498">
        <f>sumifs('Form responses'!$AE$2:$AE50, 'Form responses'!$C$2:$C50, "&lt;="&amp;$C17, 'Form responses'!$D$2:$D50,$D17)-(sumifs('Form responses'!$AF$2:$AF50, 'Form responses'!$C$2:$C50, "&lt;="&amp;$C17, 'Form responses'!$D$2:$D50,$D17))</f>
        <v>0</v>
      </c>
      <c r="J17" s="499"/>
      <c r="K17" s="499"/>
      <c r="L17" s="498">
        <f>sumifs('Form responses'!$AH$2:$AH50, 'Form responses'!$C$2:$C50, "&lt;="&amp;$C17, 'Form responses'!$D$2:$D50,$D17)-(sumifs('Form responses'!$AI$2:$AI50, 'Form responses'!$C$2:$C50, "&lt;="&amp;$C17, 'Form responses'!$D$2:$D50,$D17))</f>
        <v>0</v>
      </c>
      <c r="M17" s="499"/>
      <c r="N17" s="499"/>
      <c r="O17" s="498">
        <f>sumifs('Form responses'!$AN$2:$AN50, 'Form responses'!$C$2:$C50, "&lt;="&amp;$C17, 'Form responses'!$D$2:$D50,$D17)-(sumifs('Form responses'!$AO$2:$AO50, 'Form responses'!$C$2:$C50, "&lt;="&amp;$C17, 'Form responses'!$D$2:$D50,$D17))</f>
        <v>90</v>
      </c>
      <c r="P17" s="499"/>
      <c r="Q17" s="499"/>
      <c r="R17" s="498">
        <f>sumifs('Form responses'!AK$2:AK50, 'Form responses'!$C$2:$C50, "&lt;="&amp;$C17, 'Form responses'!$D$2:$D50,$D17)-(sumifs('Form responses'!AL$2:AL50, 'Form responses'!$C$2:$C50, "&lt;="&amp;$C17, 'Form responses'!$D$2:$D50,$D17))</f>
        <v>0</v>
      </c>
      <c r="S17" s="499"/>
      <c r="T17" s="499"/>
      <c r="U17" s="498">
        <f>sumifs('Form responses'!AQ$2:AQ50, 'Form responses'!$C$2:$C50, "&lt;="&amp;$C17, 'Form responses'!$D$2:$D50,$D17)-(sumifs('Form responses'!AR$2:AR50, 'Form responses'!$C$2:$C50, "&lt;="&amp;$C17, 'Form responses'!$D$2:$D50,$D17))</f>
        <v>0</v>
      </c>
      <c r="V17" s="499"/>
      <c r="W17" s="499"/>
      <c r="X17" s="498">
        <f>sumifs('Form responses'!AT$2:AT50, 'Form responses'!$C$2:$C50, "&lt;="&amp;$C17, 'Form responses'!$D$2:$D50,$D17)-(sumifs('Form responses'!AU$2:AU50, 'Form responses'!$C$2:$C50, "&lt;="&amp;$C17, 'Form responses'!$D$2:$D50,$D17))</f>
        <v>0</v>
      </c>
      <c r="Y17" s="499"/>
      <c r="Z17" s="499"/>
      <c r="AA17" s="498">
        <f>sumifs('Form responses'!AW$2:AW50, 'Form responses'!$C$2:$C50, "&lt;="&amp;$C17, 'Form responses'!$D$2:$D50,$D17)-(sumifs('Form responses'!AX$2:AX50, 'Form responses'!$C$2:$C50, "&lt;="&amp;$C17, 'Form responses'!$D$2:$D50,$D17))</f>
        <v>0</v>
      </c>
      <c r="AB17" s="500">
        <f>sumifs('Form responses'!AZ$2:AZ50, 'Form responses'!$C$2:$C50, "&lt;="&amp;$C17, 'Form responses'!$D$2:$D50,$D17)-(sumifs('Form responses'!BA$2:BA50, 'Form responses'!$C$2:$C50, "&lt;="&amp;$C17, 'Form responses'!$D$2:$D50,$D17))</f>
        <v>0</v>
      </c>
      <c r="AC17" s="499"/>
      <c r="AD17" s="498">
        <f>sumifs('Form responses'!ER$2:ER50,
'Form responses'!$D$2:$D50,$D17)
-(sumifs('Form responses'!FX$2:FX50,
'Form responses'!$D$2:$D50,$D17)
+sumifs('Form responses'!FH$2:FH50,
'Form responses'!$D$2:$D50,$D17)+sumifs('Form responses'!BF$2:BF50, 'Form responses'!$D$2:$D50, $D17))</f>
        <v>0</v>
      </c>
      <c r="AE17" s="498">
        <f>sumifs('Form responses'!ES$2:ES50,
'Form responses'!$D$2:$D50,$D17)
-(sumifs('Form responses'!FY$2:FY50,
'Form responses'!$D$2:$D50,$D17)
+sumifs('Form responses'!FI$2:FI50,
'Form responses'!$D$2:$D50,$D17)+sumifs('Form responses'!BH$2:BH50, 'Form responses'!$D$2:$D50, $D17))</f>
        <v>0</v>
      </c>
      <c r="AF17" s="498">
        <f>sumifs('Form responses'!ET$2:ET50,
'Form responses'!$D$2:$D50,$D17)
-(sumifs('Form responses'!FZ$2:FZ50,
'Form responses'!$D$2:$D50,$D17)
+sumifs('Form responses'!FJ$2:FJ50,
'Form responses'!$D$2:$D50,$D17)+sumifs('Form responses'!BJ$2:BJ50,'Form responses'!$D$2:$D50, $D17))</f>
        <v>0</v>
      </c>
      <c r="AG17" s="498">
        <f>sumifs('Form responses'!EU$2:EU50,
'Form responses'!$D$2:$D50,$D17)
-(sumifs('Form responses'!GA$2:GA50,
'Form responses'!$D$2:$D50,$D17)
+sumifs('Form responses'!FK$2:FK50,
'Form responses'!$D$2:$D50,$D17)+sumifs('Form responses'!BL$2:BL50, 'Form responses'!$D$2:$D50, $D17))</f>
        <v>0</v>
      </c>
      <c r="AH17" s="498">
        <f>sumifs('Form responses'!EV$2:EV50,
'Form responses'!$D$2:$D50,$D17)
-(sumifs('Form responses'!GB$2:GB50,
'Form responses'!$D$2:$D50,$D17)
+sumifs('Form responses'!FL$2:FL50,
'Form responses'!$D$2:$D50,$D17)+sumifs('Form responses'!BN$2:BN50,'Form responses'!$D$2:$D50, $D17))</f>
        <v>15</v>
      </c>
      <c r="AI17" s="498">
        <f>sumifs('Form responses'!EW$2:EW50,
'Form responses'!$D$2:$D50,$D17)
-(sumifs('Form responses'!GC$2:GC50,
'Form responses'!$D$2:$D50,$D17)
+sumifs('Form responses'!FM$2:FM50,
'Form responses'!$D$2:$D50,$D17)+sumifs('Form responses'!BP$2:BP50,'Form responses'!$D$2:$D50, $D17))</f>
        <v>0</v>
      </c>
      <c r="AJ17" s="485">
        <f>sumifs('Form responses'!EX$2:EX50,
'Form responses'!$D$2:$D50,$D17)
-(sumifs('Form responses'!GD$2:GD50,
'Form responses'!$D$2:$D50,$D17)
+sumifs('Form responses'!FN$2:FN50,
'Form responses'!$D$2:$D50,$D17)+sumifs('Form responses'!BR$2:BR50, 'Form responses'!$D$2:$D50, $D17))</f>
        <v>0</v>
      </c>
      <c r="AK17" s="485">
        <f>sumifs('Form responses'!EY$2:EY50,
'Form responses'!$D$2:$D50,$D17)
-(sumifs('Form responses'!GE$2:GE50,
'Form responses'!$D$2:$D50,$D17)
+sumifs('Form responses'!FO$2:FO50,
'Form responses'!$D$2:$D50,$D17)+sumifs('Form responses'!BT$2:BT50,'Form responses'!$D$2:$D50, $D17))</f>
        <v>0</v>
      </c>
      <c r="AL17" s="485">
        <f>sumifs('Form responses'!EZ$2:EZ50,
'Form responses'!$D$2:$D50,$D17)
-(sumifs('Form responses'!GF$2:GF50,
'Form responses'!$D$2:$D50,$D17)
+sumifs('Form responses'!FP$2:FP50,
'Form responses'!$D$2:$D50,$D17)+sumifs('Form responses'!BV$2:BV50,'Form responses'!$D$2:$D50, $D17))</f>
        <v>0</v>
      </c>
      <c r="AM17" s="485">
        <f>sumifs('Form responses'!FA$2:FA50,
'Form responses'!$D$2:$D50,$D17)
-(sumifs('Form responses'!GG$2:GG50,
'Form responses'!$D$2:$D50,$D17)
+sumifs('Form responses'!FQ$2:FQ50,
'Form responses'!$D$2:$D50,$D17)+sumifs('Form responses'!BX$2:BX50, 'Form responses'!$D$2:$D50, $D17))</f>
        <v>0</v>
      </c>
      <c r="AN17" s="498">
        <f>sumifs('Form responses'!FB$2:FB50,
'Form responses'!$D$2:$D50,$D17)
-(sumifs('Form responses'!GH$2:GH50,
'Form responses'!$D$2:$D50,$D17)
+sumifs('Form responses'!FR$2:FR50,
'Form responses'!$D$2:$D50,$D17)+sumifs('Form responses'!BZ$2:BZ50,'Form responses'!$D$2:$D50, $D17))</f>
        <v>8</v>
      </c>
      <c r="AO17" s="498">
        <f>sumifs('Form responses'!FC$2:FC50,
'Form responses'!$D$2:$D50,$D17)
-(sumifs('Form responses'!GI$2:GI50,
'Form responses'!$D$2:$D50,$D17)
+sumifs('Form responses'!FS$2:FS50,
'Form responses'!$D$2:$D50,$D17)+sumifs('Form responses'!CB$2:CB50,'Form responses'!$D$2:$D50, $D17))</f>
        <v>0</v>
      </c>
      <c r="AP17" s="486">
        <f>sumifs('Form responses'!FD$2:FD50,
'Form responses'!$D$2:$D50,$D17)
-(sumifs('Form responses'!GJ$2:GJ50,
'Form responses'!$D$2:$D50,$D17)
+sumifs('Form responses'!FT$2:FT50,
'Form responses'!$D$2:$D50,$D17)+sumifs('Form responses'!CD$2:CD50,'Form responses'!$D$2:$D50, $D17))</f>
        <v>0</v>
      </c>
      <c r="AQ17" s="486">
        <f>sumifs('Form responses'!FE$2:FE50,
'Form responses'!$D$2:$D50,$D17)
-(sumifs('Form responses'!GK$2:GK50,
'Form responses'!$D$2:$D50,$D17)
+sumifs('Form responses'!FU$2:FU50,
'Form responses'!$D$2:$D50,$D17)+sumifs('Form responses'!CF$2:CF50,'Form responses'!$D$2:$D50, $D17))</f>
        <v>0</v>
      </c>
    </row>
    <row r="18">
      <c r="A18" s="496"/>
      <c r="B18" s="496"/>
      <c r="C18" s="494">
        <f t="shared" si="1"/>
        <v>45747</v>
      </c>
      <c r="D18" s="501" t="s">
        <v>156</v>
      </c>
      <c r="E18" s="496"/>
      <c r="F18" s="496"/>
      <c r="G18" s="497" t="s">
        <v>70</v>
      </c>
      <c r="H18" s="497" t="s">
        <v>76</v>
      </c>
      <c r="I18" s="498">
        <f>sumifs('Form responses'!$AE$2:$AE50, 'Form responses'!$C$2:$C50, "&lt;="&amp;$C18, 'Form responses'!$D$2:$D50,$D18)-(sumifs('Form responses'!$AF$2:$AF50, 'Form responses'!$C$2:$C50, "&lt;="&amp;$C18, 'Form responses'!$D$2:$D50,$D18))</f>
        <v>0</v>
      </c>
      <c r="J18" s="499"/>
      <c r="K18" s="499"/>
      <c r="L18" s="498">
        <f>sumifs('Form responses'!$AH$2:$AH50, 'Form responses'!$C$2:$C50, "&lt;="&amp;$C18, 'Form responses'!$D$2:$D50,$D18)-(sumifs('Form responses'!$AI$2:$AI50, 'Form responses'!$C$2:$C50, "&lt;="&amp;$C18, 'Form responses'!$D$2:$D50,$D18))</f>
        <v>0</v>
      </c>
      <c r="M18" s="499"/>
      <c r="N18" s="499"/>
      <c r="O18" s="498">
        <f>sumifs('Form responses'!$AN$2:$AN50, 'Form responses'!$C$2:$C50, "&lt;="&amp;$C18, 'Form responses'!$D$2:$D50,$D18)-(sumifs('Form responses'!$AO$2:$AO50, 'Form responses'!$C$2:$C50, "&lt;="&amp;$C18, 'Form responses'!$D$2:$D50,$D18))</f>
        <v>0</v>
      </c>
      <c r="P18" s="499"/>
      <c r="Q18" s="499"/>
      <c r="R18" s="498">
        <f>sumifs('Form responses'!AK$2:AK50, 'Form responses'!$C$2:$C50, "&lt;="&amp;$C18, 'Form responses'!$D$2:$D50,$D18)-(sumifs('Form responses'!AL$2:AL50, 'Form responses'!$C$2:$C50, "&lt;="&amp;$C18, 'Form responses'!$D$2:$D50,$D18))</f>
        <v>0</v>
      </c>
      <c r="S18" s="499"/>
      <c r="T18" s="499"/>
      <c r="U18" s="498">
        <f>sumifs('Form responses'!AQ$2:AQ50, 'Form responses'!$C$2:$C50, "&lt;="&amp;$C18, 'Form responses'!$D$2:$D50,$D18)-(sumifs('Form responses'!AR$2:AR50, 'Form responses'!$C$2:$C50, "&lt;="&amp;$C18, 'Form responses'!$D$2:$D50,$D18))</f>
        <v>0</v>
      </c>
      <c r="V18" s="499"/>
      <c r="W18" s="499"/>
      <c r="X18" s="498">
        <f>sumifs('Form responses'!AT$2:AT50, 'Form responses'!$C$2:$C50, "&lt;="&amp;$C18, 'Form responses'!$D$2:$D50,$D18)-(sumifs('Form responses'!AU$2:AU50, 'Form responses'!$C$2:$C50, "&lt;="&amp;$C18, 'Form responses'!$D$2:$D50,$D18))</f>
        <v>0</v>
      </c>
      <c r="Y18" s="499"/>
      <c r="Z18" s="499"/>
      <c r="AA18" s="498">
        <f>sumifs('Form responses'!AW$2:AW50, 'Form responses'!$C$2:$C50, "&lt;="&amp;$C18, 'Form responses'!$D$2:$D50,$D18)-(sumifs('Form responses'!AX$2:AX50, 'Form responses'!$C$2:$C50, "&lt;="&amp;$C18, 'Form responses'!$D$2:$D50,$D18))</f>
        <v>0</v>
      </c>
      <c r="AB18" s="500">
        <f>sumifs('Form responses'!AZ$2:AZ50, 'Form responses'!$C$2:$C50, "&lt;="&amp;$C18, 'Form responses'!$D$2:$D50,$D18)-(sumifs('Form responses'!BA$2:BA50, 'Form responses'!$C$2:$C50, "&lt;="&amp;$C18, 'Form responses'!$D$2:$D50,$D18))</f>
        <v>0</v>
      </c>
      <c r="AC18" s="499"/>
      <c r="AD18" s="498">
        <f>sumifs('Form responses'!ER$2:ER50,
'Form responses'!$D$2:$D50,$D18)
-(sumifs('Form responses'!FX$2:FX50,
'Form responses'!$D$2:$D50,$D18)
+sumifs('Form responses'!FH$2:FH50,
'Form responses'!$D$2:$D50,$D18)+sumifs('Form responses'!BF$2:BF50, 'Form responses'!$D$2:$D50, $D18))</f>
        <v>0</v>
      </c>
      <c r="AE18" s="498">
        <f>sumifs('Form responses'!ES$2:ES50,
'Form responses'!$D$2:$D50,$D18)
-(sumifs('Form responses'!FY$2:FY50,
'Form responses'!$D$2:$D50,$D18)
+sumifs('Form responses'!FI$2:FI50,
'Form responses'!$D$2:$D50,$D18)+sumifs('Form responses'!BH$2:BH50, 'Form responses'!$D$2:$D50, $D18))</f>
        <v>0</v>
      </c>
      <c r="AF18" s="498">
        <f>sumifs('Form responses'!ET$2:ET50,
'Form responses'!$D$2:$D50,$D18)
-(sumifs('Form responses'!FZ$2:FZ50,
'Form responses'!$D$2:$D50,$D18)
+sumifs('Form responses'!FJ$2:FJ50,
'Form responses'!$D$2:$D50,$D18)+sumifs('Form responses'!BJ$2:BJ50,'Form responses'!$D$2:$D50, $D18))</f>
        <v>0</v>
      </c>
      <c r="AG18" s="498">
        <f>sumifs('Form responses'!EU$2:EU50,
'Form responses'!$D$2:$D50,$D18)
-(sumifs('Form responses'!GA$2:GA50,
'Form responses'!$D$2:$D50,$D18)
+sumifs('Form responses'!FK$2:FK50,
'Form responses'!$D$2:$D50,$D18)+sumifs('Form responses'!BL$2:BL50, 'Form responses'!$D$2:$D50, $D18))</f>
        <v>0</v>
      </c>
      <c r="AH18" s="498">
        <f>sumifs('Form responses'!EV$2:EV50,
'Form responses'!$D$2:$D50,$D18)
-(sumifs('Form responses'!GB$2:GB50,
'Form responses'!$D$2:$D50,$D18)
+sumifs('Form responses'!FL$2:FL50,
'Form responses'!$D$2:$D50,$D18)+sumifs('Form responses'!BN$2:BN50,'Form responses'!$D$2:$D50, $D18))</f>
        <v>0</v>
      </c>
      <c r="AI18" s="498">
        <f>sumifs('Form responses'!EW$2:EW50,
'Form responses'!$D$2:$D50,$D18)
-(sumifs('Form responses'!GC$2:GC50,
'Form responses'!$D$2:$D50,$D18)
+sumifs('Form responses'!FM$2:FM50,
'Form responses'!$D$2:$D50,$D18)+sumifs('Form responses'!BP$2:BP50,'Form responses'!$D$2:$D50, $D18))</f>
        <v>0</v>
      </c>
      <c r="AJ18" s="485">
        <f>sumifs('Form responses'!EX$2:EX50,
'Form responses'!$D$2:$D50,$D18)
-(sumifs('Form responses'!GD$2:GD50,
'Form responses'!$D$2:$D50,$D18)
+sumifs('Form responses'!FN$2:FN50,
'Form responses'!$D$2:$D50,$D18)+sumifs('Form responses'!BR$2:BR50, 'Form responses'!$D$2:$D50, $D18))</f>
        <v>0</v>
      </c>
      <c r="AK18" s="485">
        <f>sumifs('Form responses'!EY$2:EY50,
'Form responses'!$D$2:$D50,$D18)
-(sumifs('Form responses'!GE$2:GE50,
'Form responses'!$D$2:$D50,$D18)
+sumifs('Form responses'!FO$2:FO50,
'Form responses'!$D$2:$D50,$D18)+sumifs('Form responses'!BT$2:BT50,'Form responses'!$D$2:$D50, $D18))</f>
        <v>0</v>
      </c>
      <c r="AL18" s="485">
        <f>sumifs('Form responses'!EZ$2:EZ50,
'Form responses'!$D$2:$D50,$D18)
-(sumifs('Form responses'!GF$2:GF50,
'Form responses'!$D$2:$D50,$D18)
+sumifs('Form responses'!FP$2:FP50,
'Form responses'!$D$2:$D50,$D18)+sumifs('Form responses'!BV$2:BV50,'Form responses'!$D$2:$D50, $D18))</f>
        <v>0</v>
      </c>
      <c r="AM18" s="485">
        <f>sumifs('Form responses'!FA$2:FA50,
'Form responses'!$D$2:$D50,$D18)
-(sumifs('Form responses'!GG$2:GG50,
'Form responses'!$D$2:$D50,$D18)
+sumifs('Form responses'!FQ$2:FQ50,
'Form responses'!$D$2:$D50,$D18)+sumifs('Form responses'!BX$2:BX50, 'Form responses'!$D$2:$D50, $D18))</f>
        <v>0</v>
      </c>
      <c r="AN18" s="498">
        <f>sumifs('Form responses'!FB$2:FB50,
'Form responses'!$D$2:$D50,$D18)
-(sumifs('Form responses'!GH$2:GH50,
'Form responses'!$D$2:$D50,$D18)
+sumifs('Form responses'!FR$2:FR50,
'Form responses'!$D$2:$D50,$D18)+sumifs('Form responses'!BZ$2:BZ50,'Form responses'!$D$2:$D50, $D18))</f>
        <v>0</v>
      </c>
      <c r="AO18" s="498">
        <f>sumifs('Form responses'!FC$2:FC50,
'Form responses'!$D$2:$D50,$D18)
-(sumifs('Form responses'!GI$2:GI50,
'Form responses'!$D$2:$D50,$D18)
+sumifs('Form responses'!FS$2:FS50,
'Form responses'!$D$2:$D50,$D18)+sumifs('Form responses'!CB$2:CB50,'Form responses'!$D$2:$D50, $D18))</f>
        <v>0</v>
      </c>
      <c r="AP18" s="486">
        <f>sumifs('Form responses'!FD$2:FD50,
'Form responses'!$D$2:$D50,$D18)
-(sumifs('Form responses'!GJ$2:GJ50,
'Form responses'!$D$2:$D50,$D18)
+sumifs('Form responses'!FT$2:FT50,
'Form responses'!$D$2:$D50,$D18)+sumifs('Form responses'!CD$2:CD50,'Form responses'!$D$2:$D50, $D18))</f>
        <v>0</v>
      </c>
      <c r="AQ18" s="486">
        <f>sumifs('Form responses'!FE$2:FE50,
'Form responses'!$D$2:$D50,$D18)
-(sumifs('Form responses'!GK$2:GK50,
'Form responses'!$D$2:$D50,$D18)
+sumifs('Form responses'!FU$2:FU50,
'Form responses'!$D$2:$D50,$D18)+sumifs('Form responses'!CF$2:CF50,'Form responses'!$D$2:$D50, $D18))</f>
        <v>0</v>
      </c>
    </row>
    <row r="19">
      <c r="A19" s="496"/>
      <c r="B19" s="496"/>
      <c r="C19" s="494">
        <f t="shared" si="1"/>
        <v>45747</v>
      </c>
      <c r="D19" s="501" t="s">
        <v>34</v>
      </c>
      <c r="E19" s="496"/>
      <c r="F19" s="496"/>
      <c r="G19" s="497" t="s">
        <v>70</v>
      </c>
      <c r="H19" s="497" t="s">
        <v>76</v>
      </c>
      <c r="I19" s="498">
        <f>sumifs('Form responses'!$AE$2:$AE50, 'Form responses'!$C$2:$C50, "&lt;="&amp;$C19, 'Form responses'!$D$2:$D50,$D19)-(sumifs('Form responses'!$AF$2:$AF50, 'Form responses'!$C$2:$C50, "&lt;="&amp;$C19, 'Form responses'!$D$2:$D50,$D19))</f>
        <v>0</v>
      </c>
      <c r="J19" s="499"/>
      <c r="K19" s="499"/>
      <c r="L19" s="498">
        <f>sumifs('Form responses'!$AH$2:$AH50, 'Form responses'!$C$2:$C50, "&lt;="&amp;$C19, 'Form responses'!$D$2:$D50,$D19)-(sumifs('Form responses'!$AI$2:$AI50, 'Form responses'!$C$2:$C50, "&lt;="&amp;$C19, 'Form responses'!$D$2:$D50,$D19))</f>
        <v>0</v>
      </c>
      <c r="M19" s="499"/>
      <c r="N19" s="499"/>
      <c r="O19" s="498">
        <f>sumifs('Form responses'!$AN$2:$AN50, 'Form responses'!$C$2:$C50, "&lt;="&amp;$C19, 'Form responses'!$D$2:$D50,$D19)-(sumifs('Form responses'!$AO$2:$AO50, 'Form responses'!$C$2:$C50, "&lt;="&amp;$C19, 'Form responses'!$D$2:$D50,$D19))</f>
        <v>250</v>
      </c>
      <c r="P19" s="499"/>
      <c r="Q19" s="499"/>
      <c r="R19" s="498">
        <f>sumifs('Form responses'!AK$2:AK50, 'Form responses'!$C$2:$C50, "&lt;="&amp;$C19, 'Form responses'!$D$2:$D50,$D19)-(sumifs('Form responses'!AL$2:AL50, 'Form responses'!$C$2:$C50, "&lt;="&amp;$C19, 'Form responses'!$D$2:$D50,$D19))</f>
        <v>0</v>
      </c>
      <c r="S19" s="499"/>
      <c r="T19" s="499"/>
      <c r="U19" s="498">
        <f>sumifs('Form responses'!AQ$2:AQ50, 'Form responses'!$C$2:$C50, "&lt;="&amp;$C19, 'Form responses'!$D$2:$D50,$D19)-(sumifs('Form responses'!AR$2:AR50, 'Form responses'!$C$2:$C50, "&lt;="&amp;$C19, 'Form responses'!$D$2:$D50,$D19))</f>
        <v>0</v>
      </c>
      <c r="V19" s="499"/>
      <c r="W19" s="499"/>
      <c r="X19" s="498">
        <f>sumifs('Form responses'!AT$2:AT50, 'Form responses'!$C$2:$C50, "&lt;="&amp;$C19, 'Form responses'!$D$2:$D50,$D19)-(sumifs('Form responses'!AU$2:AU50, 'Form responses'!$C$2:$C50, "&lt;="&amp;$C19, 'Form responses'!$D$2:$D50,$D19))</f>
        <v>0</v>
      </c>
      <c r="Y19" s="499"/>
      <c r="Z19" s="499"/>
      <c r="AA19" s="498">
        <f>sumifs('Form responses'!AW$2:AW50, 'Form responses'!$C$2:$C50, "&lt;="&amp;$C19, 'Form responses'!$D$2:$D50,$D19)-(sumifs('Form responses'!AX$2:AX50, 'Form responses'!$C$2:$C50, "&lt;="&amp;$C19, 'Form responses'!$D$2:$D50,$D19))</f>
        <v>0</v>
      </c>
      <c r="AB19" s="500">
        <f>sumifs('Form responses'!AZ$2:AZ50, 'Form responses'!$C$2:$C50, "&lt;="&amp;$C19, 'Form responses'!$D$2:$D50,$D19)-(sumifs('Form responses'!BA$2:BA50, 'Form responses'!$C$2:$C50, "&lt;="&amp;$C19, 'Form responses'!$D$2:$D50,$D19))</f>
        <v>0</v>
      </c>
      <c r="AC19" s="499"/>
      <c r="AD19" s="498">
        <f>sumifs('Form responses'!ER$2:ER50,
'Form responses'!$D$2:$D50,$D19)
-(sumifs('Form responses'!FX$2:FX50,
'Form responses'!$D$2:$D50,$D19)
+sumifs('Form responses'!FH$2:FH50,
'Form responses'!$D$2:$D50,$D19)+sumifs('Form responses'!BF$2:BF50, 'Form responses'!$D$2:$D50, $D19))</f>
        <v>-1</v>
      </c>
      <c r="AE19" s="498">
        <f>sumifs('Form responses'!ES$2:ES50,
'Form responses'!$D$2:$D50,$D19)
-(sumifs('Form responses'!FY$2:FY50,
'Form responses'!$D$2:$D50,$D19)
+sumifs('Form responses'!FI$2:FI50,
'Form responses'!$D$2:$D50,$D19)+sumifs('Form responses'!BH$2:BH50, 'Form responses'!$D$2:$D50, $D19))</f>
        <v>0</v>
      </c>
      <c r="AF19" s="498">
        <f>sumifs('Form responses'!ET$2:ET50,
'Form responses'!$D$2:$D50,$D19)
-(sumifs('Form responses'!FZ$2:FZ50,
'Form responses'!$D$2:$D50,$D19)
+sumifs('Form responses'!FJ$2:FJ50,
'Form responses'!$D$2:$D50,$D19)+sumifs('Form responses'!BJ$2:BJ50,'Form responses'!$D$2:$D50, $D19))</f>
        <v>-30</v>
      </c>
      <c r="AG19" s="498">
        <f>sumifs('Form responses'!EU$2:EU50,
'Form responses'!$D$2:$D50,$D19)
-(sumifs('Form responses'!GA$2:GA50,
'Form responses'!$D$2:$D50,$D19)
+sumifs('Form responses'!FK$2:FK50,
'Form responses'!$D$2:$D50,$D19)+sumifs('Form responses'!BL$2:BL50, 'Form responses'!$D$2:$D50, $D19))</f>
        <v>0</v>
      </c>
      <c r="AH19" s="498">
        <f>sumifs('Form responses'!EV$2:EV50,
'Form responses'!$D$2:$D50,$D19)
-(sumifs('Form responses'!GB$2:GB50,
'Form responses'!$D$2:$D50,$D19)
+sumifs('Form responses'!FL$2:FL50,
'Form responses'!$D$2:$D50,$D19)+sumifs('Form responses'!BN$2:BN50,'Form responses'!$D$2:$D50, $D19))</f>
        <v>0</v>
      </c>
      <c r="AI19" s="498">
        <f>sumifs('Form responses'!EW$2:EW50,
'Form responses'!$D$2:$D50,$D19)
-(sumifs('Form responses'!GC$2:GC50,
'Form responses'!$D$2:$D50,$D19)
+sumifs('Form responses'!FM$2:FM50,
'Form responses'!$D$2:$D50,$D19)+sumifs('Form responses'!BP$2:BP50,'Form responses'!$D$2:$D50, $D19))</f>
        <v>0</v>
      </c>
      <c r="AJ19" s="485">
        <f>sumifs('Form responses'!EX$2:EX50,
'Form responses'!$D$2:$D50,$D19)
-(sumifs('Form responses'!GD$2:GD50,
'Form responses'!$D$2:$D50,$D19)
+sumifs('Form responses'!FN$2:FN50,
'Form responses'!$D$2:$D50,$D19)+sumifs('Form responses'!BR$2:BR50, 'Form responses'!$D$2:$D50, $D19))</f>
        <v>0</v>
      </c>
      <c r="AK19" s="485">
        <f>sumifs('Form responses'!EY$2:EY50,
'Form responses'!$D$2:$D50,$D19)
-(sumifs('Form responses'!GE$2:GE50,
'Form responses'!$D$2:$D50,$D19)
+sumifs('Form responses'!FO$2:FO50,
'Form responses'!$D$2:$D50,$D19)+sumifs('Form responses'!BT$2:BT50,'Form responses'!$D$2:$D50, $D19))</f>
        <v>0</v>
      </c>
      <c r="AL19" s="485">
        <f>sumifs('Form responses'!EZ$2:EZ50,
'Form responses'!$D$2:$D50,$D19)
-(sumifs('Form responses'!GF$2:GF50,
'Form responses'!$D$2:$D50,$D19)
+sumifs('Form responses'!FP$2:FP50,
'Form responses'!$D$2:$D50,$D19)+sumifs('Form responses'!BV$2:BV50,'Form responses'!$D$2:$D50, $D19))</f>
        <v>0</v>
      </c>
      <c r="AM19" s="485">
        <f>sumifs('Form responses'!FA$2:FA50,
'Form responses'!$D$2:$D50,$D19)
-(sumifs('Form responses'!GG$2:GG50,
'Form responses'!$D$2:$D50,$D19)
+sumifs('Form responses'!FQ$2:FQ50,
'Form responses'!$D$2:$D50,$D19)+sumifs('Form responses'!BX$2:BX50, 'Form responses'!$D$2:$D50, $D19))</f>
        <v>0</v>
      </c>
      <c r="AN19" s="498">
        <f>sumifs('Form responses'!FB$2:FB50,
'Form responses'!$D$2:$D50,$D19)
-(sumifs('Form responses'!GH$2:GH50,
'Form responses'!$D$2:$D50,$D19)
+sumifs('Form responses'!FR$2:FR50,
'Form responses'!$D$2:$D50,$D19)+sumifs('Form responses'!BZ$2:BZ50,'Form responses'!$D$2:$D50, $D19))</f>
        <v>0</v>
      </c>
      <c r="AO19" s="498">
        <f>sumifs('Form responses'!FC$2:FC50,
'Form responses'!$D$2:$D50,$D19)
-(sumifs('Form responses'!GI$2:GI50,
'Form responses'!$D$2:$D50,$D19)
+sumifs('Form responses'!FS$2:FS50,
'Form responses'!$D$2:$D50,$D19)+sumifs('Form responses'!CB$2:CB50,'Form responses'!$D$2:$D50, $D19))</f>
        <v>0</v>
      </c>
      <c r="AP19" s="486">
        <f>sumifs('Form responses'!FD$2:FD50,
'Form responses'!$D$2:$D50,$D19)
-(sumifs('Form responses'!GJ$2:GJ50,
'Form responses'!$D$2:$D50,$D19)
+sumifs('Form responses'!FT$2:FT50,
'Form responses'!$D$2:$D50,$D19)+sumifs('Form responses'!CD$2:CD50,'Form responses'!$D$2:$D50, $D19))</f>
        <v>0</v>
      </c>
      <c r="AQ19" s="486">
        <f>sumifs('Form responses'!FE$2:FE50,
'Form responses'!$D$2:$D50,$D19)
-(sumifs('Form responses'!GK$2:GK50,
'Form responses'!$D$2:$D50,$D19)
+sumifs('Form responses'!FU$2:FU50,
'Form responses'!$D$2:$D50,$D19)+sumifs('Form responses'!CF$2:CF50,'Form responses'!$D$2:$D50, $D19))</f>
        <v>0</v>
      </c>
    </row>
    <row r="20">
      <c r="A20" s="496"/>
      <c r="B20" s="496"/>
      <c r="C20" s="494">
        <f t="shared" si="1"/>
        <v>45747</v>
      </c>
      <c r="D20" s="501" t="s">
        <v>40</v>
      </c>
      <c r="E20" s="496"/>
      <c r="F20" s="496"/>
      <c r="G20" s="497" t="s">
        <v>70</v>
      </c>
      <c r="H20" s="497" t="s">
        <v>76</v>
      </c>
      <c r="I20" s="498">
        <f>sumifs('Form responses'!$AE$2:$AE50, 'Form responses'!$C$2:$C50, "&lt;="&amp;$C20, 'Form responses'!$D$2:$D50,$D20)-(sumifs('Form responses'!$AF$2:$AF50, 'Form responses'!$C$2:$C50, "&lt;="&amp;$C20, 'Form responses'!$D$2:$D50,$D20))</f>
        <v>0</v>
      </c>
      <c r="J20" s="499"/>
      <c r="K20" s="499"/>
      <c r="L20" s="498">
        <f>sumifs('Form responses'!$AH$2:$AH50, 'Form responses'!$C$2:$C50, "&lt;="&amp;$C20, 'Form responses'!$D$2:$D50,$D20)-(sumifs('Form responses'!$AI$2:$AI50, 'Form responses'!$C$2:$C50, "&lt;="&amp;$C20, 'Form responses'!$D$2:$D50,$D20))</f>
        <v>0</v>
      </c>
      <c r="M20" s="499"/>
      <c r="N20" s="499"/>
      <c r="O20" s="498">
        <f>sumifs('Form responses'!$AN$2:$AN50, 'Form responses'!$C$2:$C50, "&lt;="&amp;$C20, 'Form responses'!$D$2:$D50,$D20)-(sumifs('Form responses'!$AO$2:$AO50, 'Form responses'!$C$2:$C50, "&lt;="&amp;$C20, 'Form responses'!$D$2:$D50,$D20))</f>
        <v>0</v>
      </c>
      <c r="P20" s="499"/>
      <c r="Q20" s="499"/>
      <c r="R20" s="498">
        <f>sumifs('Form responses'!AK$2:AK50, 'Form responses'!$C$2:$C50, "&lt;="&amp;$C20, 'Form responses'!$D$2:$D50,$D20)-(sumifs('Form responses'!AL$2:AL50, 'Form responses'!$C$2:$C50, "&lt;="&amp;$C20, 'Form responses'!$D$2:$D50,$D20))</f>
        <v>0</v>
      </c>
      <c r="S20" s="499"/>
      <c r="T20" s="499"/>
      <c r="U20" s="498">
        <f>sumifs('Form responses'!AQ$2:AQ50, 'Form responses'!$C$2:$C50, "&lt;="&amp;$C20, 'Form responses'!$D$2:$D50,$D20)-(sumifs('Form responses'!AR$2:AR50, 'Form responses'!$C$2:$C50, "&lt;="&amp;$C20, 'Form responses'!$D$2:$D50,$D20))</f>
        <v>0</v>
      </c>
      <c r="V20" s="499"/>
      <c r="W20" s="499"/>
      <c r="X20" s="498">
        <f>sumifs('Form responses'!AT$2:AT50, 'Form responses'!$C$2:$C50, "&lt;="&amp;$C20, 'Form responses'!$D$2:$D50,$D20)-(sumifs('Form responses'!AU$2:AU50, 'Form responses'!$C$2:$C50, "&lt;="&amp;$C20, 'Form responses'!$D$2:$D50,$D20))</f>
        <v>0</v>
      </c>
      <c r="Y20" s="499"/>
      <c r="Z20" s="499"/>
      <c r="AA20" s="498">
        <f>sumifs('Form responses'!AW$2:AW50, 'Form responses'!$C$2:$C50, "&lt;="&amp;$C20, 'Form responses'!$D$2:$D50,$D20)-(sumifs('Form responses'!AX$2:AX50, 'Form responses'!$C$2:$C50, "&lt;="&amp;$C20, 'Form responses'!$D$2:$D50,$D20))</f>
        <v>0</v>
      </c>
      <c r="AB20" s="500">
        <f>sumifs('Form responses'!AZ$2:AZ50, 'Form responses'!$C$2:$C50, "&lt;="&amp;$C20, 'Form responses'!$D$2:$D50,$D20)-(sumifs('Form responses'!BA$2:BA50, 'Form responses'!$C$2:$C50, "&lt;="&amp;$C20, 'Form responses'!$D$2:$D50,$D20))</f>
        <v>0</v>
      </c>
      <c r="AC20" s="499"/>
      <c r="AD20" s="498">
        <f>sumifs('Form responses'!ER$2:ER50,
'Form responses'!$D$2:$D50,$D20)
-(sumifs('Form responses'!FX$2:FX50,
'Form responses'!$D$2:$D50,$D20)
+sumifs('Form responses'!FH$2:FH50,
'Form responses'!$D$2:$D50,$D20)+sumifs('Form responses'!BF$2:BF50, 'Form responses'!$D$2:$D50, $D20))</f>
        <v>0</v>
      </c>
      <c r="AE20" s="498">
        <f>sumifs('Form responses'!ES$2:ES50,
'Form responses'!$D$2:$D50,$D20)
-(sumifs('Form responses'!FY$2:FY50,
'Form responses'!$D$2:$D50,$D20)
+sumifs('Form responses'!FI$2:FI50,
'Form responses'!$D$2:$D50,$D20)+sumifs('Form responses'!BH$2:BH50, 'Form responses'!$D$2:$D50, $D20))</f>
        <v>0</v>
      </c>
      <c r="AF20" s="498">
        <f>sumifs('Form responses'!ET$2:ET50,
'Form responses'!$D$2:$D50,$D20)
-(sumifs('Form responses'!FZ$2:FZ50,
'Form responses'!$D$2:$D50,$D20)
+sumifs('Form responses'!FJ$2:FJ50,
'Form responses'!$D$2:$D50,$D20)+sumifs('Form responses'!BJ$2:BJ50,'Form responses'!$D$2:$D50, $D20))</f>
        <v>0</v>
      </c>
      <c r="AG20" s="498">
        <f>sumifs('Form responses'!EU$2:EU50,
'Form responses'!$D$2:$D50,$D20)
-(sumifs('Form responses'!GA$2:GA50,
'Form responses'!$D$2:$D50,$D20)
+sumifs('Form responses'!FK$2:FK50,
'Form responses'!$D$2:$D50,$D20)+sumifs('Form responses'!BL$2:BL50, 'Form responses'!$D$2:$D50, $D20))</f>
        <v>0</v>
      </c>
      <c r="AH20" s="498">
        <f>sumifs('Form responses'!EV$2:EV50,
'Form responses'!$D$2:$D50,$D20)
-(sumifs('Form responses'!GB$2:GB50,
'Form responses'!$D$2:$D50,$D20)
+sumifs('Form responses'!FL$2:FL50,
'Form responses'!$D$2:$D50,$D20)+sumifs('Form responses'!BN$2:BN50,'Form responses'!$D$2:$D50, $D20))</f>
        <v>0</v>
      </c>
      <c r="AI20" s="498">
        <f>sumifs('Form responses'!EW$2:EW50,
'Form responses'!$D$2:$D50,$D20)
-(sumifs('Form responses'!GC$2:GC50,
'Form responses'!$D$2:$D50,$D20)
+sumifs('Form responses'!FM$2:FM50,
'Form responses'!$D$2:$D50,$D20)+sumifs('Form responses'!BP$2:BP50,'Form responses'!$D$2:$D50, $D20))</f>
        <v>0</v>
      </c>
      <c r="AJ20" s="485">
        <f>sumifs('Form responses'!EX$2:EX50,
'Form responses'!$D$2:$D50,$D20)
-(sumifs('Form responses'!GD$2:GD50,
'Form responses'!$D$2:$D50,$D20)
+sumifs('Form responses'!FN$2:FN50,
'Form responses'!$D$2:$D50,$D20)+sumifs('Form responses'!BR$2:BR50, 'Form responses'!$D$2:$D50, $D20))</f>
        <v>0</v>
      </c>
      <c r="AK20" s="485">
        <f>sumifs('Form responses'!EY$2:EY50,
'Form responses'!$D$2:$D50,$D20)
-(sumifs('Form responses'!GE$2:GE50,
'Form responses'!$D$2:$D50,$D20)
+sumifs('Form responses'!FO$2:FO50,
'Form responses'!$D$2:$D50,$D20)+sumifs('Form responses'!BT$2:BT50,'Form responses'!$D$2:$D50, $D20))</f>
        <v>0</v>
      </c>
      <c r="AL20" s="485">
        <f>sumifs('Form responses'!EZ$2:EZ50,
'Form responses'!$D$2:$D50,$D20)
-(sumifs('Form responses'!GF$2:GF50,
'Form responses'!$D$2:$D50,$D20)
+sumifs('Form responses'!FP$2:FP50,
'Form responses'!$D$2:$D50,$D20)+sumifs('Form responses'!BV$2:BV50,'Form responses'!$D$2:$D50, $D20))</f>
        <v>0</v>
      </c>
      <c r="AM20" s="485">
        <f>sumifs('Form responses'!FA$2:FA50,
'Form responses'!$D$2:$D50,$D20)
-(sumifs('Form responses'!GG$2:GG50,
'Form responses'!$D$2:$D50,$D20)
+sumifs('Form responses'!FQ$2:FQ50,
'Form responses'!$D$2:$D50,$D20)+sumifs('Form responses'!BX$2:BX50, 'Form responses'!$D$2:$D50, $D20))</f>
        <v>0</v>
      </c>
      <c r="AN20" s="498">
        <f>sumifs('Form responses'!FB$2:FB50,
'Form responses'!$D$2:$D50,$D20)
-(sumifs('Form responses'!GH$2:GH50,
'Form responses'!$D$2:$D50,$D20)
+sumifs('Form responses'!FR$2:FR50,
'Form responses'!$D$2:$D50,$D20)+sumifs('Form responses'!BZ$2:BZ50,'Form responses'!$D$2:$D50, $D20))</f>
        <v>0</v>
      </c>
      <c r="AO20" s="498">
        <f>sumifs('Form responses'!FC$2:FC50,
'Form responses'!$D$2:$D50,$D20)
-(sumifs('Form responses'!GI$2:GI50,
'Form responses'!$D$2:$D50,$D20)
+sumifs('Form responses'!FS$2:FS50,
'Form responses'!$D$2:$D50,$D20)+sumifs('Form responses'!CB$2:CB50,'Form responses'!$D$2:$D50, $D20))</f>
        <v>0</v>
      </c>
      <c r="AP20" s="486">
        <f>sumifs('Form responses'!FD$2:FD50,
'Form responses'!$D$2:$D50,$D20)
-(sumifs('Form responses'!GJ$2:GJ50,
'Form responses'!$D$2:$D50,$D20)
+sumifs('Form responses'!FT$2:FT50,
'Form responses'!$D$2:$D50,$D20)+sumifs('Form responses'!CD$2:CD50,'Form responses'!$D$2:$D50, $D20))</f>
        <v>0</v>
      </c>
      <c r="AQ20" s="486">
        <f>sumifs('Form responses'!FE$2:FE50,
'Form responses'!$D$2:$D50,$D20)
-(sumifs('Form responses'!GK$2:GK50,
'Form responses'!$D$2:$D50,$D20)
+sumifs('Form responses'!FU$2:FU50,
'Form responses'!$D$2:$D50,$D20)+sumifs('Form responses'!CF$2:CF50,'Form responses'!$D$2:$D50, $D20))</f>
        <v>0</v>
      </c>
    </row>
    <row r="21">
      <c r="A21" s="496"/>
      <c r="B21" s="496"/>
      <c r="C21" s="494">
        <f t="shared" si="1"/>
        <v>45747</v>
      </c>
      <c r="D21" s="501" t="s">
        <v>39</v>
      </c>
      <c r="E21" s="496"/>
      <c r="F21" s="496"/>
      <c r="G21" s="497" t="s">
        <v>70</v>
      </c>
      <c r="H21" s="497" t="s">
        <v>76</v>
      </c>
      <c r="I21" s="498">
        <f>sumifs('Form responses'!$AE$2:$AE50, 'Form responses'!$C$2:$C50, "&lt;="&amp;$C21, 'Form responses'!$D$2:$D50,$D21)-(sumifs('Form responses'!$AF$2:$AF50, 'Form responses'!$C$2:$C50, "&lt;="&amp;$C21, 'Form responses'!$D$2:$D50,$D21))</f>
        <v>0</v>
      </c>
      <c r="J21" s="499"/>
      <c r="K21" s="499"/>
      <c r="L21" s="498">
        <f>sumifs('Form responses'!$AH$2:$AH50, 'Form responses'!$C$2:$C50, "&lt;="&amp;$C21, 'Form responses'!$D$2:$D50,$D21)-(sumifs('Form responses'!$AI$2:$AI50, 'Form responses'!$C$2:$C50, "&lt;="&amp;$C21, 'Form responses'!$D$2:$D50,$D21))</f>
        <v>0</v>
      </c>
      <c r="M21" s="499"/>
      <c r="N21" s="499"/>
      <c r="O21" s="498">
        <f>sumifs('Form responses'!$AN$2:$AN50, 'Form responses'!$C$2:$C50, "&lt;="&amp;$C21, 'Form responses'!$D$2:$D50,$D21)-(sumifs('Form responses'!$AO$2:$AO50, 'Form responses'!$C$2:$C50, "&lt;="&amp;$C21, 'Form responses'!$D$2:$D50,$D21))</f>
        <v>0</v>
      </c>
      <c r="P21" s="499"/>
      <c r="Q21" s="499"/>
      <c r="R21" s="498">
        <f>sumifs('Form responses'!AK$2:AK50, 'Form responses'!$C$2:$C50, "&lt;="&amp;$C21, 'Form responses'!$D$2:$D50,$D21)-(sumifs('Form responses'!AL$2:AL50, 'Form responses'!$C$2:$C50, "&lt;="&amp;$C21, 'Form responses'!$D$2:$D50,$D21))</f>
        <v>0</v>
      </c>
      <c r="S21" s="499"/>
      <c r="T21" s="499"/>
      <c r="U21" s="498">
        <f>sumifs('Form responses'!AQ$2:AQ50, 'Form responses'!$C$2:$C50, "&lt;="&amp;$C21, 'Form responses'!$D$2:$D50,$D21)-(sumifs('Form responses'!AR$2:AR50, 'Form responses'!$C$2:$C50, "&lt;="&amp;$C21, 'Form responses'!$D$2:$D50,$D21))</f>
        <v>0</v>
      </c>
      <c r="V21" s="499"/>
      <c r="W21" s="499"/>
      <c r="X21" s="498">
        <f>sumifs('Form responses'!AT$2:AT50, 'Form responses'!$C$2:$C50, "&lt;="&amp;$C21, 'Form responses'!$D$2:$D50,$D21)-(sumifs('Form responses'!AU$2:AU50, 'Form responses'!$C$2:$C50, "&lt;="&amp;$C21, 'Form responses'!$D$2:$D50,$D21))</f>
        <v>0</v>
      </c>
      <c r="Y21" s="499"/>
      <c r="Z21" s="499"/>
      <c r="AA21" s="498">
        <f>sumifs('Form responses'!AW$2:AW50, 'Form responses'!$C$2:$C50, "&lt;="&amp;$C21, 'Form responses'!$D$2:$D50,$D21)-(sumifs('Form responses'!AX$2:AX50, 'Form responses'!$C$2:$C50, "&lt;="&amp;$C21, 'Form responses'!$D$2:$D50,$D21))</f>
        <v>0</v>
      </c>
      <c r="AB21" s="500">
        <f>sumifs('Form responses'!AZ$2:AZ50, 'Form responses'!$C$2:$C50, "&lt;="&amp;$C21, 'Form responses'!$D$2:$D50,$D21)-(sumifs('Form responses'!BA$2:BA50, 'Form responses'!$C$2:$C50, "&lt;="&amp;$C21, 'Form responses'!$D$2:$D50,$D21))</f>
        <v>0</v>
      </c>
      <c r="AC21" s="499"/>
      <c r="AD21" s="498">
        <f>sumifs('Form responses'!ER$2:ER50,
'Form responses'!$D$2:$D50,$D21)
-(sumifs('Form responses'!FX$2:FX50,
'Form responses'!$D$2:$D50,$D21)
+sumifs('Form responses'!FH$2:FH50,
'Form responses'!$D$2:$D50,$D21)+sumifs('Form responses'!BF$2:BF50, 'Form responses'!$D$2:$D50, $D21))</f>
        <v>0</v>
      </c>
      <c r="AE21" s="498">
        <f>sumifs('Form responses'!ES$2:ES50,
'Form responses'!$D$2:$D50,$D21)
-(sumifs('Form responses'!FY$2:FY50,
'Form responses'!$D$2:$D50,$D21)
+sumifs('Form responses'!FI$2:FI50,
'Form responses'!$D$2:$D50,$D21)+sumifs('Form responses'!BH$2:BH50, 'Form responses'!$D$2:$D50, $D21))</f>
        <v>0</v>
      </c>
      <c r="AF21" s="498">
        <f>sumifs('Form responses'!ET$2:ET50,
'Form responses'!$D$2:$D50,$D21)
-(sumifs('Form responses'!FZ$2:FZ50,
'Form responses'!$D$2:$D50,$D21)
+sumifs('Form responses'!FJ$2:FJ50,
'Form responses'!$D$2:$D50,$D21)+sumifs('Form responses'!BJ$2:BJ50,'Form responses'!$D$2:$D50, $D21))</f>
        <v>0</v>
      </c>
      <c r="AG21" s="498">
        <f>sumifs('Form responses'!EU$2:EU50,
'Form responses'!$D$2:$D50,$D21)
-(sumifs('Form responses'!GA$2:GA50,
'Form responses'!$D$2:$D50,$D21)
+sumifs('Form responses'!FK$2:FK50,
'Form responses'!$D$2:$D50,$D21)+sumifs('Form responses'!BL$2:BL50, 'Form responses'!$D$2:$D50, $D21))</f>
        <v>0</v>
      </c>
      <c r="AH21" s="498">
        <f>sumifs('Form responses'!EV$2:EV50,
'Form responses'!$D$2:$D50,$D21)
-(sumifs('Form responses'!GB$2:GB50,
'Form responses'!$D$2:$D50,$D21)
+sumifs('Form responses'!FL$2:FL50,
'Form responses'!$D$2:$D50,$D21)+sumifs('Form responses'!BN$2:BN50,'Form responses'!$D$2:$D50, $D21))</f>
        <v>0</v>
      </c>
      <c r="AI21" s="498">
        <f>sumifs('Form responses'!EW$2:EW50,
'Form responses'!$D$2:$D50,$D21)
-(sumifs('Form responses'!GC$2:GC50,
'Form responses'!$D$2:$D50,$D21)
+sumifs('Form responses'!FM$2:FM50,
'Form responses'!$D$2:$D50,$D21)+sumifs('Form responses'!BP$2:BP50,'Form responses'!$D$2:$D50, $D21))</f>
        <v>0</v>
      </c>
      <c r="AJ21" s="485">
        <f>sumifs('Form responses'!EX$2:EX50,
'Form responses'!$D$2:$D50,$D21)
-(sumifs('Form responses'!GD$2:GD50,
'Form responses'!$D$2:$D50,$D21)
+sumifs('Form responses'!FN$2:FN50,
'Form responses'!$D$2:$D50,$D21)+sumifs('Form responses'!BR$2:BR50, 'Form responses'!$D$2:$D50, $D21))</f>
        <v>0</v>
      </c>
      <c r="AK21" s="485">
        <f>sumifs('Form responses'!EY$2:EY50,
'Form responses'!$D$2:$D50,$D21)
-(sumifs('Form responses'!GE$2:GE50,
'Form responses'!$D$2:$D50,$D21)
+sumifs('Form responses'!FO$2:FO50,
'Form responses'!$D$2:$D50,$D21)+sumifs('Form responses'!BT$2:BT50,'Form responses'!$D$2:$D50, $D21))</f>
        <v>0</v>
      </c>
      <c r="AL21" s="485">
        <f>sumifs('Form responses'!EZ$2:EZ50,
'Form responses'!$D$2:$D50,$D21)
-(sumifs('Form responses'!GF$2:GF50,
'Form responses'!$D$2:$D50,$D21)
+sumifs('Form responses'!FP$2:FP50,
'Form responses'!$D$2:$D50,$D21)+sumifs('Form responses'!BV$2:BV50,'Form responses'!$D$2:$D50, $D21))</f>
        <v>0</v>
      </c>
      <c r="AM21" s="485">
        <f>sumifs('Form responses'!FA$2:FA50,
'Form responses'!$D$2:$D50,$D21)
-(sumifs('Form responses'!GG$2:GG50,
'Form responses'!$D$2:$D50,$D21)
+sumifs('Form responses'!FQ$2:FQ50,
'Form responses'!$D$2:$D50,$D21)+sumifs('Form responses'!BX$2:BX50, 'Form responses'!$D$2:$D50, $D21))</f>
        <v>0</v>
      </c>
      <c r="AN21" s="498">
        <f>sumifs('Form responses'!FB$2:FB50,
'Form responses'!$D$2:$D50,$D21)
-(sumifs('Form responses'!GH$2:GH50,
'Form responses'!$D$2:$D50,$D21)
+sumifs('Form responses'!FR$2:FR50,
'Form responses'!$D$2:$D50,$D21)+sumifs('Form responses'!BZ$2:BZ50,'Form responses'!$D$2:$D50, $D21))</f>
        <v>0</v>
      </c>
      <c r="AO21" s="498">
        <f>sumifs('Form responses'!FC$2:FC50,
'Form responses'!$D$2:$D50,$D21)
-(sumifs('Form responses'!GI$2:GI50,
'Form responses'!$D$2:$D50,$D21)
+sumifs('Form responses'!FS$2:FS50,
'Form responses'!$D$2:$D50,$D21)+sumifs('Form responses'!CB$2:CB50,'Form responses'!$D$2:$D50, $D21))</f>
        <v>0</v>
      </c>
      <c r="AP21" s="486">
        <f>sumifs('Form responses'!FD$2:FD50,
'Form responses'!$D$2:$D50,$D21)
-(sumifs('Form responses'!GJ$2:GJ50,
'Form responses'!$D$2:$D50,$D21)
+sumifs('Form responses'!FT$2:FT50,
'Form responses'!$D$2:$D50,$D21)+sumifs('Form responses'!CD$2:CD50,'Form responses'!$D$2:$D50, $D21))</f>
        <v>0</v>
      </c>
      <c r="AQ21" s="486">
        <f>sumifs('Form responses'!FE$2:FE50,
'Form responses'!$D$2:$D50,$D21)
-(sumifs('Form responses'!GK$2:GK50,
'Form responses'!$D$2:$D50,$D21)
+sumifs('Form responses'!FU$2:FU50,
'Form responses'!$D$2:$D50,$D21)+sumifs('Form responses'!CF$2:CF50,'Form responses'!$D$2:$D50, $D21))</f>
        <v>0</v>
      </c>
    </row>
    <row r="22">
      <c r="A22" s="496"/>
      <c r="B22" s="496"/>
      <c r="C22" s="494">
        <f t="shared" si="1"/>
        <v>45747</v>
      </c>
      <c r="D22" s="501" t="s">
        <v>36</v>
      </c>
      <c r="E22" s="496"/>
      <c r="F22" s="496"/>
      <c r="G22" s="497" t="s">
        <v>70</v>
      </c>
      <c r="H22" s="497" t="s">
        <v>76</v>
      </c>
      <c r="I22" s="498">
        <f>sumifs('Form responses'!$AE$2:$AE50, 'Form responses'!$C$2:$C50, "&lt;="&amp;$C22, 'Form responses'!$D$2:$D50,$D22)-(sumifs('Form responses'!$AF$2:$AF50, 'Form responses'!$C$2:$C50, "&lt;="&amp;$C22, 'Form responses'!$D$2:$D50,$D22))</f>
        <v>0</v>
      </c>
      <c r="J22" s="499"/>
      <c r="K22" s="499"/>
      <c r="L22" s="498">
        <f>sumifs('Form responses'!$AH$2:$AH50, 'Form responses'!$C$2:$C50, "&lt;="&amp;$C22, 'Form responses'!$D$2:$D50,$D22)-(sumifs('Form responses'!$AI$2:$AI50, 'Form responses'!$C$2:$C50, "&lt;="&amp;$C22, 'Form responses'!$D$2:$D50,$D22))</f>
        <v>0</v>
      </c>
      <c r="M22" s="499"/>
      <c r="N22" s="499"/>
      <c r="O22" s="498">
        <f>sumifs('Form responses'!$AN$2:$AN50, 'Form responses'!$C$2:$C50, "&lt;="&amp;$C22, 'Form responses'!$D$2:$D50,$D22)-(sumifs('Form responses'!$AO$2:$AO50, 'Form responses'!$C$2:$C50, "&lt;="&amp;$C22, 'Form responses'!$D$2:$D50,$D22))</f>
        <v>250</v>
      </c>
      <c r="P22" s="499"/>
      <c r="Q22" s="499"/>
      <c r="R22" s="498">
        <f>sumifs('Form responses'!AK$2:AK50, 'Form responses'!$C$2:$C50, "&lt;="&amp;$C22, 'Form responses'!$D$2:$D50,$D22)-(sumifs('Form responses'!AL$2:AL50, 'Form responses'!$C$2:$C50, "&lt;="&amp;$C22, 'Form responses'!$D$2:$D50,$D22))</f>
        <v>0</v>
      </c>
      <c r="S22" s="499"/>
      <c r="T22" s="499"/>
      <c r="U22" s="498">
        <f>sumifs('Form responses'!AQ$2:AQ50, 'Form responses'!$C$2:$C50, "&lt;="&amp;$C22, 'Form responses'!$D$2:$D50,$D22)-(sumifs('Form responses'!AR$2:AR50, 'Form responses'!$C$2:$C50, "&lt;="&amp;$C22, 'Form responses'!$D$2:$D50,$D22))</f>
        <v>0</v>
      </c>
      <c r="V22" s="499"/>
      <c r="W22" s="499"/>
      <c r="X22" s="498">
        <f>sumifs('Form responses'!AT$2:AT50, 'Form responses'!$C$2:$C50, "&lt;="&amp;$C22, 'Form responses'!$D$2:$D50,$D22)-(sumifs('Form responses'!AU$2:AU50, 'Form responses'!$C$2:$C50, "&lt;="&amp;$C22, 'Form responses'!$D$2:$D50,$D22))</f>
        <v>0</v>
      </c>
      <c r="Y22" s="499"/>
      <c r="Z22" s="499"/>
      <c r="AA22" s="498">
        <f>sumifs('Form responses'!AW$2:AW50, 'Form responses'!$C$2:$C50, "&lt;="&amp;$C22, 'Form responses'!$D$2:$D50,$D22)-(sumifs('Form responses'!AX$2:AX50, 'Form responses'!$C$2:$C50, "&lt;="&amp;$C22, 'Form responses'!$D$2:$D50,$D22))</f>
        <v>0</v>
      </c>
      <c r="AB22" s="500">
        <f>sumifs('Form responses'!AZ$2:AZ50, 'Form responses'!$C$2:$C50, "&lt;="&amp;$C22, 'Form responses'!$D$2:$D50,$D22)-(sumifs('Form responses'!BA$2:BA50, 'Form responses'!$C$2:$C50, "&lt;="&amp;$C22, 'Form responses'!$D$2:$D50,$D22))</f>
        <v>0</v>
      </c>
      <c r="AC22" s="499"/>
      <c r="AD22" s="498">
        <f>sumifs('Form responses'!ER$2:ER50,
'Form responses'!$D$2:$D50,$D22)
-(sumifs('Form responses'!FX$2:FX50,
'Form responses'!$D$2:$D50,$D22)
+sumifs('Form responses'!FH$2:FH50,
'Form responses'!$D$2:$D50,$D22)+sumifs('Form responses'!BF$2:BF50, 'Form responses'!$D$2:$D50, $D22))</f>
        <v>0</v>
      </c>
      <c r="AE22" s="498">
        <f>sumifs('Form responses'!ES$2:ES50,
'Form responses'!$D$2:$D50,$D22)
-(sumifs('Form responses'!FY$2:FY50,
'Form responses'!$D$2:$D50,$D22)
+sumifs('Form responses'!FI$2:FI50,
'Form responses'!$D$2:$D50,$D22)+sumifs('Form responses'!BH$2:BH50, 'Form responses'!$D$2:$D50, $D22))</f>
        <v>0</v>
      </c>
      <c r="AF22" s="498">
        <f>sumifs('Form responses'!ET$2:ET50,
'Form responses'!$D$2:$D50,$D22)
-(sumifs('Form responses'!FZ$2:FZ50,
'Form responses'!$D$2:$D50,$D22)
+sumifs('Form responses'!FJ$2:FJ50,
'Form responses'!$D$2:$D50,$D22)+sumifs('Form responses'!BJ$2:BJ50,'Form responses'!$D$2:$D50, $D22))</f>
        <v>0</v>
      </c>
      <c r="AG22" s="498">
        <f>sumifs('Form responses'!EU$2:EU50,
'Form responses'!$D$2:$D50,$D22)
-(sumifs('Form responses'!GA$2:GA50,
'Form responses'!$D$2:$D50,$D22)
+sumifs('Form responses'!FK$2:FK50,
'Form responses'!$D$2:$D50,$D22)+sumifs('Form responses'!BL$2:BL50, 'Form responses'!$D$2:$D50, $D22))</f>
        <v>0</v>
      </c>
      <c r="AH22" s="498">
        <f>sumifs('Form responses'!EV$2:EV50,
'Form responses'!$D$2:$D50,$D22)
-(sumifs('Form responses'!GB$2:GB50,
'Form responses'!$D$2:$D50,$D22)
+sumifs('Form responses'!FL$2:FL50,
'Form responses'!$D$2:$D50,$D22)+sumifs('Form responses'!BN$2:BN50,'Form responses'!$D$2:$D50, $D22))</f>
        <v>0</v>
      </c>
      <c r="AI22" s="498">
        <f>sumifs('Form responses'!EW$2:EW50,
'Form responses'!$D$2:$D50,$D22)
-(sumifs('Form responses'!GC$2:GC50,
'Form responses'!$D$2:$D50,$D22)
+sumifs('Form responses'!FM$2:FM50,
'Form responses'!$D$2:$D50,$D22)+sumifs('Form responses'!BP$2:BP50,'Form responses'!$D$2:$D50, $D22))</f>
        <v>0</v>
      </c>
      <c r="AJ22" s="485">
        <f>sumifs('Form responses'!EX$2:EX50,
'Form responses'!$D$2:$D50,$D22)
-(sumifs('Form responses'!GD$2:GD50,
'Form responses'!$D$2:$D50,$D22)
+sumifs('Form responses'!FN$2:FN50,
'Form responses'!$D$2:$D50,$D22)+sumifs('Form responses'!BR$2:BR50, 'Form responses'!$D$2:$D50, $D22))</f>
        <v>0</v>
      </c>
      <c r="AK22" s="485">
        <f>sumifs('Form responses'!EY$2:EY50,
'Form responses'!$D$2:$D50,$D22)
-(sumifs('Form responses'!GE$2:GE50,
'Form responses'!$D$2:$D50,$D22)
+sumifs('Form responses'!FO$2:FO50,
'Form responses'!$D$2:$D50,$D22)+sumifs('Form responses'!BT$2:BT50,'Form responses'!$D$2:$D50, $D22))</f>
        <v>0</v>
      </c>
      <c r="AL22" s="485">
        <f>sumifs('Form responses'!EZ$2:EZ50,
'Form responses'!$D$2:$D50,$D22)
-(sumifs('Form responses'!GF$2:GF50,
'Form responses'!$D$2:$D50,$D22)
+sumifs('Form responses'!FP$2:FP50,
'Form responses'!$D$2:$D50,$D22)+sumifs('Form responses'!BV$2:BV50,'Form responses'!$D$2:$D50, $D22))</f>
        <v>0</v>
      </c>
      <c r="AM22" s="485">
        <f>sumifs('Form responses'!FA$2:FA50,
'Form responses'!$D$2:$D50,$D22)
-(sumifs('Form responses'!GG$2:GG50,
'Form responses'!$D$2:$D50,$D22)
+sumifs('Form responses'!FQ$2:FQ50,
'Form responses'!$D$2:$D50,$D22)+sumifs('Form responses'!BX$2:BX50, 'Form responses'!$D$2:$D50, $D22))</f>
        <v>0</v>
      </c>
      <c r="AN22" s="498">
        <f>sumifs('Form responses'!FB$2:FB50,
'Form responses'!$D$2:$D50,$D22)
-(sumifs('Form responses'!GH$2:GH50,
'Form responses'!$D$2:$D50,$D22)
+sumifs('Form responses'!FR$2:FR50,
'Form responses'!$D$2:$D50,$D22)+sumifs('Form responses'!BZ$2:BZ50,'Form responses'!$D$2:$D50, $D22))</f>
        <v>0</v>
      </c>
      <c r="AO22" s="498">
        <f>sumifs('Form responses'!FC$2:FC50,
'Form responses'!$D$2:$D50,$D22)
-(sumifs('Form responses'!GI$2:GI50,
'Form responses'!$D$2:$D50,$D22)
+sumifs('Form responses'!FS$2:FS50,
'Form responses'!$D$2:$D50,$D22)+sumifs('Form responses'!CB$2:CB50,'Form responses'!$D$2:$D50, $D22))</f>
        <v>0</v>
      </c>
      <c r="AP22" s="486">
        <f>sumifs('Form responses'!FD$2:FD50,
'Form responses'!$D$2:$D50,$D22)
-(sumifs('Form responses'!GJ$2:GJ50,
'Form responses'!$D$2:$D50,$D22)
+sumifs('Form responses'!FT$2:FT50,
'Form responses'!$D$2:$D50,$D22)+sumifs('Form responses'!CD$2:CD50,'Form responses'!$D$2:$D50, $D22))</f>
        <v>0</v>
      </c>
      <c r="AQ22" s="486">
        <f>sumifs('Form responses'!FE$2:FE50,
'Form responses'!$D$2:$D50,$D22)
-(sumifs('Form responses'!GK$2:GK50,
'Form responses'!$D$2:$D50,$D22)
+sumifs('Form responses'!FU$2:FU50,
'Form responses'!$D$2:$D50,$D22)+sumifs('Form responses'!CF$2:CF50,'Form responses'!$D$2:$D50, $D22))</f>
        <v>0</v>
      </c>
    </row>
    <row r="23">
      <c r="A23" s="496"/>
      <c r="B23" s="496"/>
      <c r="C23" s="494">
        <f t="shared" si="1"/>
        <v>45747</v>
      </c>
      <c r="D23" s="501" t="s">
        <v>38</v>
      </c>
      <c r="E23" s="496"/>
      <c r="F23" s="496"/>
      <c r="G23" s="497" t="s">
        <v>70</v>
      </c>
      <c r="H23" s="497" t="s">
        <v>76</v>
      </c>
      <c r="I23" s="498">
        <f>sumifs('Form responses'!$AE$2:$AE50, 'Form responses'!$C$2:$C50, "&lt;="&amp;$C23, 'Form responses'!$D$2:$D50,$D23)-(sumifs('Form responses'!$AF$2:$AF50, 'Form responses'!$C$2:$C50, "&lt;="&amp;$C23, 'Form responses'!$D$2:$D50,$D23))</f>
        <v>0</v>
      </c>
      <c r="J23" s="499"/>
      <c r="K23" s="499"/>
      <c r="L23" s="498">
        <f>sumifs('Form responses'!$AH$2:$AH50, 'Form responses'!$C$2:$C50, "&lt;="&amp;$C23, 'Form responses'!$D$2:$D50,$D23)-(sumifs('Form responses'!$AI$2:$AI50, 'Form responses'!$C$2:$C50, "&lt;="&amp;$C23, 'Form responses'!$D$2:$D50,$D23))</f>
        <v>0</v>
      </c>
      <c r="M23" s="499"/>
      <c r="N23" s="499"/>
      <c r="O23" s="498">
        <f>sumifs('Form responses'!$AN$2:$AN50, 'Form responses'!$C$2:$C50, "&lt;="&amp;$C23, 'Form responses'!$D$2:$D50,$D23)-(sumifs('Form responses'!$AO$2:$AO50, 'Form responses'!$C$2:$C50, "&lt;="&amp;$C23, 'Form responses'!$D$2:$D50,$D23))</f>
        <v>300</v>
      </c>
      <c r="P23" s="499"/>
      <c r="Q23" s="499"/>
      <c r="R23" s="498">
        <f>sumifs('Form responses'!AK$2:AK50, 'Form responses'!$C$2:$C50, "&lt;="&amp;$C23, 'Form responses'!$D$2:$D50,$D23)-(sumifs('Form responses'!AL$2:AL50, 'Form responses'!$C$2:$C50, "&lt;="&amp;$C23, 'Form responses'!$D$2:$D50,$D23))</f>
        <v>0</v>
      </c>
      <c r="S23" s="499"/>
      <c r="T23" s="499"/>
      <c r="U23" s="498">
        <f>sumifs('Form responses'!AQ$2:AQ50, 'Form responses'!$C$2:$C50, "&lt;="&amp;$C23, 'Form responses'!$D$2:$D50,$D23)-(sumifs('Form responses'!AR$2:AR50, 'Form responses'!$C$2:$C50, "&lt;="&amp;$C23, 'Form responses'!$D$2:$D50,$D23))</f>
        <v>0</v>
      </c>
      <c r="V23" s="499"/>
      <c r="W23" s="499"/>
      <c r="X23" s="498">
        <f>sumifs('Form responses'!AT$2:AT50, 'Form responses'!$C$2:$C50, "&lt;="&amp;$C23, 'Form responses'!$D$2:$D50,$D23)-(sumifs('Form responses'!AU$2:AU50, 'Form responses'!$C$2:$C50, "&lt;="&amp;$C23, 'Form responses'!$D$2:$D50,$D23))</f>
        <v>0</v>
      </c>
      <c r="Y23" s="499"/>
      <c r="Z23" s="499"/>
      <c r="AA23" s="498">
        <f>sumifs('Form responses'!AW$2:AW50, 'Form responses'!$C$2:$C50, "&lt;="&amp;$C23, 'Form responses'!$D$2:$D50,$D23)-(sumifs('Form responses'!AX$2:AX50, 'Form responses'!$C$2:$C50, "&lt;="&amp;$C23, 'Form responses'!$D$2:$D50,$D23))</f>
        <v>0</v>
      </c>
      <c r="AB23" s="500">
        <f>sumifs('Form responses'!AZ$2:AZ50, 'Form responses'!$C$2:$C50, "&lt;="&amp;$C23, 'Form responses'!$D$2:$D50,$D23)-(sumifs('Form responses'!BA$2:BA50, 'Form responses'!$C$2:$C50, "&lt;="&amp;$C23, 'Form responses'!$D$2:$D50,$D23))</f>
        <v>0</v>
      </c>
      <c r="AC23" s="499"/>
      <c r="AD23" s="498">
        <f>sumifs('Form responses'!ER$2:ER50,
'Form responses'!$D$2:$D50,$D23)
-(sumifs('Form responses'!FX$2:FX50,
'Form responses'!$D$2:$D50,$D23)
+sumifs('Form responses'!FH$2:FH50,
'Form responses'!$D$2:$D50,$D23)+sumifs('Form responses'!BF$2:BF50, 'Form responses'!$D$2:$D50, $D23))</f>
        <v>0</v>
      </c>
      <c r="AE23" s="498">
        <f>sumifs('Form responses'!ES$2:ES50,
'Form responses'!$D$2:$D50,$D23)
-(sumifs('Form responses'!FY$2:FY50,
'Form responses'!$D$2:$D50,$D23)
+sumifs('Form responses'!FI$2:FI50,
'Form responses'!$D$2:$D50,$D23)+sumifs('Form responses'!BH$2:BH50, 'Form responses'!$D$2:$D50, $D23))</f>
        <v>0</v>
      </c>
      <c r="AF23" s="498">
        <f>sumifs('Form responses'!ET$2:ET50,
'Form responses'!$D$2:$D50,$D23)
-(sumifs('Form responses'!FZ$2:FZ50,
'Form responses'!$D$2:$D50,$D23)
+sumifs('Form responses'!FJ$2:FJ50,
'Form responses'!$D$2:$D50,$D23)+sumifs('Form responses'!BJ$2:BJ50,'Form responses'!$D$2:$D50, $D23))</f>
        <v>0</v>
      </c>
      <c r="AG23" s="498">
        <f>sumifs('Form responses'!EU$2:EU50,
'Form responses'!$D$2:$D50,$D23)
-(sumifs('Form responses'!GA$2:GA50,
'Form responses'!$D$2:$D50,$D23)
+sumifs('Form responses'!FK$2:FK50,
'Form responses'!$D$2:$D50,$D23)+sumifs('Form responses'!BL$2:BL50, 'Form responses'!$D$2:$D50, $D23))</f>
        <v>0</v>
      </c>
      <c r="AH23" s="498">
        <f>sumifs('Form responses'!EV$2:EV50,
'Form responses'!$D$2:$D50,$D23)
-(sumifs('Form responses'!GB$2:GB50,
'Form responses'!$D$2:$D50,$D23)
+sumifs('Form responses'!FL$2:FL50,
'Form responses'!$D$2:$D50,$D23)+sumifs('Form responses'!BN$2:BN50,'Form responses'!$D$2:$D50, $D23))</f>
        <v>0</v>
      </c>
      <c r="AI23" s="498">
        <f>sumifs('Form responses'!EW$2:EW50,
'Form responses'!$D$2:$D50,$D23)
-(sumifs('Form responses'!GC$2:GC50,
'Form responses'!$D$2:$D50,$D23)
+sumifs('Form responses'!FM$2:FM50,
'Form responses'!$D$2:$D50,$D23)+sumifs('Form responses'!BP$2:BP50,'Form responses'!$D$2:$D50, $D23))</f>
        <v>0</v>
      </c>
      <c r="AJ23" s="485">
        <f>sumifs('Form responses'!EX$2:EX50,
'Form responses'!$D$2:$D50,$D23)
-(sumifs('Form responses'!GD$2:GD50,
'Form responses'!$D$2:$D50,$D23)
+sumifs('Form responses'!FN$2:FN50,
'Form responses'!$D$2:$D50,$D23)+sumifs('Form responses'!BR$2:BR50, 'Form responses'!$D$2:$D50, $D23))</f>
        <v>0</v>
      </c>
      <c r="AK23" s="485">
        <f>sumifs('Form responses'!EY$2:EY50,
'Form responses'!$D$2:$D50,$D23)
-(sumifs('Form responses'!GE$2:GE50,
'Form responses'!$D$2:$D50,$D23)
+sumifs('Form responses'!FO$2:FO50,
'Form responses'!$D$2:$D50,$D23)+sumifs('Form responses'!BT$2:BT50,'Form responses'!$D$2:$D50, $D23))</f>
        <v>0</v>
      </c>
      <c r="AL23" s="485">
        <f>sumifs('Form responses'!EZ$2:EZ50,
'Form responses'!$D$2:$D50,$D23)
-(sumifs('Form responses'!GF$2:GF50,
'Form responses'!$D$2:$D50,$D23)
+sumifs('Form responses'!FP$2:FP50,
'Form responses'!$D$2:$D50,$D23)+sumifs('Form responses'!BV$2:BV50,'Form responses'!$D$2:$D50, $D23))</f>
        <v>0</v>
      </c>
      <c r="AM23" s="485">
        <f>sumifs('Form responses'!FA$2:FA50,
'Form responses'!$D$2:$D50,$D23)
-(sumifs('Form responses'!GG$2:GG50,
'Form responses'!$D$2:$D50,$D23)
+sumifs('Form responses'!FQ$2:FQ50,
'Form responses'!$D$2:$D50,$D23)+sumifs('Form responses'!BX$2:BX50, 'Form responses'!$D$2:$D50, $D23))</f>
        <v>0</v>
      </c>
      <c r="AN23" s="498">
        <f>sumifs('Form responses'!FB$2:FB50,
'Form responses'!$D$2:$D50,$D23)
-(sumifs('Form responses'!GH$2:GH50,
'Form responses'!$D$2:$D50,$D23)
+sumifs('Form responses'!FR$2:FR50,
'Form responses'!$D$2:$D50,$D23)+sumifs('Form responses'!BZ$2:BZ50,'Form responses'!$D$2:$D50, $D23))</f>
        <v>0</v>
      </c>
      <c r="AO23" s="498">
        <f>sumifs('Form responses'!FC$2:FC50,
'Form responses'!$D$2:$D50,$D23)
-(sumifs('Form responses'!GI$2:GI50,
'Form responses'!$D$2:$D50,$D23)
+sumifs('Form responses'!FS$2:FS50,
'Form responses'!$D$2:$D50,$D23)+sumifs('Form responses'!CB$2:CB50,'Form responses'!$D$2:$D50, $D23))</f>
        <v>0</v>
      </c>
      <c r="AP23" s="486">
        <f>sumifs('Form responses'!FD$2:FD50,
'Form responses'!$D$2:$D50,$D23)
-(sumifs('Form responses'!GJ$2:GJ50,
'Form responses'!$D$2:$D50,$D23)
+sumifs('Form responses'!FT$2:FT50,
'Form responses'!$D$2:$D50,$D23)+sumifs('Form responses'!CD$2:CD50,'Form responses'!$D$2:$D50, $D23))</f>
        <v>0</v>
      </c>
      <c r="AQ23" s="486">
        <f>sumifs('Form responses'!FE$2:FE50,
'Form responses'!$D$2:$D50,$D23)
-(sumifs('Form responses'!GK$2:GK50,
'Form responses'!$D$2:$D50,$D23)
+sumifs('Form responses'!FU$2:FU50,
'Form responses'!$D$2:$D50,$D23)+sumifs('Form responses'!CF$2:CF50,'Form responses'!$D$2:$D50, $D23))</f>
        <v>0</v>
      </c>
    </row>
    <row r="24">
      <c r="A24" s="496"/>
      <c r="B24" s="496"/>
      <c r="C24" s="494">
        <f t="shared" si="1"/>
        <v>45747</v>
      </c>
      <c r="D24" s="501" t="s">
        <v>192</v>
      </c>
      <c r="E24" s="496"/>
      <c r="F24" s="496"/>
      <c r="G24" s="497" t="s">
        <v>70</v>
      </c>
      <c r="H24" s="497" t="s">
        <v>76</v>
      </c>
      <c r="I24" s="498">
        <f>sumifs('Form responses'!$AE$2:$AE50, 'Form responses'!$C$2:$C50, "&lt;="&amp;$C24, 'Form responses'!$D$2:$D50,$D24)-(sumifs('Form responses'!$AF$2:$AF50, 'Form responses'!$C$2:$C50, "&lt;="&amp;$C24, 'Form responses'!$D$2:$D50,$D24))</f>
        <v>0</v>
      </c>
      <c r="J24" s="499"/>
      <c r="K24" s="499"/>
      <c r="L24" s="498">
        <f>sumifs('Form responses'!$AH$2:$AH50, 'Form responses'!$C$2:$C50, "&lt;="&amp;$C24, 'Form responses'!$D$2:$D50,$D24)-(sumifs('Form responses'!$AI$2:$AI50, 'Form responses'!$C$2:$C50, "&lt;="&amp;$C24, 'Form responses'!$D$2:$D50,$D24))</f>
        <v>0</v>
      </c>
      <c r="M24" s="499"/>
      <c r="N24" s="499"/>
      <c r="O24" s="498">
        <f>sumifs('Form responses'!$AN$2:$AN50, 'Form responses'!$C$2:$C50, "&lt;="&amp;$C24, 'Form responses'!$D$2:$D50,$D24)-(sumifs('Form responses'!$AO$2:$AO50, 'Form responses'!$C$2:$C50, "&lt;="&amp;$C24, 'Form responses'!$D$2:$D50,$D24))</f>
        <v>0</v>
      </c>
      <c r="P24" s="499"/>
      <c r="Q24" s="499"/>
      <c r="R24" s="498">
        <f>sumifs('Form responses'!AK$2:AK50, 'Form responses'!$C$2:$C50, "&lt;="&amp;$C24, 'Form responses'!$D$2:$D50,$D24)-(sumifs('Form responses'!AL$2:AL50, 'Form responses'!$C$2:$C50, "&lt;="&amp;$C24, 'Form responses'!$D$2:$D50,$D24))</f>
        <v>0</v>
      </c>
      <c r="S24" s="499"/>
      <c r="T24" s="499"/>
      <c r="U24" s="498">
        <f>sumifs('Form responses'!AQ$2:AQ50, 'Form responses'!$C$2:$C50, "&lt;="&amp;$C24, 'Form responses'!$D$2:$D50,$D24)-(sumifs('Form responses'!AR$2:AR50, 'Form responses'!$C$2:$C50, "&lt;="&amp;$C24, 'Form responses'!$D$2:$D50,$D24))</f>
        <v>0</v>
      </c>
      <c r="V24" s="499"/>
      <c r="W24" s="499"/>
      <c r="X24" s="498">
        <f>sumifs('Form responses'!AT$2:AT50, 'Form responses'!$C$2:$C50, "&lt;="&amp;$C24, 'Form responses'!$D$2:$D50,$D24)-(sumifs('Form responses'!AU$2:AU50, 'Form responses'!$C$2:$C50, "&lt;="&amp;$C24, 'Form responses'!$D$2:$D50,$D24))</f>
        <v>0</v>
      </c>
      <c r="Y24" s="499"/>
      <c r="Z24" s="499"/>
      <c r="AA24" s="498">
        <f>sumifs('Form responses'!AW$2:AW50, 'Form responses'!$C$2:$C50, "&lt;="&amp;$C24, 'Form responses'!$D$2:$D50,$D24)-(sumifs('Form responses'!AX$2:AX50, 'Form responses'!$C$2:$C50, "&lt;="&amp;$C24, 'Form responses'!$D$2:$D50,$D24))</f>
        <v>0</v>
      </c>
      <c r="AB24" s="500">
        <f>sumifs('Form responses'!AZ$2:AZ50, 'Form responses'!$C$2:$C50, "&lt;="&amp;$C24, 'Form responses'!$D$2:$D50,$D24)-(sumifs('Form responses'!BA$2:BA50, 'Form responses'!$C$2:$C50, "&lt;="&amp;$C24, 'Form responses'!$D$2:$D50,$D24))</f>
        <v>0</v>
      </c>
      <c r="AC24" s="499"/>
      <c r="AD24" s="498">
        <f>sumifs('Form responses'!ER$2:ER50,
'Form responses'!$D$2:$D50,$D24)
-(sumifs('Form responses'!FX$2:FX50,
'Form responses'!$D$2:$D50,$D24)
+sumifs('Form responses'!FH$2:FH50,
'Form responses'!$D$2:$D50,$D24)+sumifs('Form responses'!BF$2:BF50, 'Form responses'!$D$2:$D50, $D24))</f>
        <v>0</v>
      </c>
      <c r="AE24" s="498">
        <f>sumifs('Form responses'!ES$2:ES50,
'Form responses'!$D$2:$D50,$D24)
-(sumifs('Form responses'!FY$2:FY50,
'Form responses'!$D$2:$D50,$D24)
+sumifs('Form responses'!FI$2:FI50,
'Form responses'!$D$2:$D50,$D24)+sumifs('Form responses'!BH$2:BH50, 'Form responses'!$D$2:$D50, $D24))</f>
        <v>0</v>
      </c>
      <c r="AF24" s="498">
        <f>sumifs('Form responses'!ET$2:ET50,
'Form responses'!$D$2:$D50,$D24)
-(sumifs('Form responses'!FZ$2:FZ50,
'Form responses'!$D$2:$D50,$D24)
+sumifs('Form responses'!FJ$2:FJ50,
'Form responses'!$D$2:$D50,$D24)+sumifs('Form responses'!BJ$2:BJ50,'Form responses'!$D$2:$D50, $D24))</f>
        <v>0</v>
      </c>
      <c r="AG24" s="498">
        <f>sumifs('Form responses'!EU$2:EU50,
'Form responses'!$D$2:$D50,$D24)
-(sumifs('Form responses'!GA$2:GA50,
'Form responses'!$D$2:$D50,$D24)
+sumifs('Form responses'!FK$2:FK50,
'Form responses'!$D$2:$D50,$D24)+sumifs('Form responses'!BL$2:BL50, 'Form responses'!$D$2:$D50, $D24))</f>
        <v>0</v>
      </c>
      <c r="AH24" s="498">
        <f>sumifs('Form responses'!EV$2:EV50,
'Form responses'!$D$2:$D50,$D24)
-(sumifs('Form responses'!GB$2:GB50,
'Form responses'!$D$2:$D50,$D24)
+sumifs('Form responses'!FL$2:FL50,
'Form responses'!$D$2:$D50,$D24)+sumifs('Form responses'!BN$2:BN50,'Form responses'!$D$2:$D50, $D24))</f>
        <v>0</v>
      </c>
      <c r="AI24" s="498">
        <f>sumifs('Form responses'!EW$2:EW50,
'Form responses'!$D$2:$D50,$D24)
-(sumifs('Form responses'!GC$2:GC50,
'Form responses'!$D$2:$D50,$D24)
+sumifs('Form responses'!FM$2:FM50,
'Form responses'!$D$2:$D50,$D24)+sumifs('Form responses'!BP$2:BP50,'Form responses'!$D$2:$D50, $D24))</f>
        <v>0</v>
      </c>
      <c r="AJ24" s="485">
        <f>sumifs('Form responses'!EX$2:EX50,
'Form responses'!$D$2:$D50,$D24)
-(sumifs('Form responses'!GD$2:GD50,
'Form responses'!$D$2:$D50,$D24)
+sumifs('Form responses'!FN$2:FN50,
'Form responses'!$D$2:$D50,$D24)+sumifs('Form responses'!BR$2:BR50, 'Form responses'!$D$2:$D50, $D24))</f>
        <v>0</v>
      </c>
      <c r="AK24" s="485">
        <f>sumifs('Form responses'!EY$2:EY50,
'Form responses'!$D$2:$D50,$D24)
-(sumifs('Form responses'!GE$2:GE50,
'Form responses'!$D$2:$D50,$D24)
+sumifs('Form responses'!FO$2:FO50,
'Form responses'!$D$2:$D50,$D24)+sumifs('Form responses'!BT$2:BT50,'Form responses'!$D$2:$D50, $D24))</f>
        <v>0</v>
      </c>
      <c r="AL24" s="485">
        <f>sumifs('Form responses'!EZ$2:EZ50,
'Form responses'!$D$2:$D50,$D24)
-(sumifs('Form responses'!GF$2:GF50,
'Form responses'!$D$2:$D50,$D24)
+sumifs('Form responses'!FP$2:FP50,
'Form responses'!$D$2:$D50,$D24)+sumifs('Form responses'!BV$2:BV50,'Form responses'!$D$2:$D50, $D24))</f>
        <v>0</v>
      </c>
      <c r="AM24" s="485">
        <f>sumifs('Form responses'!FA$2:FA50,
'Form responses'!$D$2:$D50,$D24)
-(sumifs('Form responses'!GG$2:GG50,
'Form responses'!$D$2:$D50,$D24)
+sumifs('Form responses'!FQ$2:FQ50,
'Form responses'!$D$2:$D50,$D24)+sumifs('Form responses'!BX$2:BX50, 'Form responses'!$D$2:$D50, $D24))</f>
        <v>0</v>
      </c>
      <c r="AN24" s="498">
        <f>sumifs('Form responses'!FB$2:FB50,
'Form responses'!$D$2:$D50,$D24)
-(sumifs('Form responses'!GH$2:GH50,
'Form responses'!$D$2:$D50,$D24)
+sumifs('Form responses'!FR$2:FR50,
'Form responses'!$D$2:$D50,$D24)+sumifs('Form responses'!BZ$2:BZ50,'Form responses'!$D$2:$D50, $D24))</f>
        <v>0</v>
      </c>
      <c r="AO24" s="498">
        <f>sumifs('Form responses'!FC$2:FC50,
'Form responses'!$D$2:$D50,$D24)
-(sumifs('Form responses'!GI$2:GI50,
'Form responses'!$D$2:$D50,$D24)
+sumifs('Form responses'!FS$2:FS50,
'Form responses'!$D$2:$D50,$D24)+sumifs('Form responses'!CB$2:CB50,'Form responses'!$D$2:$D50, $D24))</f>
        <v>0</v>
      </c>
      <c r="AP24" s="486">
        <f>sumifs('Form responses'!FD$2:FD50,
'Form responses'!$D$2:$D50,$D24)
-(sumifs('Form responses'!GJ$2:GJ50,
'Form responses'!$D$2:$D50,$D24)
+sumifs('Form responses'!FT$2:FT50,
'Form responses'!$D$2:$D50,$D24)+sumifs('Form responses'!CD$2:CD50,'Form responses'!$D$2:$D50, $D24))</f>
        <v>0</v>
      </c>
      <c r="AQ24" s="486">
        <f>sumifs('Form responses'!FE$2:FE50,
'Form responses'!$D$2:$D50,$D24)
-(sumifs('Form responses'!GK$2:GK50,
'Form responses'!$D$2:$D50,$D24)
+sumifs('Form responses'!FU$2:FU50,
'Form responses'!$D$2:$D50,$D24)+sumifs('Form responses'!CF$2:CF50,'Form responses'!$D$2:$D50, $D24))</f>
        <v>0</v>
      </c>
    </row>
    <row r="25">
      <c r="A25" s="496"/>
      <c r="B25" s="496"/>
      <c r="C25" s="494">
        <f t="shared" si="1"/>
        <v>45747</v>
      </c>
      <c r="D25" s="501" t="s">
        <v>201</v>
      </c>
      <c r="E25" s="496"/>
      <c r="F25" s="496"/>
      <c r="G25" s="497" t="s">
        <v>70</v>
      </c>
      <c r="H25" s="497" t="s">
        <v>76</v>
      </c>
      <c r="I25" s="498">
        <f>sumifs('Form responses'!$AE$2:$AE50, 'Form responses'!$C$2:$C50, "&lt;="&amp;$C25, 'Form responses'!$D$2:$D50,$D25)-(sumifs('Form responses'!$AF$2:$AF50, 'Form responses'!$C$2:$C50, "&lt;="&amp;$C25, 'Form responses'!$D$2:$D50,$D25))</f>
        <v>0</v>
      </c>
      <c r="J25" s="499"/>
      <c r="K25" s="499"/>
      <c r="L25" s="498">
        <f>sumifs('Form responses'!$AH$2:$AH50, 'Form responses'!$C$2:$C50, "&lt;="&amp;$C25, 'Form responses'!$D$2:$D50,$D25)-(sumifs('Form responses'!$AI$2:$AI50, 'Form responses'!$C$2:$C50, "&lt;="&amp;$C25, 'Form responses'!$D$2:$D50,$D25))</f>
        <v>0</v>
      </c>
      <c r="M25" s="499"/>
      <c r="N25" s="499"/>
      <c r="O25" s="498">
        <f>sumifs('Form responses'!$AN$2:$AN50, 'Form responses'!$C$2:$C50, "&lt;="&amp;$C25, 'Form responses'!$D$2:$D50,$D25)-(sumifs('Form responses'!$AO$2:$AO50, 'Form responses'!$C$2:$C50, "&lt;="&amp;$C25, 'Form responses'!$D$2:$D50,$D25))</f>
        <v>0</v>
      </c>
      <c r="P25" s="499"/>
      <c r="Q25" s="499"/>
      <c r="R25" s="498">
        <f>sumifs('Form responses'!AK$2:AK50, 'Form responses'!$C$2:$C50, "&lt;="&amp;$C25, 'Form responses'!$D$2:$D50,$D25)-(sumifs('Form responses'!AL$2:AL50, 'Form responses'!$C$2:$C50, "&lt;="&amp;$C25, 'Form responses'!$D$2:$D50,$D25))</f>
        <v>0</v>
      </c>
      <c r="S25" s="499"/>
      <c r="T25" s="499"/>
      <c r="U25" s="498">
        <f>sumifs('Form responses'!AQ$2:AQ50, 'Form responses'!$C$2:$C50, "&lt;="&amp;$C25, 'Form responses'!$D$2:$D50,$D25)-(sumifs('Form responses'!AR$2:AR50, 'Form responses'!$C$2:$C50, "&lt;="&amp;$C25, 'Form responses'!$D$2:$D50,$D25))</f>
        <v>0</v>
      </c>
      <c r="V25" s="499"/>
      <c r="W25" s="499"/>
      <c r="X25" s="498">
        <f>sumifs('Form responses'!AT$2:AT50, 'Form responses'!$C$2:$C50, "&lt;="&amp;$C25, 'Form responses'!$D$2:$D50,$D25)-(sumifs('Form responses'!AU$2:AU50, 'Form responses'!$C$2:$C50, "&lt;="&amp;$C25, 'Form responses'!$D$2:$D50,$D25))</f>
        <v>0</v>
      </c>
      <c r="Y25" s="499"/>
      <c r="Z25" s="499"/>
      <c r="AA25" s="498">
        <f>sumifs('Form responses'!AW$2:AW50, 'Form responses'!$C$2:$C50, "&lt;="&amp;$C25, 'Form responses'!$D$2:$D50,$D25)-(sumifs('Form responses'!AX$2:AX50, 'Form responses'!$C$2:$C50, "&lt;="&amp;$C25, 'Form responses'!$D$2:$D50,$D25))</f>
        <v>0</v>
      </c>
      <c r="AB25" s="500">
        <f>sumifs('Form responses'!AZ$2:AZ50, 'Form responses'!$C$2:$C50, "&lt;="&amp;$C25, 'Form responses'!$D$2:$D50,$D25)-(sumifs('Form responses'!BA$2:BA50, 'Form responses'!$C$2:$C50, "&lt;="&amp;$C25, 'Form responses'!$D$2:$D50,$D25))</f>
        <v>0</v>
      </c>
      <c r="AC25" s="499"/>
      <c r="AD25" s="498">
        <f>sumifs('Form responses'!ER$2:ER50,
'Form responses'!$D$2:$D50,$D25)
-(sumifs('Form responses'!FX$2:FX50,
'Form responses'!$D$2:$D50,$D25)
+sumifs('Form responses'!FH$2:FH50,
'Form responses'!$D$2:$D50,$D25)+sumifs('Form responses'!BF$2:BF50, 'Form responses'!$D$2:$D50, $D25))</f>
        <v>-2</v>
      </c>
      <c r="AE25" s="498">
        <f>sumifs('Form responses'!ES$2:ES50,
'Form responses'!$D$2:$D50,$D25)
-(sumifs('Form responses'!FY$2:FY50,
'Form responses'!$D$2:$D50,$D25)
+sumifs('Form responses'!FI$2:FI50,
'Form responses'!$D$2:$D50,$D25)+sumifs('Form responses'!BH$2:BH50, 'Form responses'!$D$2:$D50, $D25))</f>
        <v>0</v>
      </c>
      <c r="AF25" s="498">
        <f>sumifs('Form responses'!ET$2:ET50,
'Form responses'!$D$2:$D50,$D25)
-(sumifs('Form responses'!FZ$2:FZ50,
'Form responses'!$D$2:$D50,$D25)
+sumifs('Form responses'!FJ$2:FJ50,
'Form responses'!$D$2:$D50,$D25)+sumifs('Form responses'!BJ$2:BJ50,'Form responses'!$D$2:$D50, $D25))</f>
        <v>-90</v>
      </c>
      <c r="AG25" s="498">
        <f>sumifs('Form responses'!EU$2:EU50,
'Form responses'!$D$2:$D50,$D25)
-(sumifs('Form responses'!GA$2:GA50,
'Form responses'!$D$2:$D50,$D25)
+sumifs('Form responses'!FK$2:FK50,
'Form responses'!$D$2:$D50,$D25)+sumifs('Form responses'!BL$2:BL50, 'Form responses'!$D$2:$D50, $D25))</f>
        <v>0</v>
      </c>
      <c r="AH25" s="498">
        <f>sumifs('Form responses'!EV$2:EV50,
'Form responses'!$D$2:$D50,$D25)
-(sumifs('Form responses'!GB$2:GB50,
'Form responses'!$D$2:$D50,$D25)
+sumifs('Form responses'!FL$2:FL50,
'Form responses'!$D$2:$D50,$D25)+sumifs('Form responses'!BN$2:BN50,'Form responses'!$D$2:$D50, $D25))</f>
        <v>0</v>
      </c>
      <c r="AI25" s="498">
        <f>sumifs('Form responses'!EW$2:EW50,
'Form responses'!$D$2:$D50,$D25)
-(sumifs('Form responses'!GC$2:GC50,
'Form responses'!$D$2:$D50,$D25)
+sumifs('Form responses'!FM$2:FM50,
'Form responses'!$D$2:$D50,$D25)+sumifs('Form responses'!BP$2:BP50,'Form responses'!$D$2:$D50, $D25))</f>
        <v>0</v>
      </c>
      <c r="AJ25" s="485">
        <f>sumifs('Form responses'!EX$2:EX50,
'Form responses'!$D$2:$D50,$D25)
-(sumifs('Form responses'!GD$2:GD50,
'Form responses'!$D$2:$D50,$D25)
+sumifs('Form responses'!FN$2:FN50,
'Form responses'!$D$2:$D50,$D25)+sumifs('Form responses'!BR$2:BR50, 'Form responses'!$D$2:$D50, $D25))</f>
        <v>0</v>
      </c>
      <c r="AK25" s="485">
        <f>sumifs('Form responses'!EY$2:EY50,
'Form responses'!$D$2:$D50,$D25)
-(sumifs('Form responses'!GE$2:GE50,
'Form responses'!$D$2:$D50,$D25)
+sumifs('Form responses'!FO$2:FO50,
'Form responses'!$D$2:$D50,$D25)+sumifs('Form responses'!BT$2:BT50,'Form responses'!$D$2:$D50, $D25))</f>
        <v>0</v>
      </c>
      <c r="AL25" s="485">
        <f>sumifs('Form responses'!EZ$2:EZ50,
'Form responses'!$D$2:$D50,$D25)
-(sumifs('Form responses'!GF$2:GF50,
'Form responses'!$D$2:$D50,$D25)
+sumifs('Form responses'!FP$2:FP50,
'Form responses'!$D$2:$D50,$D25)+sumifs('Form responses'!BV$2:BV50,'Form responses'!$D$2:$D50, $D25))</f>
        <v>0</v>
      </c>
      <c r="AM25" s="485">
        <f>sumifs('Form responses'!FA$2:FA50,
'Form responses'!$D$2:$D50,$D25)
-(sumifs('Form responses'!GG$2:GG50,
'Form responses'!$D$2:$D50,$D25)
+sumifs('Form responses'!FQ$2:FQ50,
'Form responses'!$D$2:$D50,$D25)+sumifs('Form responses'!BX$2:BX50, 'Form responses'!$D$2:$D50, $D25))</f>
        <v>0</v>
      </c>
      <c r="AN25" s="498">
        <f>sumifs('Form responses'!FB$2:FB50,
'Form responses'!$D$2:$D50,$D25)
-(sumifs('Form responses'!GH$2:GH50,
'Form responses'!$D$2:$D50,$D25)
+sumifs('Form responses'!FR$2:FR50,
'Form responses'!$D$2:$D50,$D25)+sumifs('Form responses'!BZ$2:BZ50,'Form responses'!$D$2:$D50, $D25))</f>
        <v>0</v>
      </c>
      <c r="AO25" s="498">
        <f>sumifs('Form responses'!FC$2:FC50,
'Form responses'!$D$2:$D50,$D25)
-(sumifs('Form responses'!GI$2:GI50,
'Form responses'!$D$2:$D50,$D25)
+sumifs('Form responses'!FS$2:FS50,
'Form responses'!$D$2:$D50,$D25)+sumifs('Form responses'!CB$2:CB50,'Form responses'!$D$2:$D50, $D25))</f>
        <v>0</v>
      </c>
      <c r="AP25" s="486">
        <f>sumifs('Form responses'!FD$2:FD50,
'Form responses'!$D$2:$D50,$D25)
-(sumifs('Form responses'!GJ$2:GJ50,
'Form responses'!$D$2:$D50,$D25)
+sumifs('Form responses'!FT$2:FT50,
'Form responses'!$D$2:$D50,$D25)+sumifs('Form responses'!CD$2:CD50,'Form responses'!$D$2:$D50, $D25))</f>
        <v>0</v>
      </c>
      <c r="AQ25" s="486">
        <f>sumifs('Form responses'!FE$2:FE50,
'Form responses'!$D$2:$D50,$D25)
-(sumifs('Form responses'!GK$2:GK50,
'Form responses'!$D$2:$D50,$D25)
+sumifs('Form responses'!FU$2:FU50,
'Form responses'!$D$2:$D50,$D25)+sumifs('Form responses'!CF$2:CF50,'Form responses'!$D$2:$D50, $D25))</f>
        <v>0</v>
      </c>
    </row>
    <row r="26">
      <c r="A26" s="496"/>
      <c r="B26" s="496"/>
      <c r="C26" s="494">
        <f t="shared" si="1"/>
        <v>45747</v>
      </c>
      <c r="D26" s="501" t="s">
        <v>207</v>
      </c>
      <c r="E26" s="496"/>
      <c r="F26" s="496"/>
      <c r="G26" s="497" t="s">
        <v>70</v>
      </c>
      <c r="H26" s="497" t="s">
        <v>76</v>
      </c>
      <c r="I26" s="498">
        <f>sumifs('Form responses'!$AE$2:$AE50, 'Form responses'!$C$2:$C50, "&lt;="&amp;$C26, 'Form responses'!$D$2:$D50,$D26)-(sumifs('Form responses'!$AF$2:$AF50, 'Form responses'!$C$2:$C50, "&lt;="&amp;$C26, 'Form responses'!$D$2:$D50,$D26))</f>
        <v>0</v>
      </c>
      <c r="J26" s="499"/>
      <c r="K26" s="499"/>
      <c r="L26" s="498">
        <f>sumifs('Form responses'!$AH$2:$AH50, 'Form responses'!$C$2:$C50, "&lt;="&amp;$C26, 'Form responses'!$D$2:$D50,$D26)-(sumifs('Form responses'!$AI$2:$AI50, 'Form responses'!$C$2:$C50, "&lt;="&amp;$C26, 'Form responses'!$D$2:$D50,$D26))</f>
        <v>0</v>
      </c>
      <c r="M26" s="499"/>
      <c r="N26" s="499"/>
      <c r="O26" s="498">
        <f>sumifs('Form responses'!$AN$2:$AN50, 'Form responses'!$C$2:$C50, "&lt;="&amp;$C26, 'Form responses'!$D$2:$D50,$D26)-(sumifs('Form responses'!$AO$2:$AO50, 'Form responses'!$C$2:$C50, "&lt;="&amp;$C26, 'Form responses'!$D$2:$D50,$D26))</f>
        <v>500</v>
      </c>
      <c r="P26" s="499"/>
      <c r="Q26" s="499"/>
      <c r="R26" s="498">
        <f>sumifs('Form responses'!AK$2:AK50, 'Form responses'!$C$2:$C50, "&lt;="&amp;$C26, 'Form responses'!$D$2:$D50,$D26)-(sumifs('Form responses'!AL$2:AL50, 'Form responses'!$C$2:$C50, "&lt;="&amp;$C26, 'Form responses'!$D$2:$D50,$D26))</f>
        <v>0</v>
      </c>
      <c r="S26" s="499"/>
      <c r="T26" s="499"/>
      <c r="U26" s="498">
        <f>sumifs('Form responses'!AQ$2:AQ50, 'Form responses'!$C$2:$C50, "&lt;="&amp;$C26, 'Form responses'!$D$2:$D50,$D26)-(sumifs('Form responses'!AR$2:AR50, 'Form responses'!$C$2:$C50, "&lt;="&amp;$C26, 'Form responses'!$D$2:$D50,$D26))</f>
        <v>0</v>
      </c>
      <c r="V26" s="499"/>
      <c r="W26" s="499"/>
      <c r="X26" s="498">
        <f>sumifs('Form responses'!AT$2:AT50, 'Form responses'!$C$2:$C50, "&lt;="&amp;$C26, 'Form responses'!$D$2:$D50,$D26)-(sumifs('Form responses'!AU$2:AU50, 'Form responses'!$C$2:$C50, "&lt;="&amp;$C26, 'Form responses'!$D$2:$D50,$D26))</f>
        <v>0</v>
      </c>
      <c r="Y26" s="499"/>
      <c r="Z26" s="499"/>
      <c r="AA26" s="498">
        <f>sumifs('Form responses'!AW$2:AW50, 'Form responses'!$C$2:$C50, "&lt;="&amp;$C26, 'Form responses'!$D$2:$D50,$D26)-(sumifs('Form responses'!AX$2:AX50, 'Form responses'!$C$2:$C50, "&lt;="&amp;$C26, 'Form responses'!$D$2:$D50,$D26))</f>
        <v>0</v>
      </c>
      <c r="AB26" s="500">
        <f>sumifs('Form responses'!AZ$2:AZ50, 'Form responses'!$C$2:$C50, "&lt;="&amp;$C26, 'Form responses'!$D$2:$D50,$D26)-(sumifs('Form responses'!BA$2:BA50, 'Form responses'!$C$2:$C50, "&lt;="&amp;$C26, 'Form responses'!$D$2:$D50,$D26))</f>
        <v>0</v>
      </c>
      <c r="AC26" s="499"/>
      <c r="AD26" s="498">
        <f>sumifs('Form responses'!ER$2:ER50,
'Form responses'!$D$2:$D50,$D26)
-(sumifs('Form responses'!FX$2:FX50,
'Form responses'!$D$2:$D50,$D26)
+sumifs('Form responses'!FH$2:FH50,
'Form responses'!$D$2:$D50,$D26)+sumifs('Form responses'!BF$2:BF50, 'Form responses'!$D$2:$D50, $D26))</f>
        <v>-6</v>
      </c>
      <c r="AE26" s="498">
        <f>sumifs('Form responses'!ES$2:ES50,
'Form responses'!$D$2:$D50,$D26)
-(sumifs('Form responses'!FY$2:FY50,
'Form responses'!$D$2:$D50,$D26)
+sumifs('Form responses'!FI$2:FI50,
'Form responses'!$D$2:$D50,$D26)+sumifs('Form responses'!BH$2:BH50, 'Form responses'!$D$2:$D50, $D26))</f>
        <v>0</v>
      </c>
      <c r="AF26" s="498">
        <f>sumifs('Form responses'!ET$2:ET50,
'Form responses'!$D$2:$D50,$D26)
-(sumifs('Form responses'!FZ$2:FZ50,
'Form responses'!$D$2:$D50,$D26)
+sumifs('Form responses'!FJ$2:FJ50,
'Form responses'!$D$2:$D50,$D26)+sumifs('Form responses'!BJ$2:BJ50,'Form responses'!$D$2:$D50, $D26))</f>
        <v>-310</v>
      </c>
      <c r="AG26" s="498">
        <f>sumifs('Form responses'!EU$2:EU50,
'Form responses'!$D$2:$D50,$D26)
-(sumifs('Form responses'!GA$2:GA50,
'Form responses'!$D$2:$D50,$D26)
+sumifs('Form responses'!FK$2:FK50,
'Form responses'!$D$2:$D50,$D26)+sumifs('Form responses'!BL$2:BL50, 'Form responses'!$D$2:$D50, $D26))</f>
        <v>0</v>
      </c>
      <c r="AH26" s="498">
        <f>sumifs('Form responses'!EV$2:EV50,
'Form responses'!$D$2:$D50,$D26)
-(sumifs('Form responses'!GB$2:GB50,
'Form responses'!$D$2:$D50,$D26)
+sumifs('Form responses'!FL$2:FL50,
'Form responses'!$D$2:$D50,$D26)+sumifs('Form responses'!BN$2:BN50,'Form responses'!$D$2:$D50, $D26))</f>
        <v>0</v>
      </c>
      <c r="AI26" s="498">
        <f>sumifs('Form responses'!EW$2:EW50,
'Form responses'!$D$2:$D50,$D26)
-(sumifs('Form responses'!GC$2:GC50,
'Form responses'!$D$2:$D50,$D26)
+sumifs('Form responses'!FM$2:FM50,
'Form responses'!$D$2:$D50,$D26)+sumifs('Form responses'!BP$2:BP50,'Form responses'!$D$2:$D50, $D26))</f>
        <v>0</v>
      </c>
      <c r="AJ26" s="485">
        <f>sumifs('Form responses'!EX$2:EX50,
'Form responses'!$D$2:$D50,$D26)
-(sumifs('Form responses'!GD$2:GD50,
'Form responses'!$D$2:$D50,$D26)
+sumifs('Form responses'!FN$2:FN50,
'Form responses'!$D$2:$D50,$D26)+sumifs('Form responses'!BR$2:BR50, 'Form responses'!$D$2:$D50, $D26))</f>
        <v>0</v>
      </c>
      <c r="AK26" s="485">
        <f>sumifs('Form responses'!EY$2:EY50,
'Form responses'!$D$2:$D50,$D26)
-(sumifs('Form responses'!GE$2:GE50,
'Form responses'!$D$2:$D50,$D26)
+sumifs('Form responses'!FO$2:FO50,
'Form responses'!$D$2:$D50,$D26)+sumifs('Form responses'!BT$2:BT50,'Form responses'!$D$2:$D50, $D26))</f>
        <v>0</v>
      </c>
      <c r="AL26" s="485">
        <f>sumifs('Form responses'!EZ$2:EZ50,
'Form responses'!$D$2:$D50,$D26)
-(sumifs('Form responses'!GF$2:GF50,
'Form responses'!$D$2:$D50,$D26)
+sumifs('Form responses'!FP$2:FP50,
'Form responses'!$D$2:$D50,$D26)+sumifs('Form responses'!BV$2:BV50,'Form responses'!$D$2:$D50, $D26))</f>
        <v>0</v>
      </c>
      <c r="AM26" s="485">
        <f>sumifs('Form responses'!FA$2:FA50,
'Form responses'!$D$2:$D50,$D26)
-(sumifs('Form responses'!GG$2:GG50,
'Form responses'!$D$2:$D50,$D26)
+sumifs('Form responses'!FQ$2:FQ50,
'Form responses'!$D$2:$D50,$D26)+sumifs('Form responses'!BX$2:BX50, 'Form responses'!$D$2:$D50, $D26))</f>
        <v>0</v>
      </c>
      <c r="AN26" s="498">
        <f>sumifs('Form responses'!FB$2:FB50,
'Form responses'!$D$2:$D50,$D26)
-(sumifs('Form responses'!GH$2:GH50,
'Form responses'!$D$2:$D50,$D26)
+sumifs('Form responses'!FR$2:FR50,
'Form responses'!$D$2:$D50,$D26)+sumifs('Form responses'!BZ$2:BZ50,'Form responses'!$D$2:$D50, $D26))</f>
        <v>0</v>
      </c>
      <c r="AO26" s="498">
        <f>sumifs('Form responses'!FC$2:FC50,
'Form responses'!$D$2:$D50,$D26)
-(sumifs('Form responses'!GI$2:GI50,
'Form responses'!$D$2:$D50,$D26)
+sumifs('Form responses'!FS$2:FS50,
'Form responses'!$D$2:$D50,$D26)+sumifs('Form responses'!CB$2:CB50,'Form responses'!$D$2:$D50, $D26))</f>
        <v>0</v>
      </c>
      <c r="AP26" s="486">
        <f>sumifs('Form responses'!FD$2:FD50,
'Form responses'!$D$2:$D50,$D26)
-(sumifs('Form responses'!GJ$2:GJ50,
'Form responses'!$D$2:$D50,$D26)
+sumifs('Form responses'!FT$2:FT50,
'Form responses'!$D$2:$D50,$D26)+sumifs('Form responses'!CD$2:CD50,'Form responses'!$D$2:$D50, $D26))</f>
        <v>0</v>
      </c>
      <c r="AQ26" s="486">
        <f>sumifs('Form responses'!FE$2:FE50,
'Form responses'!$D$2:$D50,$D26)
-(sumifs('Form responses'!GK$2:GK50,
'Form responses'!$D$2:$D50,$D26)
+sumifs('Form responses'!FU$2:FU50,
'Form responses'!$D$2:$D50,$D26)+sumifs('Form responses'!CF$2:CF50,'Form responses'!$D$2:$D50, $D26))</f>
        <v>0</v>
      </c>
    </row>
    <row r="27">
      <c r="A27" s="496"/>
      <c r="B27" s="496"/>
      <c r="C27" s="494">
        <f t="shared" si="1"/>
        <v>45747</v>
      </c>
      <c r="D27" s="501" t="s">
        <v>214</v>
      </c>
      <c r="E27" s="496"/>
      <c r="F27" s="496"/>
      <c r="G27" s="497" t="s">
        <v>70</v>
      </c>
      <c r="H27" s="497" t="s">
        <v>76</v>
      </c>
      <c r="I27" s="498">
        <f>sumifs('Form responses'!$AE$2:$AE50, 'Form responses'!$C$2:$C50, "&lt;="&amp;$C27, 'Form responses'!$D$2:$D50,$D27)-(sumifs('Form responses'!$AF$2:$AF50, 'Form responses'!$C$2:$C50, "&lt;="&amp;$C27, 'Form responses'!$D$2:$D50,$D27))</f>
        <v>0</v>
      </c>
      <c r="J27" s="499"/>
      <c r="K27" s="499"/>
      <c r="L27" s="498">
        <f>sumifs('Form responses'!$AH$2:$AH50, 'Form responses'!$C$2:$C50, "&lt;="&amp;$C27, 'Form responses'!$D$2:$D50,$D27)-(sumifs('Form responses'!$AI$2:$AI50, 'Form responses'!$C$2:$C50, "&lt;="&amp;$C27, 'Form responses'!$D$2:$D50,$D27))</f>
        <v>0</v>
      </c>
      <c r="M27" s="499"/>
      <c r="N27" s="499"/>
      <c r="O27" s="498">
        <f>sumifs('Form responses'!$AN$2:$AN50, 'Form responses'!$C$2:$C50, "&lt;="&amp;$C27, 'Form responses'!$D$2:$D50,$D27)-(sumifs('Form responses'!$AO$2:$AO50, 'Form responses'!$C$2:$C50, "&lt;="&amp;$C27, 'Form responses'!$D$2:$D50,$D27))</f>
        <v>0</v>
      </c>
      <c r="P27" s="499"/>
      <c r="Q27" s="499"/>
      <c r="R27" s="498">
        <f>sumifs('Form responses'!AK$2:AK50, 'Form responses'!$C$2:$C50, "&lt;="&amp;$C27, 'Form responses'!$D$2:$D50,$D27)-(sumifs('Form responses'!AL$2:AL50, 'Form responses'!$C$2:$C50, "&lt;="&amp;$C27, 'Form responses'!$D$2:$D50,$D27))</f>
        <v>0</v>
      </c>
      <c r="S27" s="499"/>
      <c r="T27" s="499"/>
      <c r="U27" s="498">
        <f>sumifs('Form responses'!AQ$2:AQ50, 'Form responses'!$C$2:$C50, "&lt;="&amp;$C27, 'Form responses'!$D$2:$D50,$D27)-(sumifs('Form responses'!AR$2:AR50, 'Form responses'!$C$2:$C50, "&lt;="&amp;$C27, 'Form responses'!$D$2:$D50,$D27))</f>
        <v>0</v>
      </c>
      <c r="V27" s="499"/>
      <c r="W27" s="499"/>
      <c r="X27" s="498">
        <f>sumifs('Form responses'!AT$2:AT50, 'Form responses'!$C$2:$C50, "&lt;="&amp;$C27, 'Form responses'!$D$2:$D50,$D27)-(sumifs('Form responses'!AU$2:AU50, 'Form responses'!$C$2:$C50, "&lt;="&amp;$C27, 'Form responses'!$D$2:$D50,$D27))</f>
        <v>0</v>
      </c>
      <c r="Y27" s="499"/>
      <c r="Z27" s="499"/>
      <c r="AA27" s="498">
        <f>sumifs('Form responses'!AW$2:AW50, 'Form responses'!$C$2:$C50, "&lt;="&amp;$C27, 'Form responses'!$D$2:$D50,$D27)-(sumifs('Form responses'!AX$2:AX50, 'Form responses'!$C$2:$C50, "&lt;="&amp;$C27, 'Form responses'!$D$2:$D50,$D27))</f>
        <v>0</v>
      </c>
      <c r="AB27" s="500">
        <f>sumifs('Form responses'!AZ$2:AZ50, 'Form responses'!$C$2:$C50, "&lt;="&amp;$C27, 'Form responses'!$D$2:$D50,$D27)-(sumifs('Form responses'!BA$2:BA50, 'Form responses'!$C$2:$C50, "&lt;="&amp;$C27, 'Form responses'!$D$2:$D50,$D27))</f>
        <v>0</v>
      </c>
      <c r="AC27" s="499"/>
      <c r="AD27" s="498">
        <f>sumifs('Form responses'!ER$2:ER50,
'Form responses'!$D$2:$D50,$D27)
-(sumifs('Form responses'!FX$2:FX50,
'Form responses'!$D$2:$D50,$D27)
+sumifs('Form responses'!FH$2:FH50,
'Form responses'!$D$2:$D50,$D27)+sumifs('Form responses'!BF$2:BF50, 'Form responses'!$D$2:$D50, $D27))</f>
        <v>0</v>
      </c>
      <c r="AE27" s="498">
        <f>sumifs('Form responses'!ES$2:ES50,
'Form responses'!$D$2:$D50,$D27)
-(sumifs('Form responses'!FY$2:FY50,
'Form responses'!$D$2:$D50,$D27)
+sumifs('Form responses'!FI$2:FI50,
'Form responses'!$D$2:$D50,$D27)+sumifs('Form responses'!BH$2:BH50, 'Form responses'!$D$2:$D50, $D27))</f>
        <v>0</v>
      </c>
      <c r="AF27" s="498">
        <f>sumifs('Form responses'!ET$2:ET50,
'Form responses'!$D$2:$D50,$D27)
-(sumifs('Form responses'!FZ$2:FZ50,
'Form responses'!$D$2:$D50,$D27)
+sumifs('Form responses'!FJ$2:FJ50,
'Form responses'!$D$2:$D50,$D27)+sumifs('Form responses'!BJ$2:BJ50,'Form responses'!$D$2:$D50, $D27))</f>
        <v>0</v>
      </c>
      <c r="AG27" s="498">
        <f>sumifs('Form responses'!EU$2:EU50,
'Form responses'!$D$2:$D50,$D27)
-(sumifs('Form responses'!GA$2:GA50,
'Form responses'!$D$2:$D50,$D27)
+sumifs('Form responses'!FK$2:FK50,
'Form responses'!$D$2:$D50,$D27)+sumifs('Form responses'!BL$2:BL50, 'Form responses'!$D$2:$D50, $D27))</f>
        <v>0</v>
      </c>
      <c r="AH27" s="498">
        <f>sumifs('Form responses'!EV$2:EV50,
'Form responses'!$D$2:$D50,$D27)
-(sumifs('Form responses'!GB$2:GB50,
'Form responses'!$D$2:$D50,$D27)
+sumifs('Form responses'!FL$2:FL50,
'Form responses'!$D$2:$D50,$D27)+sumifs('Form responses'!BN$2:BN50,'Form responses'!$D$2:$D50, $D27))</f>
        <v>0</v>
      </c>
      <c r="AI27" s="498">
        <f>sumifs('Form responses'!EW$2:EW50,
'Form responses'!$D$2:$D50,$D27)
-(sumifs('Form responses'!GC$2:GC50,
'Form responses'!$D$2:$D50,$D27)
+sumifs('Form responses'!FM$2:FM50,
'Form responses'!$D$2:$D50,$D27)+sumifs('Form responses'!BP$2:BP50,'Form responses'!$D$2:$D50, $D27))</f>
        <v>0</v>
      </c>
      <c r="AJ27" s="485">
        <f>sumifs('Form responses'!EX$2:EX50,
'Form responses'!$D$2:$D50,$D27)
-(sumifs('Form responses'!GD$2:GD50,
'Form responses'!$D$2:$D50,$D27)
+sumifs('Form responses'!FN$2:FN50,
'Form responses'!$D$2:$D50,$D27)+sumifs('Form responses'!BR$2:BR50, 'Form responses'!$D$2:$D50, $D27))</f>
        <v>0</v>
      </c>
      <c r="AK27" s="485">
        <f>sumifs('Form responses'!EY$2:EY50,
'Form responses'!$D$2:$D50,$D27)
-(sumifs('Form responses'!GE$2:GE50,
'Form responses'!$D$2:$D50,$D27)
+sumifs('Form responses'!FO$2:FO50,
'Form responses'!$D$2:$D50,$D27)+sumifs('Form responses'!BT$2:BT50,'Form responses'!$D$2:$D50, $D27))</f>
        <v>0</v>
      </c>
      <c r="AL27" s="485">
        <f>sumifs('Form responses'!EZ$2:EZ50,
'Form responses'!$D$2:$D50,$D27)
-(sumifs('Form responses'!GF$2:GF50,
'Form responses'!$D$2:$D50,$D27)
+sumifs('Form responses'!FP$2:FP50,
'Form responses'!$D$2:$D50,$D27)+sumifs('Form responses'!BV$2:BV50,'Form responses'!$D$2:$D50, $D27))</f>
        <v>0</v>
      </c>
      <c r="AM27" s="485">
        <f>sumifs('Form responses'!FA$2:FA50,
'Form responses'!$D$2:$D50,$D27)
-(sumifs('Form responses'!GG$2:GG50,
'Form responses'!$D$2:$D50,$D27)
+sumifs('Form responses'!FQ$2:FQ50,
'Form responses'!$D$2:$D50,$D27)+sumifs('Form responses'!BX$2:BX50, 'Form responses'!$D$2:$D50, $D27))</f>
        <v>0</v>
      </c>
      <c r="AN27" s="498">
        <f>sumifs('Form responses'!FB$2:FB50,
'Form responses'!$D$2:$D50,$D27)
-(sumifs('Form responses'!GH$2:GH50,
'Form responses'!$D$2:$D50,$D27)
+sumifs('Form responses'!FR$2:FR50,
'Form responses'!$D$2:$D50,$D27)+sumifs('Form responses'!BZ$2:BZ50,'Form responses'!$D$2:$D50, $D27))</f>
        <v>0</v>
      </c>
      <c r="AO27" s="498">
        <f>sumifs('Form responses'!FC$2:FC50,
'Form responses'!$D$2:$D50,$D27)
-(sumifs('Form responses'!GI$2:GI50,
'Form responses'!$D$2:$D50,$D27)
+sumifs('Form responses'!FS$2:FS50,
'Form responses'!$D$2:$D50,$D27)+sumifs('Form responses'!CB$2:CB50,'Form responses'!$D$2:$D50, $D27))</f>
        <v>0</v>
      </c>
      <c r="AP27" s="486">
        <f>sumifs('Form responses'!FD$2:FD50,
'Form responses'!$D$2:$D50,$D27)
-(sumifs('Form responses'!GJ$2:GJ50,
'Form responses'!$D$2:$D50,$D27)
+sumifs('Form responses'!FT$2:FT50,
'Form responses'!$D$2:$D50,$D27)+sumifs('Form responses'!CD$2:CD50,'Form responses'!$D$2:$D50, $D27))</f>
        <v>0</v>
      </c>
      <c r="AQ27" s="486">
        <f>sumifs('Form responses'!FE$2:FE50,
'Form responses'!$D$2:$D50,$D27)
-(sumifs('Form responses'!GK$2:GK50,
'Form responses'!$D$2:$D50,$D27)
+sumifs('Form responses'!FU$2:FU50,
'Form responses'!$D$2:$D50,$D27)+sumifs('Form responses'!CF$2:CF50,'Form responses'!$D$2:$D50, $D27))</f>
        <v>0</v>
      </c>
    </row>
    <row r="28">
      <c r="A28" s="496"/>
      <c r="B28" s="496"/>
      <c r="C28" s="494">
        <f t="shared" si="1"/>
        <v>45747</v>
      </c>
      <c r="D28" s="501" t="s">
        <v>211</v>
      </c>
      <c r="E28" s="496"/>
      <c r="F28" s="496"/>
      <c r="G28" s="497" t="s">
        <v>70</v>
      </c>
      <c r="H28" s="497" t="s">
        <v>76</v>
      </c>
      <c r="I28" s="498">
        <f>sumifs('Form responses'!$AE$2:$AE50, 'Form responses'!$C$2:$C50, "&lt;="&amp;$C28, 'Form responses'!$D$2:$D50,$D28)-(sumifs('Form responses'!$AF$2:$AF50, 'Form responses'!$C$2:$C50, "&lt;="&amp;$C28, 'Form responses'!$D$2:$D50,$D28))</f>
        <v>0</v>
      </c>
      <c r="J28" s="499"/>
      <c r="K28" s="499"/>
      <c r="L28" s="498">
        <f>sumifs('Form responses'!$AH$2:$AH50, 'Form responses'!$C$2:$C50, "&lt;="&amp;$C28, 'Form responses'!$D$2:$D50,$D28)-(sumifs('Form responses'!$AI$2:$AI50, 'Form responses'!$C$2:$C50, "&lt;="&amp;$C28, 'Form responses'!$D$2:$D50,$D28))</f>
        <v>0</v>
      </c>
      <c r="M28" s="499"/>
      <c r="N28" s="499"/>
      <c r="O28" s="498">
        <f>sumifs('Form responses'!$AN$2:$AN50, 'Form responses'!$C$2:$C50, "&lt;="&amp;$C28, 'Form responses'!$D$2:$D50,$D28)-(sumifs('Form responses'!$AO$2:$AO50, 'Form responses'!$C$2:$C50, "&lt;="&amp;$C28, 'Form responses'!$D$2:$D50,$D28))</f>
        <v>0</v>
      </c>
      <c r="P28" s="499"/>
      <c r="Q28" s="499"/>
      <c r="R28" s="498">
        <f>sumifs('Form responses'!AK$2:AK50, 'Form responses'!$C$2:$C50, "&lt;="&amp;$C28, 'Form responses'!$D$2:$D50,$D28)-(sumifs('Form responses'!AL$2:AL50, 'Form responses'!$C$2:$C50, "&lt;="&amp;$C28, 'Form responses'!$D$2:$D50,$D28))</f>
        <v>0</v>
      </c>
      <c r="S28" s="499"/>
      <c r="T28" s="499"/>
      <c r="U28" s="498">
        <f>sumifs('Form responses'!AQ$2:AQ50, 'Form responses'!$C$2:$C50, "&lt;="&amp;$C28, 'Form responses'!$D$2:$D50,$D28)-(sumifs('Form responses'!AR$2:AR50, 'Form responses'!$C$2:$C50, "&lt;="&amp;$C28, 'Form responses'!$D$2:$D50,$D28))</f>
        <v>0</v>
      </c>
      <c r="V28" s="499"/>
      <c r="W28" s="499"/>
      <c r="X28" s="498">
        <f>sumifs('Form responses'!AT$2:AT50, 'Form responses'!$C$2:$C50, "&lt;="&amp;$C28, 'Form responses'!$D$2:$D50,$D28)-(sumifs('Form responses'!AU$2:AU50, 'Form responses'!$C$2:$C50, "&lt;="&amp;$C28, 'Form responses'!$D$2:$D50,$D28))</f>
        <v>0</v>
      </c>
      <c r="Y28" s="499"/>
      <c r="Z28" s="499"/>
      <c r="AA28" s="498">
        <f>sumifs('Form responses'!AW$2:AW50, 'Form responses'!$C$2:$C50, "&lt;="&amp;$C28, 'Form responses'!$D$2:$D50,$D28)-(sumifs('Form responses'!AX$2:AX50, 'Form responses'!$C$2:$C50, "&lt;="&amp;$C28, 'Form responses'!$D$2:$D50,$D28))</f>
        <v>0</v>
      </c>
      <c r="AB28" s="500">
        <f>sumifs('Form responses'!AZ$2:AZ50, 'Form responses'!$C$2:$C50, "&lt;="&amp;$C28, 'Form responses'!$D$2:$D50,$D28)-(sumifs('Form responses'!BA$2:BA50, 'Form responses'!$C$2:$C50, "&lt;="&amp;$C28, 'Form responses'!$D$2:$D50,$D28))</f>
        <v>0</v>
      </c>
      <c r="AC28" s="499"/>
      <c r="AD28" s="498">
        <f>sumifs('Form responses'!ER$2:ER50,
'Form responses'!$D$2:$D50,$D28)
-(sumifs('Form responses'!FX$2:FX50,
'Form responses'!$D$2:$D50,$D28)
+sumifs('Form responses'!FH$2:FH50,
'Form responses'!$D$2:$D50,$D28)+sumifs('Form responses'!BF$2:BF50, 'Form responses'!$D$2:$D50, $D28))</f>
        <v>0</v>
      </c>
      <c r="AE28" s="498">
        <f>sumifs('Form responses'!ES$2:ES50,
'Form responses'!$D$2:$D50,$D28)
-(sumifs('Form responses'!FY$2:FY50,
'Form responses'!$D$2:$D50,$D28)
+sumifs('Form responses'!FI$2:FI50,
'Form responses'!$D$2:$D50,$D28)+sumifs('Form responses'!BH$2:BH50, 'Form responses'!$D$2:$D50, $D28))</f>
        <v>0</v>
      </c>
      <c r="AF28" s="498">
        <f>sumifs('Form responses'!ET$2:ET50,
'Form responses'!$D$2:$D50,$D28)
-(sumifs('Form responses'!FZ$2:FZ50,
'Form responses'!$D$2:$D50,$D28)
+sumifs('Form responses'!FJ$2:FJ50,
'Form responses'!$D$2:$D50,$D28)+sumifs('Form responses'!BJ$2:BJ50,'Form responses'!$D$2:$D50, $D28))</f>
        <v>0</v>
      </c>
      <c r="AG28" s="498">
        <f>sumifs('Form responses'!EU$2:EU50,
'Form responses'!$D$2:$D50,$D28)
-(sumifs('Form responses'!GA$2:GA50,
'Form responses'!$D$2:$D50,$D28)
+sumifs('Form responses'!FK$2:FK50,
'Form responses'!$D$2:$D50,$D28)+sumifs('Form responses'!BL$2:BL50, 'Form responses'!$D$2:$D50, $D28))</f>
        <v>0</v>
      </c>
      <c r="AH28" s="498">
        <f>sumifs('Form responses'!EV$2:EV50,
'Form responses'!$D$2:$D50,$D28)
-(sumifs('Form responses'!GB$2:GB50,
'Form responses'!$D$2:$D50,$D28)
+sumifs('Form responses'!FL$2:FL50,
'Form responses'!$D$2:$D50,$D28)+sumifs('Form responses'!BN$2:BN50,'Form responses'!$D$2:$D50, $D28))</f>
        <v>0</v>
      </c>
      <c r="AI28" s="498">
        <f>sumifs('Form responses'!EW$2:EW50,
'Form responses'!$D$2:$D50,$D28)
-(sumifs('Form responses'!GC$2:GC50,
'Form responses'!$D$2:$D50,$D28)
+sumifs('Form responses'!FM$2:FM50,
'Form responses'!$D$2:$D50,$D28)+sumifs('Form responses'!BP$2:BP50,'Form responses'!$D$2:$D50, $D28))</f>
        <v>0</v>
      </c>
      <c r="AJ28" s="485">
        <f>sumifs('Form responses'!EX$2:EX50,
'Form responses'!$D$2:$D50,$D28)
-(sumifs('Form responses'!GD$2:GD50,
'Form responses'!$D$2:$D50,$D28)
+sumifs('Form responses'!FN$2:FN50,
'Form responses'!$D$2:$D50,$D28)+sumifs('Form responses'!BR$2:BR50, 'Form responses'!$D$2:$D50, $D28))</f>
        <v>0</v>
      </c>
      <c r="AK28" s="485">
        <f>sumifs('Form responses'!EY$2:EY50,
'Form responses'!$D$2:$D50,$D28)
-(sumifs('Form responses'!GE$2:GE50,
'Form responses'!$D$2:$D50,$D28)
+sumifs('Form responses'!FO$2:FO50,
'Form responses'!$D$2:$D50,$D28)+sumifs('Form responses'!BT$2:BT50,'Form responses'!$D$2:$D50, $D28))</f>
        <v>0</v>
      </c>
      <c r="AL28" s="485">
        <f>sumifs('Form responses'!EZ$2:EZ50,
'Form responses'!$D$2:$D50,$D28)
-(sumifs('Form responses'!GF$2:GF50,
'Form responses'!$D$2:$D50,$D28)
+sumifs('Form responses'!FP$2:FP50,
'Form responses'!$D$2:$D50,$D28)+sumifs('Form responses'!BV$2:BV50,'Form responses'!$D$2:$D50, $D28))</f>
        <v>0</v>
      </c>
      <c r="AM28" s="485">
        <f>sumifs('Form responses'!FA$2:FA50,
'Form responses'!$D$2:$D50,$D28)
-(sumifs('Form responses'!GG$2:GG50,
'Form responses'!$D$2:$D50,$D28)
+sumifs('Form responses'!FQ$2:FQ50,
'Form responses'!$D$2:$D50,$D28)+sumifs('Form responses'!BX$2:BX50, 'Form responses'!$D$2:$D50, $D28))</f>
        <v>0</v>
      </c>
      <c r="AN28" s="498">
        <f>sumifs('Form responses'!FB$2:FB50,
'Form responses'!$D$2:$D50,$D28)
-(sumifs('Form responses'!GH$2:GH50,
'Form responses'!$D$2:$D50,$D28)
+sumifs('Form responses'!FR$2:FR50,
'Form responses'!$D$2:$D50,$D28)+sumifs('Form responses'!BZ$2:BZ50,'Form responses'!$D$2:$D50, $D28))</f>
        <v>0</v>
      </c>
      <c r="AO28" s="498">
        <f>sumifs('Form responses'!FC$2:FC50,
'Form responses'!$D$2:$D50,$D28)
-(sumifs('Form responses'!GI$2:GI50,
'Form responses'!$D$2:$D50,$D28)
+sumifs('Form responses'!FS$2:FS50,
'Form responses'!$D$2:$D50,$D28)+sumifs('Form responses'!CB$2:CB50,'Form responses'!$D$2:$D50, $D28))</f>
        <v>0</v>
      </c>
      <c r="AP28" s="486">
        <f>sumifs('Form responses'!FD$2:FD50,
'Form responses'!$D$2:$D50,$D28)
-(sumifs('Form responses'!GJ$2:GJ50,
'Form responses'!$D$2:$D50,$D28)
+sumifs('Form responses'!FT$2:FT50,
'Form responses'!$D$2:$D50,$D28)+sumifs('Form responses'!CD$2:CD50,'Form responses'!$D$2:$D50, $D28))</f>
        <v>0</v>
      </c>
      <c r="AQ28" s="486">
        <f>sumifs('Form responses'!FE$2:FE50,
'Form responses'!$D$2:$D50,$D28)
-(sumifs('Form responses'!GK$2:GK50,
'Form responses'!$D$2:$D50,$D28)
+sumifs('Form responses'!FU$2:FU50,
'Form responses'!$D$2:$D50,$D28)+sumifs('Form responses'!CF$2:CF50,'Form responses'!$D$2:$D50, $D28))</f>
        <v>0</v>
      </c>
    </row>
    <row r="29">
      <c r="A29" s="496"/>
      <c r="B29" s="496"/>
      <c r="C29" s="494">
        <f t="shared" si="1"/>
        <v>45747</v>
      </c>
      <c r="D29" s="501" t="s">
        <v>212</v>
      </c>
      <c r="E29" s="496"/>
      <c r="F29" s="496"/>
      <c r="G29" s="497" t="s">
        <v>70</v>
      </c>
      <c r="H29" s="497" t="s">
        <v>76</v>
      </c>
      <c r="I29" s="498">
        <f>sumifs('Form responses'!$AE$2:$AE50, 'Form responses'!$C$2:$C50, "&lt;="&amp;$C29, 'Form responses'!$D$2:$D50,$D29)-(sumifs('Form responses'!$AF$2:$AF50, 'Form responses'!$C$2:$C50, "&lt;="&amp;$C29, 'Form responses'!$D$2:$D50,$D29))</f>
        <v>0</v>
      </c>
      <c r="J29" s="499"/>
      <c r="K29" s="499"/>
      <c r="L29" s="498">
        <f>sumifs('Form responses'!$AH$2:$AH50, 'Form responses'!$C$2:$C50, "&lt;="&amp;$C29, 'Form responses'!$D$2:$D50,$D29)-(sumifs('Form responses'!$AI$2:$AI50, 'Form responses'!$C$2:$C50, "&lt;="&amp;$C29, 'Form responses'!$D$2:$D50,$D29))</f>
        <v>0</v>
      </c>
      <c r="M29" s="499"/>
      <c r="N29" s="499"/>
      <c r="O29" s="498">
        <f>sumifs('Form responses'!$AN$2:$AN50, 'Form responses'!$C$2:$C50, "&lt;="&amp;$C29, 'Form responses'!$D$2:$D50,$D29)-(sumifs('Form responses'!$AO$2:$AO50, 'Form responses'!$C$2:$C50, "&lt;="&amp;$C29, 'Form responses'!$D$2:$D50,$D29))</f>
        <v>430</v>
      </c>
      <c r="P29" s="499"/>
      <c r="Q29" s="499"/>
      <c r="R29" s="498">
        <f>sumifs('Form responses'!AK$2:AK50, 'Form responses'!$C$2:$C50, "&lt;="&amp;$C29, 'Form responses'!$D$2:$D50,$D29)-(sumifs('Form responses'!AL$2:AL50, 'Form responses'!$C$2:$C50, "&lt;="&amp;$C29, 'Form responses'!$D$2:$D50,$D29))</f>
        <v>0</v>
      </c>
      <c r="S29" s="499"/>
      <c r="T29" s="499"/>
      <c r="U29" s="498">
        <f>sumifs('Form responses'!AQ$2:AQ50, 'Form responses'!$C$2:$C50, "&lt;="&amp;$C29, 'Form responses'!$D$2:$D50,$D29)-(sumifs('Form responses'!AR$2:AR50, 'Form responses'!$C$2:$C50, "&lt;="&amp;$C29, 'Form responses'!$D$2:$D50,$D29))</f>
        <v>0</v>
      </c>
      <c r="V29" s="499"/>
      <c r="W29" s="499"/>
      <c r="X29" s="498">
        <f>sumifs('Form responses'!AT$2:AT50, 'Form responses'!$C$2:$C50, "&lt;="&amp;$C29, 'Form responses'!$D$2:$D50,$D29)-(sumifs('Form responses'!AU$2:AU50, 'Form responses'!$C$2:$C50, "&lt;="&amp;$C29, 'Form responses'!$D$2:$D50,$D29))</f>
        <v>0</v>
      </c>
      <c r="Y29" s="499"/>
      <c r="Z29" s="499"/>
      <c r="AA29" s="498">
        <f>sumifs('Form responses'!AW$2:AW50, 'Form responses'!$C$2:$C50, "&lt;="&amp;$C29, 'Form responses'!$D$2:$D50,$D29)-(sumifs('Form responses'!AX$2:AX50, 'Form responses'!$C$2:$C50, "&lt;="&amp;$C29, 'Form responses'!$D$2:$D50,$D29))</f>
        <v>0</v>
      </c>
      <c r="AB29" s="500">
        <f>sumifs('Form responses'!AZ$2:AZ50, 'Form responses'!$C$2:$C50, "&lt;="&amp;$C29, 'Form responses'!$D$2:$D50,$D29)-(sumifs('Form responses'!BA$2:BA50, 'Form responses'!$C$2:$C50, "&lt;="&amp;$C29, 'Form responses'!$D$2:$D50,$D29))</f>
        <v>0</v>
      </c>
      <c r="AC29" s="499"/>
      <c r="AD29" s="498">
        <f>sumifs('Form responses'!ER$2:ER50,
'Form responses'!$D$2:$D50,$D29)
-(sumifs('Form responses'!FX$2:FX50,
'Form responses'!$D$2:$D50,$D29)
+sumifs('Form responses'!FH$2:FH50,
'Form responses'!$D$2:$D50,$D29)+sumifs('Form responses'!BF$2:BF50, 'Form responses'!$D$2:$D50, $D29))</f>
        <v>0</v>
      </c>
      <c r="AE29" s="498">
        <f>sumifs('Form responses'!ES$2:ES50,
'Form responses'!$D$2:$D50,$D29)
-(sumifs('Form responses'!FY$2:FY50,
'Form responses'!$D$2:$D50,$D29)
+sumifs('Form responses'!FI$2:FI50,
'Form responses'!$D$2:$D50,$D29)+sumifs('Form responses'!BH$2:BH50, 'Form responses'!$D$2:$D50, $D29))</f>
        <v>0</v>
      </c>
      <c r="AF29" s="498">
        <f>sumifs('Form responses'!ET$2:ET50,
'Form responses'!$D$2:$D50,$D29)
-(sumifs('Form responses'!FZ$2:FZ50,
'Form responses'!$D$2:$D50,$D29)
+sumifs('Form responses'!FJ$2:FJ50,
'Form responses'!$D$2:$D50,$D29)+sumifs('Form responses'!BJ$2:BJ50,'Form responses'!$D$2:$D50, $D29))</f>
        <v>0</v>
      </c>
      <c r="AG29" s="498">
        <f>sumifs('Form responses'!EU$2:EU50,
'Form responses'!$D$2:$D50,$D29)
-(sumifs('Form responses'!GA$2:GA50,
'Form responses'!$D$2:$D50,$D29)
+sumifs('Form responses'!FK$2:FK50,
'Form responses'!$D$2:$D50,$D29)+sumifs('Form responses'!BL$2:BL50, 'Form responses'!$D$2:$D50, $D29))</f>
        <v>0</v>
      </c>
      <c r="AH29" s="498">
        <f>sumifs('Form responses'!EV$2:EV50,
'Form responses'!$D$2:$D50,$D29)
-(sumifs('Form responses'!GB$2:GB50,
'Form responses'!$D$2:$D50,$D29)
+sumifs('Form responses'!FL$2:FL50,
'Form responses'!$D$2:$D50,$D29)+sumifs('Form responses'!BN$2:BN50,'Form responses'!$D$2:$D50, $D29))</f>
        <v>0</v>
      </c>
      <c r="AI29" s="498">
        <f>sumifs('Form responses'!EW$2:EW50,
'Form responses'!$D$2:$D50,$D29)
-(sumifs('Form responses'!GC$2:GC50,
'Form responses'!$D$2:$D50,$D29)
+sumifs('Form responses'!FM$2:FM50,
'Form responses'!$D$2:$D50,$D29)+sumifs('Form responses'!BP$2:BP50,'Form responses'!$D$2:$D50, $D29))</f>
        <v>0</v>
      </c>
      <c r="AJ29" s="485">
        <f>sumifs('Form responses'!EX$2:EX50,
'Form responses'!$D$2:$D50,$D29)
-(sumifs('Form responses'!GD$2:GD50,
'Form responses'!$D$2:$D50,$D29)
+sumifs('Form responses'!FN$2:FN50,
'Form responses'!$D$2:$D50,$D29)+sumifs('Form responses'!BR$2:BR50, 'Form responses'!$D$2:$D50, $D29))</f>
        <v>0</v>
      </c>
      <c r="AK29" s="485">
        <f>sumifs('Form responses'!EY$2:EY50,
'Form responses'!$D$2:$D50,$D29)
-(sumifs('Form responses'!GE$2:GE50,
'Form responses'!$D$2:$D50,$D29)
+sumifs('Form responses'!FO$2:FO50,
'Form responses'!$D$2:$D50,$D29)+sumifs('Form responses'!BT$2:BT50,'Form responses'!$D$2:$D50, $D29))</f>
        <v>0</v>
      </c>
      <c r="AL29" s="485">
        <f>sumifs('Form responses'!EZ$2:EZ50,
'Form responses'!$D$2:$D50,$D29)
-(sumifs('Form responses'!GF$2:GF50,
'Form responses'!$D$2:$D50,$D29)
+sumifs('Form responses'!FP$2:FP50,
'Form responses'!$D$2:$D50,$D29)+sumifs('Form responses'!BV$2:BV50,'Form responses'!$D$2:$D50, $D29))</f>
        <v>0</v>
      </c>
      <c r="AM29" s="485">
        <f>sumifs('Form responses'!FA$2:FA50,
'Form responses'!$D$2:$D50,$D29)
-(sumifs('Form responses'!GG$2:GG50,
'Form responses'!$D$2:$D50,$D29)
+sumifs('Form responses'!FQ$2:FQ50,
'Form responses'!$D$2:$D50,$D29)+sumifs('Form responses'!BX$2:BX50, 'Form responses'!$D$2:$D50, $D29))</f>
        <v>0</v>
      </c>
      <c r="AN29" s="498">
        <f>sumifs('Form responses'!FB$2:FB50,
'Form responses'!$D$2:$D50,$D29)
-(sumifs('Form responses'!GH$2:GH50,
'Form responses'!$D$2:$D50,$D29)
+sumifs('Form responses'!FR$2:FR50,
'Form responses'!$D$2:$D50,$D29)+sumifs('Form responses'!BZ$2:BZ50,'Form responses'!$D$2:$D50, $D29))</f>
        <v>0</v>
      </c>
      <c r="AO29" s="498">
        <f>sumifs('Form responses'!FC$2:FC50,
'Form responses'!$D$2:$D50,$D29)
-(sumifs('Form responses'!GI$2:GI50,
'Form responses'!$D$2:$D50,$D29)
+sumifs('Form responses'!FS$2:FS50,
'Form responses'!$D$2:$D50,$D29)+sumifs('Form responses'!CB$2:CB50,'Form responses'!$D$2:$D50, $D29))</f>
        <v>0</v>
      </c>
      <c r="AP29" s="486">
        <f>sumifs('Form responses'!FD$2:FD50,
'Form responses'!$D$2:$D50,$D29)
-(sumifs('Form responses'!GJ$2:GJ50,
'Form responses'!$D$2:$D50,$D29)
+sumifs('Form responses'!FT$2:FT50,
'Form responses'!$D$2:$D50,$D29)+sumifs('Form responses'!CD$2:CD50,'Form responses'!$D$2:$D50, $D29))</f>
        <v>0</v>
      </c>
      <c r="AQ29" s="486">
        <f>sumifs('Form responses'!FE$2:FE50,
'Form responses'!$D$2:$D50,$D29)
-(sumifs('Form responses'!GK$2:GK50,
'Form responses'!$D$2:$D50,$D29)
+sumifs('Form responses'!FU$2:FU50,
'Form responses'!$D$2:$D50,$D29)+sumifs('Form responses'!CF$2:CF50,'Form responses'!$D$2:$D50, $D29))</f>
        <v>0</v>
      </c>
    </row>
    <row r="30">
      <c r="A30" s="496"/>
      <c r="B30" s="496"/>
      <c r="C30" s="494">
        <f t="shared" si="1"/>
        <v>45747</v>
      </c>
      <c r="D30" s="501" t="s">
        <v>213</v>
      </c>
      <c r="E30" s="496"/>
      <c r="F30" s="496"/>
      <c r="G30" s="497" t="s">
        <v>70</v>
      </c>
      <c r="H30" s="497" t="s">
        <v>76</v>
      </c>
      <c r="I30" s="498">
        <f>sumifs('Form responses'!$AE$2:$AE50, 'Form responses'!$C$2:$C50, "&lt;="&amp;$C30, 'Form responses'!$D$2:$D50,$D30)-(sumifs('Form responses'!$AF$2:$AF50, 'Form responses'!$C$2:$C50, "&lt;="&amp;$C30, 'Form responses'!$D$2:$D50,$D30))</f>
        <v>0</v>
      </c>
      <c r="J30" s="499"/>
      <c r="K30" s="499"/>
      <c r="L30" s="498">
        <f>sumifs('Form responses'!$AH$2:$AH50, 'Form responses'!$C$2:$C50, "&lt;="&amp;$C30, 'Form responses'!$D$2:$D50,$D30)-(sumifs('Form responses'!$AI$2:$AI50, 'Form responses'!$C$2:$C50, "&lt;="&amp;$C30, 'Form responses'!$D$2:$D50,$D30))</f>
        <v>0</v>
      </c>
      <c r="M30" s="499"/>
      <c r="N30" s="499"/>
      <c r="O30" s="498">
        <f>sumifs('Form responses'!$AN$2:$AN50, 'Form responses'!$C$2:$C50, "&lt;="&amp;$C30, 'Form responses'!$D$2:$D50,$D30)-(sumifs('Form responses'!$AO$2:$AO50, 'Form responses'!$C$2:$C50, "&lt;="&amp;$C30, 'Form responses'!$D$2:$D50,$D30))</f>
        <v>220</v>
      </c>
      <c r="P30" s="499"/>
      <c r="Q30" s="499"/>
      <c r="R30" s="498">
        <f>sumifs('Form responses'!AK$2:AK50, 'Form responses'!$C$2:$C50, "&lt;="&amp;$C30, 'Form responses'!$D$2:$D50,$D30)-(sumifs('Form responses'!AL$2:AL50, 'Form responses'!$C$2:$C50, "&lt;="&amp;$C30, 'Form responses'!$D$2:$D50,$D30))</f>
        <v>0</v>
      </c>
      <c r="S30" s="499"/>
      <c r="T30" s="499"/>
      <c r="U30" s="498">
        <f>sumifs('Form responses'!AQ$2:AQ50, 'Form responses'!$C$2:$C50, "&lt;="&amp;$C30, 'Form responses'!$D$2:$D50,$D30)-(sumifs('Form responses'!AR$2:AR50, 'Form responses'!$C$2:$C50, "&lt;="&amp;$C30, 'Form responses'!$D$2:$D50,$D30))</f>
        <v>0</v>
      </c>
      <c r="V30" s="499"/>
      <c r="W30" s="499"/>
      <c r="X30" s="498">
        <f>sumifs('Form responses'!AT$2:AT50, 'Form responses'!$C$2:$C50, "&lt;="&amp;$C30, 'Form responses'!$D$2:$D50,$D30)-(sumifs('Form responses'!AU$2:AU50, 'Form responses'!$C$2:$C50, "&lt;="&amp;$C30, 'Form responses'!$D$2:$D50,$D30))</f>
        <v>0</v>
      </c>
      <c r="Y30" s="499"/>
      <c r="Z30" s="499"/>
      <c r="AA30" s="498">
        <f>sumifs('Form responses'!AW$2:AW50, 'Form responses'!$C$2:$C50, "&lt;="&amp;$C30, 'Form responses'!$D$2:$D50,$D30)-(sumifs('Form responses'!AX$2:AX50, 'Form responses'!$C$2:$C50, "&lt;="&amp;$C30, 'Form responses'!$D$2:$D50,$D30))</f>
        <v>0</v>
      </c>
      <c r="AB30" s="500">
        <f>sumifs('Form responses'!AZ$2:AZ50, 'Form responses'!$C$2:$C50, "&lt;="&amp;$C30, 'Form responses'!$D$2:$D50,$D30)-(sumifs('Form responses'!BA$2:BA50, 'Form responses'!$C$2:$C50, "&lt;="&amp;$C30, 'Form responses'!$D$2:$D50,$D30))</f>
        <v>0</v>
      </c>
      <c r="AC30" s="499"/>
      <c r="AD30" s="498">
        <f>sumifs('Form responses'!ER$2:ER50,
'Form responses'!$D$2:$D50,$D30)
-(sumifs('Form responses'!FX$2:FX50,
'Form responses'!$D$2:$D50,$D30)
+sumifs('Form responses'!FH$2:FH50,
'Form responses'!$D$2:$D50,$D30)+sumifs('Form responses'!BF$2:BF50, 'Form responses'!$D$2:$D50, $D30))</f>
        <v>0</v>
      </c>
      <c r="AE30" s="498">
        <f>sumifs('Form responses'!ES$2:ES50,
'Form responses'!$D$2:$D50,$D30)
-(sumifs('Form responses'!FY$2:FY50,
'Form responses'!$D$2:$D50,$D30)
+sumifs('Form responses'!FI$2:FI50,
'Form responses'!$D$2:$D50,$D30)+sumifs('Form responses'!BH$2:BH50, 'Form responses'!$D$2:$D50, $D30))</f>
        <v>0</v>
      </c>
      <c r="AF30" s="498">
        <f>sumifs('Form responses'!ET$2:ET50,
'Form responses'!$D$2:$D50,$D30)
-(sumifs('Form responses'!FZ$2:FZ50,
'Form responses'!$D$2:$D50,$D30)
+sumifs('Form responses'!FJ$2:FJ50,
'Form responses'!$D$2:$D50,$D30)+sumifs('Form responses'!BJ$2:BJ50,'Form responses'!$D$2:$D50, $D30))</f>
        <v>0</v>
      </c>
      <c r="AG30" s="498">
        <f>sumifs('Form responses'!EU$2:EU50,
'Form responses'!$D$2:$D50,$D30)
-(sumifs('Form responses'!GA$2:GA50,
'Form responses'!$D$2:$D50,$D30)
+sumifs('Form responses'!FK$2:FK50,
'Form responses'!$D$2:$D50,$D30)+sumifs('Form responses'!BL$2:BL50, 'Form responses'!$D$2:$D50, $D30))</f>
        <v>0</v>
      </c>
      <c r="AH30" s="498">
        <f>sumifs('Form responses'!EV$2:EV50,
'Form responses'!$D$2:$D50,$D30)
-(sumifs('Form responses'!GB$2:GB50,
'Form responses'!$D$2:$D50,$D30)
+sumifs('Form responses'!FL$2:FL50,
'Form responses'!$D$2:$D50,$D30)+sumifs('Form responses'!BN$2:BN50,'Form responses'!$D$2:$D50, $D30))</f>
        <v>0</v>
      </c>
      <c r="AI30" s="498">
        <f>sumifs('Form responses'!EW$2:EW50,
'Form responses'!$D$2:$D50,$D30)
-(sumifs('Form responses'!GC$2:GC50,
'Form responses'!$D$2:$D50,$D30)
+sumifs('Form responses'!FM$2:FM50,
'Form responses'!$D$2:$D50,$D30)+sumifs('Form responses'!BP$2:BP50,'Form responses'!$D$2:$D50, $D30))</f>
        <v>0</v>
      </c>
      <c r="AJ30" s="485">
        <f>sumifs('Form responses'!EX$2:EX50,
'Form responses'!$D$2:$D50,$D30)
-(sumifs('Form responses'!GD$2:GD50,
'Form responses'!$D$2:$D50,$D30)
+sumifs('Form responses'!FN$2:FN50,
'Form responses'!$D$2:$D50,$D30)+sumifs('Form responses'!BR$2:BR50, 'Form responses'!$D$2:$D50, $D30))</f>
        <v>0</v>
      </c>
      <c r="AK30" s="485">
        <f>sumifs('Form responses'!EY$2:EY50,
'Form responses'!$D$2:$D50,$D30)
-(sumifs('Form responses'!GE$2:GE50,
'Form responses'!$D$2:$D50,$D30)
+sumifs('Form responses'!FO$2:FO50,
'Form responses'!$D$2:$D50,$D30)+sumifs('Form responses'!BT$2:BT50,'Form responses'!$D$2:$D50, $D30))</f>
        <v>0</v>
      </c>
      <c r="AL30" s="485">
        <f>sumifs('Form responses'!EZ$2:EZ50,
'Form responses'!$D$2:$D50,$D30)
-(sumifs('Form responses'!GF$2:GF50,
'Form responses'!$D$2:$D50,$D30)
+sumifs('Form responses'!FP$2:FP50,
'Form responses'!$D$2:$D50,$D30)+sumifs('Form responses'!BV$2:BV50,'Form responses'!$D$2:$D50, $D30))</f>
        <v>0</v>
      </c>
      <c r="AM30" s="485">
        <f>sumifs('Form responses'!FA$2:FA50,
'Form responses'!$D$2:$D50,$D30)
-(sumifs('Form responses'!GG$2:GG50,
'Form responses'!$D$2:$D50,$D30)
+sumifs('Form responses'!FQ$2:FQ50,
'Form responses'!$D$2:$D50,$D30)+sumifs('Form responses'!BX$2:BX50, 'Form responses'!$D$2:$D50, $D30))</f>
        <v>0</v>
      </c>
      <c r="AN30" s="498">
        <f>sumifs('Form responses'!FB$2:FB50,
'Form responses'!$D$2:$D50,$D30)
-(sumifs('Form responses'!GH$2:GH50,
'Form responses'!$D$2:$D50,$D30)
+sumifs('Form responses'!FR$2:FR50,
'Form responses'!$D$2:$D50,$D30)+sumifs('Form responses'!BZ$2:BZ50,'Form responses'!$D$2:$D50, $D30))</f>
        <v>15</v>
      </c>
      <c r="AO30" s="498">
        <f>sumifs('Form responses'!FC$2:FC50,
'Form responses'!$D$2:$D50,$D30)
-(sumifs('Form responses'!GI$2:GI50,
'Form responses'!$D$2:$D50,$D30)
+sumifs('Form responses'!FS$2:FS50,
'Form responses'!$D$2:$D50,$D30)+sumifs('Form responses'!CB$2:CB50,'Form responses'!$D$2:$D50, $D30))</f>
        <v>0</v>
      </c>
      <c r="AP30" s="486">
        <f>sumifs('Form responses'!FD$2:FD50,
'Form responses'!$D$2:$D50,$D30)
-(sumifs('Form responses'!GJ$2:GJ50,
'Form responses'!$D$2:$D50,$D30)
+sumifs('Form responses'!FT$2:FT50,
'Form responses'!$D$2:$D50,$D30)+sumifs('Form responses'!CD$2:CD50,'Form responses'!$D$2:$D50, $D30))</f>
        <v>0</v>
      </c>
      <c r="AQ30" s="486">
        <f>sumifs('Form responses'!FE$2:FE50,
'Form responses'!$D$2:$D50,$D30)
-(sumifs('Form responses'!GK$2:GK50,
'Form responses'!$D$2:$D50,$D30)
+sumifs('Form responses'!FU$2:FU50,
'Form responses'!$D$2:$D50,$D30)+sumifs('Form responses'!CF$2:CF50,'Form responses'!$D$2:$D50, $D30))</f>
        <v>0</v>
      </c>
    </row>
    <row r="31">
      <c r="A31" s="496"/>
      <c r="B31" s="496"/>
      <c r="C31" s="494">
        <f t="shared" si="1"/>
        <v>45747</v>
      </c>
      <c r="D31" s="501" t="s">
        <v>30</v>
      </c>
      <c r="E31" s="496"/>
      <c r="F31" s="496"/>
      <c r="G31" s="497" t="s">
        <v>70</v>
      </c>
      <c r="H31" s="497" t="s">
        <v>76</v>
      </c>
      <c r="I31" s="498">
        <f>sumifs('Form responses'!$AE$2:$AE50, 'Form responses'!$C$2:$C50, "&lt;="&amp;$C31, 'Form responses'!$D$2:$D50,$D31)-(sumifs('Form responses'!$AF$2:$AF50, 'Form responses'!$C$2:$C50, "&lt;="&amp;$C31, 'Form responses'!$D$2:$D50,$D31))</f>
        <v>0</v>
      </c>
      <c r="J31" s="499"/>
      <c r="K31" s="499"/>
      <c r="L31" s="498">
        <f>sumifs('Form responses'!$AH$2:$AH50, 'Form responses'!$C$2:$C50, "&lt;="&amp;$C31, 'Form responses'!$D$2:$D50,$D31)-(sumifs('Form responses'!$AI$2:$AI50, 'Form responses'!$C$2:$C50, "&lt;="&amp;$C31, 'Form responses'!$D$2:$D50,$D31))</f>
        <v>0</v>
      </c>
      <c r="M31" s="499"/>
      <c r="N31" s="499"/>
      <c r="O31" s="498">
        <f>sumifs('Form responses'!$AN$2:$AN50, 'Form responses'!$C$2:$C50, "&lt;="&amp;$C31, 'Form responses'!$D$2:$D50,$D31)-(sumifs('Form responses'!$AO$2:$AO50, 'Form responses'!$C$2:$C50, "&lt;="&amp;$C31, 'Form responses'!$D$2:$D50,$D31))</f>
        <v>0</v>
      </c>
      <c r="P31" s="499"/>
      <c r="Q31" s="499"/>
      <c r="R31" s="498">
        <f>sumifs('Form responses'!AK$2:AK50, 'Form responses'!$C$2:$C50, "&lt;="&amp;$C31, 'Form responses'!$D$2:$D50,$D31)-(sumifs('Form responses'!AL$2:AL50, 'Form responses'!$C$2:$C50, "&lt;="&amp;$C31, 'Form responses'!$D$2:$D50,$D31))</f>
        <v>0</v>
      </c>
      <c r="S31" s="499"/>
      <c r="T31" s="499"/>
      <c r="U31" s="498">
        <f>sumifs('Form responses'!AQ$2:AQ50, 'Form responses'!$C$2:$C50, "&lt;="&amp;$C31, 'Form responses'!$D$2:$D50,$D31)-(sumifs('Form responses'!AR$2:AR50, 'Form responses'!$C$2:$C50, "&lt;="&amp;$C31, 'Form responses'!$D$2:$D50,$D31))</f>
        <v>0</v>
      </c>
      <c r="V31" s="499"/>
      <c r="W31" s="499"/>
      <c r="X31" s="498">
        <f>sumifs('Form responses'!AT$2:AT50, 'Form responses'!$C$2:$C50, "&lt;="&amp;$C31, 'Form responses'!$D$2:$D50,$D31)-(sumifs('Form responses'!AU$2:AU50, 'Form responses'!$C$2:$C50, "&lt;="&amp;$C31, 'Form responses'!$D$2:$D50,$D31))</f>
        <v>0</v>
      </c>
      <c r="Y31" s="499"/>
      <c r="Z31" s="499"/>
      <c r="AA31" s="498">
        <f>sumifs('Form responses'!AW$2:AW50, 'Form responses'!$C$2:$C50, "&lt;="&amp;$C31, 'Form responses'!$D$2:$D50,$D31)-(sumifs('Form responses'!AX$2:AX50, 'Form responses'!$C$2:$C50, "&lt;="&amp;$C31, 'Form responses'!$D$2:$D50,$D31))</f>
        <v>0</v>
      </c>
      <c r="AB31" s="500">
        <f>sumifs('Form responses'!AZ$2:AZ50, 'Form responses'!$C$2:$C50, "&lt;="&amp;$C31, 'Form responses'!$D$2:$D50,$D31)-(sumifs('Form responses'!BA$2:BA50, 'Form responses'!$C$2:$C50, "&lt;="&amp;$C31, 'Form responses'!$D$2:$D50,$D31))</f>
        <v>0</v>
      </c>
      <c r="AC31" s="499"/>
      <c r="AD31" s="498">
        <f>sumifs('Form responses'!ER$2:ER50,
'Form responses'!$D$2:$D50,$D31)
-(sumifs('Form responses'!FX$2:FX50,
'Form responses'!$D$2:$D50,$D31)
+sumifs('Form responses'!FH$2:FH50,
'Form responses'!$D$2:$D50,$D31)+sumifs('Form responses'!BF$2:BF50, 'Form responses'!$D$2:$D50, $D31))</f>
        <v>0</v>
      </c>
      <c r="AE31" s="498">
        <f>sumifs('Form responses'!ES$2:ES50,
'Form responses'!$D$2:$D50,$D31)
-(sumifs('Form responses'!FY$2:FY50,
'Form responses'!$D$2:$D50,$D31)
+sumifs('Form responses'!FI$2:FI50,
'Form responses'!$D$2:$D50,$D31)+sumifs('Form responses'!BH$2:BH50, 'Form responses'!$D$2:$D50, $D31))</f>
        <v>0</v>
      </c>
      <c r="AF31" s="498">
        <f>sumifs('Form responses'!ET$2:ET50,
'Form responses'!$D$2:$D50,$D31)
-(sumifs('Form responses'!FZ$2:FZ50,
'Form responses'!$D$2:$D50,$D31)
+sumifs('Form responses'!FJ$2:FJ50,
'Form responses'!$D$2:$D50,$D31)+sumifs('Form responses'!BJ$2:BJ50,'Form responses'!$D$2:$D50, $D31))</f>
        <v>0</v>
      </c>
      <c r="AG31" s="498">
        <f>sumifs('Form responses'!EU$2:EU50,
'Form responses'!$D$2:$D50,$D31)
-(sumifs('Form responses'!GA$2:GA50,
'Form responses'!$D$2:$D50,$D31)
+sumifs('Form responses'!FK$2:FK50,
'Form responses'!$D$2:$D50,$D31)+sumifs('Form responses'!BL$2:BL50, 'Form responses'!$D$2:$D50, $D31))</f>
        <v>0</v>
      </c>
      <c r="AH31" s="498">
        <f>sumifs('Form responses'!EV$2:EV50,
'Form responses'!$D$2:$D50,$D31)
-(sumifs('Form responses'!GB$2:GB50,
'Form responses'!$D$2:$D50,$D31)
+sumifs('Form responses'!FL$2:FL50,
'Form responses'!$D$2:$D50,$D31)+sumifs('Form responses'!BN$2:BN50,'Form responses'!$D$2:$D50, $D31))</f>
        <v>0</v>
      </c>
      <c r="AI31" s="498">
        <f>sumifs('Form responses'!EW$2:EW50,
'Form responses'!$D$2:$D50,$D31)
-(sumifs('Form responses'!GC$2:GC50,
'Form responses'!$D$2:$D50,$D31)
+sumifs('Form responses'!FM$2:FM50,
'Form responses'!$D$2:$D50,$D31)+sumifs('Form responses'!BP$2:BP50,'Form responses'!$D$2:$D50, $D31))</f>
        <v>0</v>
      </c>
      <c r="AJ31" s="485">
        <f>sumifs('Form responses'!EX$2:EX50,
'Form responses'!$D$2:$D50,$D31)
-(sumifs('Form responses'!GD$2:GD50,
'Form responses'!$D$2:$D50,$D31)
+sumifs('Form responses'!FN$2:FN50,
'Form responses'!$D$2:$D50,$D31)+sumifs('Form responses'!BR$2:BR50, 'Form responses'!$D$2:$D50, $D31))</f>
        <v>0</v>
      </c>
      <c r="AK31" s="485">
        <f>sumifs('Form responses'!EY$2:EY50,
'Form responses'!$D$2:$D50,$D31)
-(sumifs('Form responses'!GE$2:GE50,
'Form responses'!$D$2:$D50,$D31)
+sumifs('Form responses'!FO$2:FO50,
'Form responses'!$D$2:$D50,$D31)+sumifs('Form responses'!BT$2:BT50,'Form responses'!$D$2:$D50, $D31))</f>
        <v>0</v>
      </c>
      <c r="AL31" s="485">
        <f>sumifs('Form responses'!EZ$2:EZ50,
'Form responses'!$D$2:$D50,$D31)
-(sumifs('Form responses'!GF$2:GF50,
'Form responses'!$D$2:$D50,$D31)
+sumifs('Form responses'!FP$2:FP50,
'Form responses'!$D$2:$D50,$D31)+sumifs('Form responses'!BV$2:BV50,'Form responses'!$D$2:$D50, $D31))</f>
        <v>0</v>
      </c>
      <c r="AM31" s="485">
        <f>sumifs('Form responses'!FA$2:FA50,
'Form responses'!$D$2:$D50,$D31)
-(sumifs('Form responses'!GG$2:GG50,
'Form responses'!$D$2:$D50,$D31)
+sumifs('Form responses'!FQ$2:FQ50,
'Form responses'!$D$2:$D50,$D31)+sumifs('Form responses'!BX$2:BX50, 'Form responses'!$D$2:$D50, $D31))</f>
        <v>0</v>
      </c>
      <c r="AN31" s="498">
        <f>sumifs('Form responses'!FB$2:FB50,
'Form responses'!$D$2:$D50,$D31)
-(sumifs('Form responses'!GH$2:GH50,
'Form responses'!$D$2:$D50,$D31)
+sumifs('Form responses'!FR$2:FR50,
'Form responses'!$D$2:$D50,$D31)+sumifs('Form responses'!BZ$2:BZ50,'Form responses'!$D$2:$D50, $D31))</f>
        <v>0</v>
      </c>
      <c r="AO31" s="498">
        <f>sumifs('Form responses'!FC$2:FC50,
'Form responses'!$D$2:$D50,$D31)
-(sumifs('Form responses'!GI$2:GI50,
'Form responses'!$D$2:$D50,$D31)
+sumifs('Form responses'!FS$2:FS50,
'Form responses'!$D$2:$D50,$D31)+sumifs('Form responses'!CB$2:CB50,'Form responses'!$D$2:$D50, $D31))</f>
        <v>0</v>
      </c>
      <c r="AP31" s="486">
        <f>sumifs('Form responses'!FD$2:FD50,
'Form responses'!$D$2:$D50,$D31)
-(sumifs('Form responses'!GJ$2:GJ50,
'Form responses'!$D$2:$D50,$D31)
+sumifs('Form responses'!FT$2:FT50,
'Form responses'!$D$2:$D50,$D31)+sumifs('Form responses'!CD$2:CD50,'Form responses'!$D$2:$D50, $D31))</f>
        <v>0</v>
      </c>
      <c r="AQ31" s="486">
        <f>sumifs('Form responses'!FE$2:FE50,
'Form responses'!$D$2:$D50,$D31)
-(sumifs('Form responses'!GK$2:GK50,
'Form responses'!$D$2:$D50,$D31)
+sumifs('Form responses'!FU$2:FU50,
'Form responses'!$D$2:$D50,$D31)+sumifs('Form responses'!CF$2:CF50,'Form responses'!$D$2:$D50, $D31))</f>
        <v>0</v>
      </c>
    </row>
    <row r="32">
      <c r="A32" s="496"/>
      <c r="B32" s="496"/>
      <c r="C32" s="494">
        <f t="shared" si="1"/>
        <v>45747</v>
      </c>
      <c r="D32" s="501" t="s">
        <v>240</v>
      </c>
      <c r="E32" s="496"/>
      <c r="F32" s="496"/>
      <c r="G32" s="497" t="s">
        <v>70</v>
      </c>
      <c r="H32" s="497" t="s">
        <v>76</v>
      </c>
      <c r="I32" s="498">
        <f>sumifs('Form responses'!$AE$2:$AE50, 'Form responses'!$C$2:$C50, "&lt;="&amp;$C32, 'Form responses'!$D$2:$D50,$D32)-(sumifs('Form responses'!$AF$2:$AF50, 'Form responses'!$C$2:$C50, "&lt;="&amp;$C32, 'Form responses'!$D$2:$D50,$D32))</f>
        <v>0</v>
      </c>
      <c r="J32" s="499"/>
      <c r="K32" s="499"/>
      <c r="L32" s="498">
        <f>sumifs('Form responses'!$AH$2:$AH50, 'Form responses'!$C$2:$C50, "&lt;="&amp;$C32, 'Form responses'!$D$2:$D50,$D32)-(sumifs('Form responses'!$AI$2:$AI50, 'Form responses'!$C$2:$C50, "&lt;="&amp;$C32, 'Form responses'!$D$2:$D50,$D32))</f>
        <v>0</v>
      </c>
      <c r="M32" s="499"/>
      <c r="N32" s="499"/>
      <c r="O32" s="498">
        <f>sumifs('Form responses'!$AN$2:$AN50, 'Form responses'!$C$2:$C50, "&lt;="&amp;$C32, 'Form responses'!$D$2:$D50,$D32)-(sumifs('Form responses'!$AO$2:$AO50, 'Form responses'!$C$2:$C50, "&lt;="&amp;$C32, 'Form responses'!$D$2:$D50,$D32))</f>
        <v>0</v>
      </c>
      <c r="P32" s="499"/>
      <c r="Q32" s="499"/>
      <c r="R32" s="498">
        <f>sumifs('Form responses'!AK$2:AK50, 'Form responses'!$C$2:$C50, "&lt;="&amp;$C32, 'Form responses'!$D$2:$D50,$D32)-(sumifs('Form responses'!AL$2:AL50, 'Form responses'!$C$2:$C50, "&lt;="&amp;$C32, 'Form responses'!$D$2:$D50,$D32))</f>
        <v>0</v>
      </c>
      <c r="S32" s="499"/>
      <c r="T32" s="499"/>
      <c r="U32" s="498">
        <f>sumifs('Form responses'!AQ$2:AQ50, 'Form responses'!$C$2:$C50, "&lt;="&amp;$C32, 'Form responses'!$D$2:$D50,$D32)-(sumifs('Form responses'!AR$2:AR50, 'Form responses'!$C$2:$C50, "&lt;="&amp;$C32, 'Form responses'!$D$2:$D50,$D32))</f>
        <v>0</v>
      </c>
      <c r="V32" s="499"/>
      <c r="W32" s="499"/>
      <c r="X32" s="498">
        <f>sumifs('Form responses'!AT$2:AT50, 'Form responses'!$C$2:$C50, "&lt;="&amp;$C32, 'Form responses'!$D$2:$D50,$D32)-(sumifs('Form responses'!AU$2:AU50, 'Form responses'!$C$2:$C50, "&lt;="&amp;$C32, 'Form responses'!$D$2:$D50,$D32))</f>
        <v>0</v>
      </c>
      <c r="Y32" s="499"/>
      <c r="Z32" s="499"/>
      <c r="AA32" s="498">
        <f>sumifs('Form responses'!AW$2:AW50, 'Form responses'!$C$2:$C50, "&lt;="&amp;$C32, 'Form responses'!$D$2:$D50,$D32)-(sumifs('Form responses'!AX$2:AX50, 'Form responses'!$C$2:$C50, "&lt;="&amp;$C32, 'Form responses'!$D$2:$D50,$D32))</f>
        <v>0</v>
      </c>
      <c r="AB32" s="500">
        <f>sumifs('Form responses'!AZ$2:AZ50, 'Form responses'!$C$2:$C50, "&lt;="&amp;$C32, 'Form responses'!$D$2:$D50,$D32)-(sumifs('Form responses'!BA$2:BA50, 'Form responses'!$C$2:$C50, "&lt;="&amp;$C32, 'Form responses'!$D$2:$D50,$D32))</f>
        <v>0</v>
      </c>
      <c r="AC32" s="499"/>
      <c r="AD32" s="498">
        <f>sumifs('Form responses'!ER$2:ER50,
'Form responses'!$D$2:$D50,$D32)
-(sumifs('Form responses'!FX$2:FX50,
'Form responses'!$D$2:$D50,$D32)
+sumifs('Form responses'!FH$2:FH50,
'Form responses'!$D$2:$D50,$D32)+sumifs('Form responses'!BF$2:BF50, 'Form responses'!$D$2:$D50, $D32))</f>
        <v>0</v>
      </c>
      <c r="AE32" s="498">
        <f>sumifs('Form responses'!ES$2:ES50,
'Form responses'!$D$2:$D50,$D32)
-(sumifs('Form responses'!FY$2:FY50,
'Form responses'!$D$2:$D50,$D32)
+sumifs('Form responses'!FI$2:FI50,
'Form responses'!$D$2:$D50,$D32)+sumifs('Form responses'!BH$2:BH50, 'Form responses'!$D$2:$D50, $D32))</f>
        <v>0</v>
      </c>
      <c r="AF32" s="498">
        <f>sumifs('Form responses'!ET$2:ET50,
'Form responses'!$D$2:$D50,$D32)
-(sumifs('Form responses'!FZ$2:FZ50,
'Form responses'!$D$2:$D50,$D32)
+sumifs('Form responses'!FJ$2:FJ50,
'Form responses'!$D$2:$D50,$D32)+sumifs('Form responses'!BJ$2:BJ50,'Form responses'!$D$2:$D50, $D32))</f>
        <v>0</v>
      </c>
      <c r="AG32" s="498">
        <f>sumifs('Form responses'!EU$2:EU50,
'Form responses'!$D$2:$D50,$D32)
-(sumifs('Form responses'!GA$2:GA50,
'Form responses'!$D$2:$D50,$D32)
+sumifs('Form responses'!FK$2:FK50,
'Form responses'!$D$2:$D50,$D32)+sumifs('Form responses'!BL$2:BL50, 'Form responses'!$D$2:$D50, $D32))</f>
        <v>0</v>
      </c>
      <c r="AH32" s="498">
        <f>sumifs('Form responses'!EV$2:EV50,
'Form responses'!$D$2:$D50,$D32)
-(sumifs('Form responses'!GB$2:GB50,
'Form responses'!$D$2:$D50,$D32)
+sumifs('Form responses'!FL$2:FL50,
'Form responses'!$D$2:$D50,$D32)+sumifs('Form responses'!BN$2:BN50,'Form responses'!$D$2:$D50, $D32))</f>
        <v>0</v>
      </c>
      <c r="AI32" s="498">
        <f>sumifs('Form responses'!EW$2:EW50,
'Form responses'!$D$2:$D50,$D32)
-(sumifs('Form responses'!GC$2:GC50,
'Form responses'!$D$2:$D50,$D32)
+sumifs('Form responses'!FM$2:FM50,
'Form responses'!$D$2:$D50,$D32)+sumifs('Form responses'!BP$2:BP50,'Form responses'!$D$2:$D50, $D32))</f>
        <v>0</v>
      </c>
      <c r="AJ32" s="485">
        <f>sumifs('Form responses'!EX$2:EX50,
'Form responses'!$D$2:$D50,$D32)
-(sumifs('Form responses'!GD$2:GD50,
'Form responses'!$D$2:$D50,$D32)
+sumifs('Form responses'!FN$2:FN50,
'Form responses'!$D$2:$D50,$D32)+sumifs('Form responses'!BR$2:BR50, 'Form responses'!$D$2:$D50, $D32))</f>
        <v>0</v>
      </c>
      <c r="AK32" s="485">
        <f>sumifs('Form responses'!EY$2:EY50,
'Form responses'!$D$2:$D50,$D32)
-(sumifs('Form responses'!GE$2:GE50,
'Form responses'!$D$2:$D50,$D32)
+sumifs('Form responses'!FO$2:FO50,
'Form responses'!$D$2:$D50,$D32)+sumifs('Form responses'!BT$2:BT50,'Form responses'!$D$2:$D50, $D32))</f>
        <v>0</v>
      </c>
      <c r="AL32" s="485">
        <f>sumifs('Form responses'!EZ$2:EZ50,
'Form responses'!$D$2:$D50,$D32)
-(sumifs('Form responses'!GF$2:GF50,
'Form responses'!$D$2:$D50,$D32)
+sumifs('Form responses'!FP$2:FP50,
'Form responses'!$D$2:$D50,$D32)+sumifs('Form responses'!BV$2:BV50,'Form responses'!$D$2:$D50, $D32))</f>
        <v>0</v>
      </c>
      <c r="AM32" s="485">
        <f>sumifs('Form responses'!FA$2:FA50,
'Form responses'!$D$2:$D50,$D32)
-(sumifs('Form responses'!GG$2:GG50,
'Form responses'!$D$2:$D50,$D32)
+sumifs('Form responses'!FQ$2:FQ50,
'Form responses'!$D$2:$D50,$D32)+sumifs('Form responses'!BX$2:BX50, 'Form responses'!$D$2:$D50, $D32))</f>
        <v>0</v>
      </c>
      <c r="AN32" s="498">
        <f>sumifs('Form responses'!FB$2:FB50,
'Form responses'!$D$2:$D50,$D32)
-(sumifs('Form responses'!GH$2:GH50,
'Form responses'!$D$2:$D50,$D32)
+sumifs('Form responses'!FR$2:FR50,
'Form responses'!$D$2:$D50,$D32)+sumifs('Form responses'!BZ$2:BZ50,'Form responses'!$D$2:$D50, $D32))</f>
        <v>0</v>
      </c>
      <c r="AO32" s="498">
        <f>sumifs('Form responses'!FC$2:FC50,
'Form responses'!$D$2:$D50,$D32)
-(sumifs('Form responses'!GI$2:GI50,
'Form responses'!$D$2:$D50,$D32)
+sumifs('Form responses'!FS$2:FS50,
'Form responses'!$D$2:$D50,$D32)+sumifs('Form responses'!CB$2:CB50,'Form responses'!$D$2:$D50, $D32))</f>
        <v>0</v>
      </c>
      <c r="AP32" s="486">
        <f>sumifs('Form responses'!FD$2:FD50,
'Form responses'!$D$2:$D50,$D32)
-(sumifs('Form responses'!GJ$2:GJ50,
'Form responses'!$D$2:$D50,$D32)
+sumifs('Form responses'!FT$2:FT50,
'Form responses'!$D$2:$D50,$D32)+sumifs('Form responses'!CD$2:CD50,'Form responses'!$D$2:$D50, $D32))</f>
        <v>0</v>
      </c>
      <c r="AQ32" s="486">
        <f>sumifs('Form responses'!FE$2:FE50,
'Form responses'!$D$2:$D50,$D32)
-(sumifs('Form responses'!GK$2:GK50,
'Form responses'!$D$2:$D50,$D32)
+sumifs('Form responses'!FU$2:FU50,
'Form responses'!$D$2:$D50,$D32)+sumifs('Form responses'!CF$2:CF50,'Form responses'!$D$2:$D50, $D32))</f>
        <v>0</v>
      </c>
    </row>
    <row r="33">
      <c r="A33" s="496"/>
      <c r="B33" s="496"/>
      <c r="C33" s="494">
        <f t="shared" si="1"/>
        <v>45747</v>
      </c>
      <c r="D33" s="501" t="s">
        <v>25</v>
      </c>
      <c r="E33" s="496"/>
      <c r="F33" s="496"/>
      <c r="G33" s="497" t="s">
        <v>70</v>
      </c>
      <c r="H33" s="497" t="s">
        <v>76</v>
      </c>
      <c r="I33" s="498">
        <f>sumifs('Form responses'!$AE$2:$AE50, 'Form responses'!$C$2:$C50, "&lt;="&amp;$C33, 'Form responses'!$D$2:$D50,$D33)-(sumifs('Form responses'!$AF$2:$AF50, 'Form responses'!$C$2:$C50, "&lt;="&amp;$C33, 'Form responses'!$D$2:$D50,$D33))</f>
        <v>0</v>
      </c>
      <c r="J33" s="499"/>
      <c r="K33" s="499"/>
      <c r="L33" s="498">
        <f>sumifs('Form responses'!$AH$2:$AH50, 'Form responses'!$C$2:$C50, "&lt;="&amp;$C33, 'Form responses'!$D$2:$D50,$D33)-(sumifs('Form responses'!$AI$2:$AI50, 'Form responses'!$C$2:$C50, "&lt;="&amp;$C33, 'Form responses'!$D$2:$D50,$D33))</f>
        <v>0</v>
      </c>
      <c r="M33" s="499"/>
      <c r="N33" s="499"/>
      <c r="O33" s="498">
        <f>sumifs('Form responses'!$AN$2:$AN50, 'Form responses'!$C$2:$C50, "&lt;="&amp;$C33, 'Form responses'!$D$2:$D50,$D33)-(sumifs('Form responses'!$AO$2:$AO50, 'Form responses'!$C$2:$C50, "&lt;="&amp;$C33, 'Form responses'!$D$2:$D50,$D33))</f>
        <v>200</v>
      </c>
      <c r="P33" s="499"/>
      <c r="Q33" s="499"/>
      <c r="R33" s="498">
        <f>sumifs('Form responses'!AK$2:AK50, 'Form responses'!$C$2:$C50, "&lt;="&amp;$C33, 'Form responses'!$D$2:$D50,$D33)-(sumifs('Form responses'!AL$2:AL50, 'Form responses'!$C$2:$C50, "&lt;="&amp;$C33, 'Form responses'!$D$2:$D50,$D33))</f>
        <v>0</v>
      </c>
      <c r="S33" s="499"/>
      <c r="T33" s="499"/>
      <c r="U33" s="498">
        <f>sumifs('Form responses'!AQ$2:AQ50, 'Form responses'!$C$2:$C50, "&lt;="&amp;$C33, 'Form responses'!$D$2:$D50,$D33)-(sumifs('Form responses'!AR$2:AR50, 'Form responses'!$C$2:$C50, "&lt;="&amp;$C33, 'Form responses'!$D$2:$D50,$D33))</f>
        <v>0</v>
      </c>
      <c r="V33" s="499"/>
      <c r="W33" s="499"/>
      <c r="X33" s="498">
        <f>sumifs('Form responses'!AT$2:AT50, 'Form responses'!$C$2:$C50, "&lt;="&amp;$C33, 'Form responses'!$D$2:$D50,$D33)-(sumifs('Form responses'!AU$2:AU50, 'Form responses'!$C$2:$C50, "&lt;="&amp;$C33, 'Form responses'!$D$2:$D50,$D33))</f>
        <v>0</v>
      </c>
      <c r="Y33" s="499"/>
      <c r="Z33" s="499"/>
      <c r="AA33" s="498">
        <f>sumifs('Form responses'!AW$2:AW50, 'Form responses'!$C$2:$C50, "&lt;="&amp;$C33, 'Form responses'!$D$2:$D50,$D33)-(sumifs('Form responses'!AX$2:AX50, 'Form responses'!$C$2:$C50, "&lt;="&amp;$C33, 'Form responses'!$D$2:$D50,$D33))</f>
        <v>0</v>
      </c>
      <c r="AB33" s="500">
        <f>sumifs('Form responses'!AZ$2:AZ50, 'Form responses'!$C$2:$C50, "&lt;="&amp;$C33, 'Form responses'!$D$2:$D50,$D33)-(sumifs('Form responses'!BA$2:BA50, 'Form responses'!$C$2:$C50, "&lt;="&amp;$C33, 'Form responses'!$D$2:$D50,$D33))</f>
        <v>0</v>
      </c>
      <c r="AC33" s="499"/>
      <c r="AD33" s="498">
        <f>sumifs('Form responses'!ER$2:ER50,
'Form responses'!$D$2:$D50,$D33)
-(sumifs('Form responses'!FX$2:FX50,
'Form responses'!$D$2:$D50,$D33)
+sumifs('Form responses'!FH$2:FH50,
'Form responses'!$D$2:$D50,$D33)+sumifs('Form responses'!BF$2:BF50, 'Form responses'!$D$2:$D50, $D33))</f>
        <v>-1</v>
      </c>
      <c r="AE33" s="498">
        <f>sumifs('Form responses'!ES$2:ES50,
'Form responses'!$D$2:$D50,$D33)
-(sumifs('Form responses'!FY$2:FY50,
'Form responses'!$D$2:$D50,$D33)
+sumifs('Form responses'!FI$2:FI50,
'Form responses'!$D$2:$D50,$D33)+sumifs('Form responses'!BH$2:BH50, 'Form responses'!$D$2:$D50, $D33))</f>
        <v>0</v>
      </c>
      <c r="AF33" s="498">
        <f>sumifs('Form responses'!ET$2:ET50,
'Form responses'!$D$2:$D50,$D33)
-(sumifs('Form responses'!FZ$2:FZ50,
'Form responses'!$D$2:$D50,$D33)
+sumifs('Form responses'!FJ$2:FJ50,
'Form responses'!$D$2:$D50,$D33)+sumifs('Form responses'!BJ$2:BJ50,'Form responses'!$D$2:$D50, $D33))</f>
        <v>-20</v>
      </c>
      <c r="AG33" s="498">
        <f>sumifs('Form responses'!EU$2:EU50,
'Form responses'!$D$2:$D50,$D33)
-(sumifs('Form responses'!GA$2:GA50,
'Form responses'!$D$2:$D50,$D33)
+sumifs('Form responses'!FK$2:FK50,
'Form responses'!$D$2:$D50,$D33)+sumifs('Form responses'!BL$2:BL50, 'Form responses'!$D$2:$D50, $D33))</f>
        <v>5</v>
      </c>
      <c r="AH33" s="498">
        <f>sumifs('Form responses'!EV$2:EV50,
'Form responses'!$D$2:$D50,$D33)
-(sumifs('Form responses'!GB$2:GB50,
'Form responses'!$D$2:$D50,$D33)
+sumifs('Form responses'!FL$2:FL50,
'Form responses'!$D$2:$D50,$D33)+sumifs('Form responses'!BN$2:BN50,'Form responses'!$D$2:$D50, $D33))</f>
        <v>20</v>
      </c>
      <c r="AI33" s="498">
        <f>sumifs('Form responses'!EW$2:EW50,
'Form responses'!$D$2:$D50,$D33)
-(sumifs('Form responses'!GC$2:GC50,
'Form responses'!$D$2:$D50,$D33)
+sumifs('Form responses'!FM$2:FM50,
'Form responses'!$D$2:$D50,$D33)+sumifs('Form responses'!BP$2:BP50,'Form responses'!$D$2:$D50, $D33))</f>
        <v>0</v>
      </c>
      <c r="AJ33" s="485">
        <f>sumifs('Form responses'!EX$2:EX50,
'Form responses'!$D$2:$D50,$D33)
-(sumifs('Form responses'!GD$2:GD50,
'Form responses'!$D$2:$D50,$D33)
+sumifs('Form responses'!FN$2:FN50,
'Form responses'!$D$2:$D50,$D33)+sumifs('Form responses'!BR$2:BR50, 'Form responses'!$D$2:$D50, $D33))</f>
        <v>0</v>
      </c>
      <c r="AK33" s="485">
        <f>sumifs('Form responses'!EY$2:EY50,
'Form responses'!$D$2:$D50,$D33)
-(sumifs('Form responses'!GE$2:GE50,
'Form responses'!$D$2:$D50,$D33)
+sumifs('Form responses'!FO$2:FO50,
'Form responses'!$D$2:$D50,$D33)+sumifs('Form responses'!BT$2:BT50,'Form responses'!$D$2:$D50, $D33))</f>
        <v>0</v>
      </c>
      <c r="AL33" s="485">
        <f>sumifs('Form responses'!EZ$2:EZ50,
'Form responses'!$D$2:$D50,$D33)
-(sumifs('Form responses'!GF$2:GF50,
'Form responses'!$D$2:$D50,$D33)
+sumifs('Form responses'!FP$2:FP50,
'Form responses'!$D$2:$D50,$D33)+sumifs('Form responses'!BV$2:BV50,'Form responses'!$D$2:$D50, $D33))</f>
        <v>0</v>
      </c>
      <c r="AM33" s="485">
        <f>sumifs('Form responses'!FA$2:FA50,
'Form responses'!$D$2:$D50,$D33)
-(sumifs('Form responses'!GG$2:GG50,
'Form responses'!$D$2:$D50,$D33)
+sumifs('Form responses'!FQ$2:FQ50,
'Form responses'!$D$2:$D50,$D33)+sumifs('Form responses'!BX$2:BX50, 'Form responses'!$D$2:$D50, $D33))</f>
        <v>0</v>
      </c>
      <c r="AN33" s="498">
        <f>sumifs('Form responses'!FB$2:FB50,
'Form responses'!$D$2:$D50,$D33)
-(sumifs('Form responses'!GH$2:GH50,
'Form responses'!$D$2:$D50,$D33)
+sumifs('Form responses'!FR$2:FR50,
'Form responses'!$D$2:$D50,$D33)+sumifs('Form responses'!BZ$2:BZ50,'Form responses'!$D$2:$D50, $D33))</f>
        <v>20</v>
      </c>
      <c r="AO33" s="498">
        <f>sumifs('Form responses'!FC$2:FC50,
'Form responses'!$D$2:$D50,$D33)
-(sumifs('Form responses'!GI$2:GI50,
'Form responses'!$D$2:$D50,$D33)
+sumifs('Form responses'!FS$2:FS50,
'Form responses'!$D$2:$D50,$D33)+sumifs('Form responses'!CB$2:CB50,'Form responses'!$D$2:$D50, $D33))</f>
        <v>0</v>
      </c>
      <c r="AP33" s="486">
        <f>sumifs('Form responses'!FD$2:FD50,
'Form responses'!$D$2:$D50,$D33)
-(sumifs('Form responses'!GJ$2:GJ50,
'Form responses'!$D$2:$D50,$D33)
+sumifs('Form responses'!FT$2:FT50,
'Form responses'!$D$2:$D50,$D33)+sumifs('Form responses'!CD$2:CD50,'Form responses'!$D$2:$D50, $D33))</f>
        <v>0</v>
      </c>
      <c r="AQ33" s="486">
        <f>sumifs('Form responses'!FE$2:FE50,
'Form responses'!$D$2:$D50,$D33)
-(sumifs('Form responses'!GK$2:GK50,
'Form responses'!$D$2:$D50,$D33)
+sumifs('Form responses'!FU$2:FU50,
'Form responses'!$D$2:$D50,$D33)+sumifs('Form responses'!CF$2:CF50,'Form responses'!$D$2:$D50, $D33))</f>
        <v>0</v>
      </c>
    </row>
    <row r="34">
      <c r="A34" s="496"/>
      <c r="B34" s="496"/>
      <c r="C34" s="494">
        <f t="shared" si="1"/>
        <v>45747</v>
      </c>
      <c r="D34" s="501" t="s">
        <v>41</v>
      </c>
      <c r="E34" s="496"/>
      <c r="F34" s="496"/>
      <c r="G34" s="497" t="s">
        <v>70</v>
      </c>
      <c r="H34" s="497" t="s">
        <v>76</v>
      </c>
      <c r="I34" s="498">
        <f>sumifs('Form responses'!$AE$2:$AE50, 'Form responses'!$C$2:$C50, "&lt;="&amp;$C34, 'Form responses'!$D$2:$D50,$D34)-(sumifs('Form responses'!$AF$2:$AF50, 'Form responses'!$C$2:$C50, "&lt;="&amp;$C34, 'Form responses'!$D$2:$D50,$D34))</f>
        <v>0</v>
      </c>
      <c r="J34" s="499"/>
      <c r="K34" s="499"/>
      <c r="L34" s="498">
        <f>sumifs('Form responses'!$AH$2:$AH50, 'Form responses'!$C$2:$C50, "&lt;="&amp;$C34, 'Form responses'!$D$2:$D50,$D34)-(sumifs('Form responses'!$AI$2:$AI50, 'Form responses'!$C$2:$C50, "&lt;="&amp;$C34, 'Form responses'!$D$2:$D50,$D34))</f>
        <v>0</v>
      </c>
      <c r="M34" s="499"/>
      <c r="N34" s="499"/>
      <c r="O34" s="498">
        <f>sumifs('Form responses'!$AN$2:$AN50, 'Form responses'!$C$2:$C50, "&lt;="&amp;$C34, 'Form responses'!$D$2:$D50,$D34)-(sumifs('Form responses'!$AO$2:$AO50, 'Form responses'!$C$2:$C50, "&lt;="&amp;$C34, 'Form responses'!$D$2:$D50,$D34))</f>
        <v>350</v>
      </c>
      <c r="P34" s="499"/>
      <c r="Q34" s="499"/>
      <c r="R34" s="498">
        <f>sumifs('Form responses'!AK$2:AK50, 'Form responses'!$C$2:$C50, "&lt;="&amp;$C34, 'Form responses'!$D$2:$D50,$D34)-(sumifs('Form responses'!AL$2:AL50, 'Form responses'!$C$2:$C50, "&lt;="&amp;$C34, 'Form responses'!$D$2:$D50,$D34))</f>
        <v>0</v>
      </c>
      <c r="S34" s="499"/>
      <c r="T34" s="499"/>
      <c r="U34" s="498">
        <f>sumifs('Form responses'!AQ$2:AQ50, 'Form responses'!$C$2:$C50, "&lt;="&amp;$C34, 'Form responses'!$D$2:$D50,$D34)-(sumifs('Form responses'!AR$2:AR50, 'Form responses'!$C$2:$C50, "&lt;="&amp;$C34, 'Form responses'!$D$2:$D50,$D34))</f>
        <v>0</v>
      </c>
      <c r="V34" s="499"/>
      <c r="W34" s="499"/>
      <c r="X34" s="498">
        <f>sumifs('Form responses'!AT$2:AT50, 'Form responses'!$C$2:$C50, "&lt;="&amp;$C34, 'Form responses'!$D$2:$D50,$D34)-(sumifs('Form responses'!AU$2:AU50, 'Form responses'!$C$2:$C50, "&lt;="&amp;$C34, 'Form responses'!$D$2:$D50,$D34))</f>
        <v>0</v>
      </c>
      <c r="Y34" s="499"/>
      <c r="Z34" s="499"/>
      <c r="AA34" s="498">
        <f>sumifs('Form responses'!AW$2:AW50, 'Form responses'!$C$2:$C50, "&lt;="&amp;$C34, 'Form responses'!$D$2:$D50,$D34)-(sumifs('Form responses'!AX$2:AX50, 'Form responses'!$C$2:$C50, "&lt;="&amp;$C34, 'Form responses'!$D$2:$D50,$D34))</f>
        <v>0</v>
      </c>
      <c r="AB34" s="500">
        <f>sumifs('Form responses'!AZ$2:AZ50, 'Form responses'!$C$2:$C50, "&lt;="&amp;$C34, 'Form responses'!$D$2:$D50,$D34)-(sumifs('Form responses'!BA$2:BA50, 'Form responses'!$C$2:$C50, "&lt;="&amp;$C34, 'Form responses'!$D$2:$D50,$D34))</f>
        <v>0</v>
      </c>
      <c r="AC34" s="499"/>
      <c r="AD34" s="498">
        <f>sumifs('Form responses'!ER$2:ER50,
'Form responses'!$D$2:$D50,$D34)
-(sumifs('Form responses'!FX$2:FX50,
'Form responses'!$D$2:$D50,$D34)
+sumifs('Form responses'!FH$2:FH50,
'Form responses'!$D$2:$D50,$D34)+sumifs('Form responses'!BF$2:BF50, 'Form responses'!$D$2:$D50, $D34))</f>
        <v>-1</v>
      </c>
      <c r="AE34" s="498">
        <f>sumifs('Form responses'!ES$2:ES50,
'Form responses'!$D$2:$D50,$D34)
-(sumifs('Form responses'!FY$2:FY50,
'Form responses'!$D$2:$D50,$D34)
+sumifs('Form responses'!FI$2:FI50,
'Form responses'!$D$2:$D50,$D34)+sumifs('Form responses'!BH$2:BH50, 'Form responses'!$D$2:$D50, $D34))</f>
        <v>0</v>
      </c>
      <c r="AF34" s="498">
        <f>sumifs('Form responses'!ET$2:ET50,
'Form responses'!$D$2:$D50,$D34)
-(sumifs('Form responses'!FZ$2:FZ50,
'Form responses'!$D$2:$D50,$D34)
+sumifs('Form responses'!FJ$2:FJ50,
'Form responses'!$D$2:$D50,$D34)+sumifs('Form responses'!BJ$2:BJ50,'Form responses'!$D$2:$D50, $D34))</f>
        <v>-62</v>
      </c>
      <c r="AG34" s="498">
        <f>sumifs('Form responses'!EU$2:EU50,
'Form responses'!$D$2:$D50,$D34)
-(sumifs('Form responses'!GA$2:GA50,
'Form responses'!$D$2:$D50,$D34)
+sumifs('Form responses'!FK$2:FK50,
'Form responses'!$D$2:$D50,$D34)+sumifs('Form responses'!BL$2:BL50, 'Form responses'!$D$2:$D50, $D34))</f>
        <v>0</v>
      </c>
      <c r="AH34" s="498">
        <f>sumifs('Form responses'!EV$2:EV50,
'Form responses'!$D$2:$D50,$D34)
-(sumifs('Form responses'!GB$2:GB50,
'Form responses'!$D$2:$D50,$D34)
+sumifs('Form responses'!FL$2:FL50,
'Form responses'!$D$2:$D50,$D34)+sumifs('Form responses'!BN$2:BN50,'Form responses'!$D$2:$D50, $D34))</f>
        <v>15</v>
      </c>
      <c r="AI34" s="498">
        <f>sumifs('Form responses'!EW$2:EW50,
'Form responses'!$D$2:$D50,$D34)
-(sumifs('Form responses'!GC$2:GC50,
'Form responses'!$D$2:$D50,$D34)
+sumifs('Form responses'!FM$2:FM50,
'Form responses'!$D$2:$D50,$D34)+sumifs('Form responses'!BP$2:BP50,'Form responses'!$D$2:$D50, $D34))</f>
        <v>0</v>
      </c>
      <c r="AJ34" s="485">
        <f>sumifs('Form responses'!EX$2:EX50,
'Form responses'!$D$2:$D50,$D34)
-(sumifs('Form responses'!GD$2:GD50,
'Form responses'!$D$2:$D50,$D34)
+sumifs('Form responses'!FN$2:FN50,
'Form responses'!$D$2:$D50,$D34)+sumifs('Form responses'!BR$2:BR50, 'Form responses'!$D$2:$D50, $D34))</f>
        <v>0</v>
      </c>
      <c r="AK34" s="485">
        <f>sumifs('Form responses'!EY$2:EY50,
'Form responses'!$D$2:$D50,$D34)
-(sumifs('Form responses'!GE$2:GE50,
'Form responses'!$D$2:$D50,$D34)
+sumifs('Form responses'!FO$2:FO50,
'Form responses'!$D$2:$D50,$D34)+sumifs('Form responses'!BT$2:BT50,'Form responses'!$D$2:$D50, $D34))</f>
        <v>0</v>
      </c>
      <c r="AL34" s="485">
        <f>sumifs('Form responses'!EZ$2:EZ50,
'Form responses'!$D$2:$D50,$D34)
-(sumifs('Form responses'!GF$2:GF50,
'Form responses'!$D$2:$D50,$D34)
+sumifs('Form responses'!FP$2:FP50,
'Form responses'!$D$2:$D50,$D34)+sumifs('Form responses'!BV$2:BV50,'Form responses'!$D$2:$D50, $D34))</f>
        <v>0</v>
      </c>
      <c r="AM34" s="485">
        <f>sumifs('Form responses'!FA$2:FA50,
'Form responses'!$D$2:$D50,$D34)
-(sumifs('Form responses'!GG$2:GG50,
'Form responses'!$D$2:$D50,$D34)
+sumifs('Form responses'!FQ$2:FQ50,
'Form responses'!$D$2:$D50,$D34)+sumifs('Form responses'!BX$2:BX50, 'Form responses'!$D$2:$D50, $D34))</f>
        <v>0</v>
      </c>
      <c r="AN34" s="498">
        <f>sumifs('Form responses'!FB$2:FB50,
'Form responses'!$D$2:$D50,$D34)
-(sumifs('Form responses'!GH$2:GH50,
'Form responses'!$D$2:$D50,$D34)
+sumifs('Form responses'!FR$2:FR50,
'Form responses'!$D$2:$D50,$D34)+sumifs('Form responses'!BZ$2:BZ50,'Form responses'!$D$2:$D50, $D34))</f>
        <v>0</v>
      </c>
      <c r="AO34" s="498">
        <f>sumifs('Form responses'!FC$2:FC50,
'Form responses'!$D$2:$D50,$D34)
-(sumifs('Form responses'!GI$2:GI50,
'Form responses'!$D$2:$D50,$D34)
+sumifs('Form responses'!FS$2:FS50,
'Form responses'!$D$2:$D50,$D34)+sumifs('Form responses'!CB$2:CB50,'Form responses'!$D$2:$D50, $D34))</f>
        <v>0</v>
      </c>
      <c r="AP34" s="486">
        <f>sumifs('Form responses'!FD$2:FD50,
'Form responses'!$D$2:$D50,$D34)
-(sumifs('Form responses'!GJ$2:GJ50,
'Form responses'!$D$2:$D50,$D34)
+sumifs('Form responses'!FT$2:FT50,
'Form responses'!$D$2:$D50,$D34)+sumifs('Form responses'!CD$2:CD50,'Form responses'!$D$2:$D50, $D34))</f>
        <v>0</v>
      </c>
      <c r="AQ34" s="486">
        <f>sumifs('Form responses'!FE$2:FE50,
'Form responses'!$D$2:$D50,$D34)
-(sumifs('Form responses'!GK$2:GK50,
'Form responses'!$D$2:$D50,$D34)
+sumifs('Form responses'!FU$2:FU50,
'Form responses'!$D$2:$D50,$D34)+sumifs('Form responses'!CF$2:CF50,'Form responses'!$D$2:$D50, $D34))</f>
        <v>0</v>
      </c>
    </row>
    <row r="35">
      <c r="A35" s="496"/>
      <c r="B35" s="496"/>
      <c r="C35" s="494">
        <f t="shared" si="1"/>
        <v>45747</v>
      </c>
      <c r="D35" s="501" t="s">
        <v>258</v>
      </c>
      <c r="E35" s="496"/>
      <c r="F35" s="496"/>
      <c r="G35" s="497" t="s">
        <v>70</v>
      </c>
      <c r="H35" s="497" t="s">
        <v>76</v>
      </c>
      <c r="I35" s="498">
        <f>sumifs('Form responses'!$AE$2:$AE50, 'Form responses'!$C$2:$C50, "&lt;="&amp;$C35, 'Form responses'!$D$2:$D50,$D35)-(sumifs('Form responses'!$AF$2:$AF50, 'Form responses'!$C$2:$C50, "&lt;="&amp;$C35, 'Form responses'!$D$2:$D50,$D35))</f>
        <v>0</v>
      </c>
      <c r="J35" s="499"/>
      <c r="K35" s="499"/>
      <c r="L35" s="498">
        <f>sumifs('Form responses'!$AH$2:$AH50, 'Form responses'!$C$2:$C50, "&lt;="&amp;$C35, 'Form responses'!$D$2:$D50,$D35)-(sumifs('Form responses'!$AI$2:$AI50, 'Form responses'!$C$2:$C50, "&lt;="&amp;$C35, 'Form responses'!$D$2:$D50,$D35))</f>
        <v>0</v>
      </c>
      <c r="M35" s="499"/>
      <c r="N35" s="499"/>
      <c r="O35" s="498">
        <f>sumifs('Form responses'!$AN$2:$AN50, 'Form responses'!$C$2:$C50, "&lt;="&amp;$C35, 'Form responses'!$D$2:$D50,$D35)-(sumifs('Form responses'!$AO$2:$AO50, 'Form responses'!$C$2:$C50, "&lt;="&amp;$C35, 'Form responses'!$D$2:$D50,$D35))</f>
        <v>340</v>
      </c>
      <c r="P35" s="499"/>
      <c r="Q35" s="499"/>
      <c r="R35" s="498">
        <f>sumifs('Form responses'!AK$2:AK50, 'Form responses'!$C$2:$C50, "&lt;="&amp;$C35, 'Form responses'!$D$2:$D50,$D35)-(sumifs('Form responses'!AL$2:AL50, 'Form responses'!$C$2:$C50, "&lt;="&amp;$C35, 'Form responses'!$D$2:$D50,$D35))</f>
        <v>0</v>
      </c>
      <c r="S35" s="499"/>
      <c r="T35" s="499"/>
      <c r="U35" s="498">
        <f>sumifs('Form responses'!AQ$2:AQ50, 'Form responses'!$C$2:$C50, "&lt;="&amp;$C35, 'Form responses'!$D$2:$D50,$D35)-(sumifs('Form responses'!AR$2:AR50, 'Form responses'!$C$2:$C50, "&lt;="&amp;$C35, 'Form responses'!$D$2:$D50,$D35))</f>
        <v>0</v>
      </c>
      <c r="V35" s="499"/>
      <c r="W35" s="499"/>
      <c r="X35" s="498">
        <f>sumifs('Form responses'!AT$2:AT50, 'Form responses'!$C$2:$C50, "&lt;="&amp;$C35, 'Form responses'!$D$2:$D50,$D35)-(sumifs('Form responses'!AU$2:AU50, 'Form responses'!$C$2:$C50, "&lt;="&amp;$C35, 'Form responses'!$D$2:$D50,$D35))</f>
        <v>0</v>
      </c>
      <c r="Y35" s="499"/>
      <c r="Z35" s="499"/>
      <c r="AA35" s="498">
        <f>sumifs('Form responses'!AW$2:AW50, 'Form responses'!$C$2:$C50, "&lt;="&amp;$C35, 'Form responses'!$D$2:$D50,$D35)-(sumifs('Form responses'!AX$2:AX50, 'Form responses'!$C$2:$C50, "&lt;="&amp;$C35, 'Form responses'!$D$2:$D50,$D35))</f>
        <v>0</v>
      </c>
      <c r="AB35" s="500">
        <f>sumifs('Form responses'!AZ$2:AZ50, 'Form responses'!$C$2:$C50, "&lt;="&amp;$C35, 'Form responses'!$D$2:$D50,$D35)-(sumifs('Form responses'!BA$2:BA50, 'Form responses'!$C$2:$C50, "&lt;="&amp;$C35, 'Form responses'!$D$2:$D50,$D35))</f>
        <v>0</v>
      </c>
      <c r="AC35" s="499"/>
      <c r="AD35" s="498">
        <f>sumifs('Form responses'!ER$2:ER50,
'Form responses'!$D$2:$D50,$D35)
-(sumifs('Form responses'!FX$2:FX50,
'Form responses'!$D$2:$D50,$D35)
+sumifs('Form responses'!FH$2:FH50,
'Form responses'!$D$2:$D50,$D35)+sumifs('Form responses'!BF$2:BF50, 'Form responses'!$D$2:$D50, $D35))</f>
        <v>0</v>
      </c>
      <c r="AE35" s="498">
        <f>sumifs('Form responses'!ES$2:ES50,
'Form responses'!$D$2:$D50,$D35)
-(sumifs('Form responses'!FY$2:FY50,
'Form responses'!$D$2:$D50,$D35)
+sumifs('Form responses'!FI$2:FI50,
'Form responses'!$D$2:$D50,$D35)+sumifs('Form responses'!BH$2:BH50, 'Form responses'!$D$2:$D50, $D35))</f>
        <v>0</v>
      </c>
      <c r="AF35" s="498">
        <f>sumifs('Form responses'!ET$2:ET50,
'Form responses'!$D$2:$D50,$D35)
-(sumifs('Form responses'!FZ$2:FZ50,
'Form responses'!$D$2:$D50,$D35)
+sumifs('Form responses'!FJ$2:FJ50,
'Form responses'!$D$2:$D50,$D35)+sumifs('Form responses'!BJ$2:BJ50,'Form responses'!$D$2:$D50, $D35))</f>
        <v>0</v>
      </c>
      <c r="AG35" s="498">
        <f>sumifs('Form responses'!EU$2:EU50,
'Form responses'!$D$2:$D50,$D35)
-(sumifs('Form responses'!GA$2:GA50,
'Form responses'!$D$2:$D50,$D35)
+sumifs('Form responses'!FK$2:FK50,
'Form responses'!$D$2:$D50,$D35)+sumifs('Form responses'!BL$2:BL50, 'Form responses'!$D$2:$D50, $D35))</f>
        <v>0</v>
      </c>
      <c r="AH35" s="498">
        <f>sumifs('Form responses'!EV$2:EV50,
'Form responses'!$D$2:$D50,$D35)
-(sumifs('Form responses'!GB$2:GB50,
'Form responses'!$D$2:$D50,$D35)
+sumifs('Form responses'!FL$2:FL50,
'Form responses'!$D$2:$D50,$D35)+sumifs('Form responses'!BN$2:BN50,'Form responses'!$D$2:$D50, $D35))</f>
        <v>0</v>
      </c>
      <c r="AI35" s="498">
        <f>sumifs('Form responses'!EW$2:EW50,
'Form responses'!$D$2:$D50,$D35)
-(sumifs('Form responses'!GC$2:GC50,
'Form responses'!$D$2:$D50,$D35)
+sumifs('Form responses'!FM$2:FM50,
'Form responses'!$D$2:$D50,$D35)+sumifs('Form responses'!BP$2:BP50,'Form responses'!$D$2:$D50, $D35))</f>
        <v>0</v>
      </c>
      <c r="AJ35" s="485">
        <f>sumifs('Form responses'!EX$2:EX50,
'Form responses'!$D$2:$D50,$D35)
-(sumifs('Form responses'!GD$2:GD50,
'Form responses'!$D$2:$D50,$D35)
+sumifs('Form responses'!FN$2:FN50,
'Form responses'!$D$2:$D50,$D35)+sumifs('Form responses'!BR$2:BR50, 'Form responses'!$D$2:$D50, $D35))</f>
        <v>0</v>
      </c>
      <c r="AK35" s="485">
        <f>sumifs('Form responses'!EY$2:EY50,
'Form responses'!$D$2:$D50,$D35)
-(sumifs('Form responses'!GE$2:GE50,
'Form responses'!$D$2:$D50,$D35)
+sumifs('Form responses'!FO$2:FO50,
'Form responses'!$D$2:$D50,$D35)+sumifs('Form responses'!BT$2:BT50,'Form responses'!$D$2:$D50, $D35))</f>
        <v>0</v>
      </c>
      <c r="AL35" s="485">
        <f>sumifs('Form responses'!EZ$2:EZ50,
'Form responses'!$D$2:$D50,$D35)
-(sumifs('Form responses'!GF$2:GF50,
'Form responses'!$D$2:$D50,$D35)
+sumifs('Form responses'!FP$2:FP50,
'Form responses'!$D$2:$D50,$D35)+sumifs('Form responses'!BV$2:BV50,'Form responses'!$D$2:$D50, $D35))</f>
        <v>0</v>
      </c>
      <c r="AM35" s="485">
        <f>sumifs('Form responses'!FA$2:FA50,
'Form responses'!$D$2:$D50,$D35)
-(sumifs('Form responses'!GG$2:GG50,
'Form responses'!$D$2:$D50,$D35)
+sumifs('Form responses'!FQ$2:FQ50,
'Form responses'!$D$2:$D50,$D35)+sumifs('Form responses'!BX$2:BX50, 'Form responses'!$D$2:$D50, $D35))</f>
        <v>0</v>
      </c>
      <c r="AN35" s="498">
        <f>sumifs('Form responses'!FB$2:FB50,
'Form responses'!$D$2:$D50,$D35)
-(sumifs('Form responses'!GH$2:GH50,
'Form responses'!$D$2:$D50,$D35)
+sumifs('Form responses'!FR$2:FR50,
'Form responses'!$D$2:$D50,$D35)+sumifs('Form responses'!BZ$2:BZ50,'Form responses'!$D$2:$D50, $D35))</f>
        <v>0</v>
      </c>
      <c r="AO35" s="498">
        <f>sumifs('Form responses'!FC$2:FC50,
'Form responses'!$D$2:$D50,$D35)
-(sumifs('Form responses'!GI$2:GI50,
'Form responses'!$D$2:$D50,$D35)
+sumifs('Form responses'!FS$2:FS50,
'Form responses'!$D$2:$D50,$D35)+sumifs('Form responses'!CB$2:CB50,'Form responses'!$D$2:$D50, $D35))</f>
        <v>0</v>
      </c>
      <c r="AP35" s="486">
        <f>sumifs('Form responses'!FD$2:FD50,
'Form responses'!$D$2:$D50,$D35)
-(sumifs('Form responses'!GJ$2:GJ50,
'Form responses'!$D$2:$D50,$D35)
+sumifs('Form responses'!FT$2:FT50,
'Form responses'!$D$2:$D50,$D35)+sumifs('Form responses'!CD$2:CD50,'Form responses'!$D$2:$D50, $D35))</f>
        <v>0</v>
      </c>
      <c r="AQ35" s="486">
        <f>sumifs('Form responses'!FE$2:FE50,
'Form responses'!$D$2:$D50,$D35)
-(sumifs('Form responses'!GK$2:GK50,
'Form responses'!$D$2:$D50,$D35)
+sumifs('Form responses'!FU$2:FU50,
'Form responses'!$D$2:$D50,$D35)+sumifs('Form responses'!CF$2:CF50,'Form responses'!$D$2:$D50, $D35))</f>
        <v>0</v>
      </c>
    </row>
    <row r="36">
      <c r="A36" s="496"/>
      <c r="B36" s="496"/>
      <c r="C36" s="494">
        <f t="shared" si="1"/>
        <v>45747</v>
      </c>
      <c r="D36" s="501" t="s">
        <v>261</v>
      </c>
      <c r="E36" s="496"/>
      <c r="F36" s="496"/>
      <c r="G36" s="497" t="s">
        <v>70</v>
      </c>
      <c r="H36" s="497" t="s">
        <v>76</v>
      </c>
      <c r="I36" s="498">
        <f>sumifs('Form responses'!$AE$2:$AE50, 'Form responses'!$C$2:$C50, "&lt;="&amp;$C36, 'Form responses'!$D$2:$D50,$D36)-(sumifs('Form responses'!$AF$2:$AF50, 'Form responses'!$C$2:$C50, "&lt;="&amp;$C36, 'Form responses'!$D$2:$D50,$D36))</f>
        <v>0</v>
      </c>
      <c r="J36" s="499"/>
      <c r="K36" s="499"/>
      <c r="L36" s="498">
        <f>sumifs('Form responses'!$AH$2:$AH50, 'Form responses'!$C$2:$C50, "&lt;="&amp;$C36, 'Form responses'!$D$2:$D50,$D36)-(sumifs('Form responses'!$AI$2:$AI50, 'Form responses'!$C$2:$C50, "&lt;="&amp;$C36, 'Form responses'!$D$2:$D50,$D36))</f>
        <v>0</v>
      </c>
      <c r="M36" s="499"/>
      <c r="N36" s="499"/>
      <c r="O36" s="498">
        <f>sumifs('Form responses'!$AN$2:$AN50, 'Form responses'!$C$2:$C50, "&lt;="&amp;$C36, 'Form responses'!$D$2:$D50,$D36)-(sumifs('Form responses'!$AO$2:$AO50, 'Form responses'!$C$2:$C50, "&lt;="&amp;$C36, 'Form responses'!$D$2:$D50,$D36))</f>
        <v>0</v>
      </c>
      <c r="P36" s="499"/>
      <c r="Q36" s="499"/>
      <c r="R36" s="498">
        <f>sumifs('Form responses'!AK$2:AK50, 'Form responses'!$C$2:$C50, "&lt;="&amp;$C36, 'Form responses'!$D$2:$D50,$D36)-(sumifs('Form responses'!AL$2:AL50, 'Form responses'!$C$2:$C50, "&lt;="&amp;$C36, 'Form responses'!$D$2:$D50,$D36))</f>
        <v>0</v>
      </c>
      <c r="S36" s="499"/>
      <c r="T36" s="499"/>
      <c r="U36" s="498">
        <f>sumifs('Form responses'!AQ$2:AQ50, 'Form responses'!$C$2:$C50, "&lt;="&amp;$C36, 'Form responses'!$D$2:$D50,$D36)-(sumifs('Form responses'!AR$2:AR50, 'Form responses'!$C$2:$C50, "&lt;="&amp;$C36, 'Form responses'!$D$2:$D50,$D36))</f>
        <v>0</v>
      </c>
      <c r="V36" s="499"/>
      <c r="W36" s="499"/>
      <c r="X36" s="498">
        <f>sumifs('Form responses'!AT$2:AT50, 'Form responses'!$C$2:$C50, "&lt;="&amp;$C36, 'Form responses'!$D$2:$D50,$D36)-(sumifs('Form responses'!AU$2:AU50, 'Form responses'!$C$2:$C50, "&lt;="&amp;$C36, 'Form responses'!$D$2:$D50,$D36))</f>
        <v>0</v>
      </c>
      <c r="Y36" s="499"/>
      <c r="Z36" s="499"/>
      <c r="AA36" s="498">
        <f>sumifs('Form responses'!AW$2:AW50, 'Form responses'!$C$2:$C50, "&lt;="&amp;$C36, 'Form responses'!$D$2:$D50,$D36)-(sumifs('Form responses'!AX$2:AX50, 'Form responses'!$C$2:$C50, "&lt;="&amp;$C36, 'Form responses'!$D$2:$D50,$D36))</f>
        <v>0</v>
      </c>
      <c r="AB36" s="500">
        <f>sumifs('Form responses'!AZ$2:AZ50, 'Form responses'!$C$2:$C50, "&lt;="&amp;$C36, 'Form responses'!$D$2:$D50,$D36)-(sumifs('Form responses'!BA$2:BA50, 'Form responses'!$C$2:$C50, "&lt;="&amp;$C36, 'Form responses'!$D$2:$D50,$D36))</f>
        <v>0</v>
      </c>
      <c r="AC36" s="499"/>
      <c r="AD36" s="498">
        <f>sumifs('Form responses'!ER$2:ER50,
'Form responses'!$D$2:$D50,$D36)
-(sumifs('Form responses'!FX$2:FX50,
'Form responses'!$D$2:$D50,$D36)
+sumifs('Form responses'!FH$2:FH50,
'Form responses'!$D$2:$D50,$D36)+sumifs('Form responses'!BF$2:BF50, 'Form responses'!$D$2:$D50, $D36))</f>
        <v>0</v>
      </c>
      <c r="AE36" s="498">
        <f>sumifs('Form responses'!ES$2:ES50,
'Form responses'!$D$2:$D50,$D36)
-(sumifs('Form responses'!FY$2:FY50,
'Form responses'!$D$2:$D50,$D36)
+sumifs('Form responses'!FI$2:FI50,
'Form responses'!$D$2:$D50,$D36)+sumifs('Form responses'!BH$2:BH50, 'Form responses'!$D$2:$D50, $D36))</f>
        <v>0</v>
      </c>
      <c r="AF36" s="498">
        <f>sumifs('Form responses'!ET$2:ET50,
'Form responses'!$D$2:$D50,$D36)
-(sumifs('Form responses'!FZ$2:FZ50,
'Form responses'!$D$2:$D50,$D36)
+sumifs('Form responses'!FJ$2:FJ50,
'Form responses'!$D$2:$D50,$D36)+sumifs('Form responses'!BJ$2:BJ50,'Form responses'!$D$2:$D50, $D36))</f>
        <v>0</v>
      </c>
      <c r="AG36" s="498">
        <f>sumifs('Form responses'!EU$2:EU50,
'Form responses'!$D$2:$D50,$D36)
-(sumifs('Form responses'!GA$2:GA50,
'Form responses'!$D$2:$D50,$D36)
+sumifs('Form responses'!FK$2:FK50,
'Form responses'!$D$2:$D50,$D36)+sumifs('Form responses'!BL$2:BL50, 'Form responses'!$D$2:$D50, $D36))</f>
        <v>0</v>
      </c>
      <c r="AH36" s="498">
        <f>sumifs('Form responses'!EV$2:EV50,
'Form responses'!$D$2:$D50,$D36)
-(sumifs('Form responses'!GB$2:GB50,
'Form responses'!$D$2:$D50,$D36)
+sumifs('Form responses'!FL$2:FL50,
'Form responses'!$D$2:$D50,$D36)+sumifs('Form responses'!BN$2:BN50,'Form responses'!$D$2:$D50, $D36))</f>
        <v>0</v>
      </c>
      <c r="AI36" s="498">
        <f>sumifs('Form responses'!EW$2:EW50,
'Form responses'!$D$2:$D50,$D36)
-(sumifs('Form responses'!GC$2:GC50,
'Form responses'!$D$2:$D50,$D36)
+sumifs('Form responses'!FM$2:FM50,
'Form responses'!$D$2:$D50,$D36)+sumifs('Form responses'!BP$2:BP50,'Form responses'!$D$2:$D50, $D36))</f>
        <v>0</v>
      </c>
      <c r="AJ36" s="485">
        <f>sumifs('Form responses'!EX$2:EX50,
'Form responses'!$D$2:$D50,$D36)
-(sumifs('Form responses'!GD$2:GD50,
'Form responses'!$D$2:$D50,$D36)
+sumifs('Form responses'!FN$2:FN50,
'Form responses'!$D$2:$D50,$D36)+sumifs('Form responses'!BR$2:BR50, 'Form responses'!$D$2:$D50, $D36))</f>
        <v>0</v>
      </c>
      <c r="AK36" s="485">
        <f>sumifs('Form responses'!EY$2:EY50,
'Form responses'!$D$2:$D50,$D36)
-(sumifs('Form responses'!GE$2:GE50,
'Form responses'!$D$2:$D50,$D36)
+sumifs('Form responses'!FO$2:FO50,
'Form responses'!$D$2:$D50,$D36)+sumifs('Form responses'!BT$2:BT50,'Form responses'!$D$2:$D50, $D36))</f>
        <v>0</v>
      </c>
      <c r="AL36" s="485">
        <f>sumifs('Form responses'!EZ$2:EZ50,
'Form responses'!$D$2:$D50,$D36)
-(sumifs('Form responses'!GF$2:GF50,
'Form responses'!$D$2:$D50,$D36)
+sumifs('Form responses'!FP$2:FP50,
'Form responses'!$D$2:$D50,$D36)+sumifs('Form responses'!BV$2:BV50,'Form responses'!$D$2:$D50, $D36))</f>
        <v>0</v>
      </c>
      <c r="AM36" s="485">
        <f>sumifs('Form responses'!FA$2:FA50,
'Form responses'!$D$2:$D50,$D36)
-(sumifs('Form responses'!GG$2:GG50,
'Form responses'!$D$2:$D50,$D36)
+sumifs('Form responses'!FQ$2:FQ50,
'Form responses'!$D$2:$D50,$D36)+sumifs('Form responses'!BX$2:BX50, 'Form responses'!$D$2:$D50, $D36))</f>
        <v>0</v>
      </c>
      <c r="AN36" s="498">
        <f>sumifs('Form responses'!FB$2:FB50,
'Form responses'!$D$2:$D50,$D36)
-(sumifs('Form responses'!GH$2:GH50,
'Form responses'!$D$2:$D50,$D36)
+sumifs('Form responses'!FR$2:FR50,
'Form responses'!$D$2:$D50,$D36)+sumifs('Form responses'!BZ$2:BZ50,'Form responses'!$D$2:$D50, $D36))</f>
        <v>0</v>
      </c>
      <c r="AO36" s="498">
        <f>sumifs('Form responses'!FC$2:FC50,
'Form responses'!$D$2:$D50,$D36)
-(sumifs('Form responses'!GI$2:GI50,
'Form responses'!$D$2:$D50,$D36)
+sumifs('Form responses'!FS$2:FS50,
'Form responses'!$D$2:$D50,$D36)+sumifs('Form responses'!CB$2:CB50,'Form responses'!$D$2:$D50, $D36))</f>
        <v>0</v>
      </c>
      <c r="AP36" s="486">
        <f>sumifs('Form responses'!FD$2:FD50,
'Form responses'!$D$2:$D50,$D36)
-(sumifs('Form responses'!GJ$2:GJ50,
'Form responses'!$D$2:$D50,$D36)
+sumifs('Form responses'!FT$2:FT50,
'Form responses'!$D$2:$D50,$D36)+sumifs('Form responses'!CD$2:CD50,'Form responses'!$D$2:$D50, $D36))</f>
        <v>0</v>
      </c>
      <c r="AQ36" s="486">
        <f>sumifs('Form responses'!FE$2:FE50,
'Form responses'!$D$2:$D50,$D36)
-(sumifs('Form responses'!GK$2:GK50,
'Form responses'!$D$2:$D50,$D36)
+sumifs('Form responses'!FU$2:FU50,
'Form responses'!$D$2:$D50,$D36)+sumifs('Form responses'!CF$2:CF50,'Form responses'!$D$2:$D50, $D36))</f>
        <v>0</v>
      </c>
    </row>
    <row r="37">
      <c r="A37" s="496"/>
      <c r="B37" s="496"/>
      <c r="C37" s="494">
        <f t="shared" si="1"/>
        <v>45747</v>
      </c>
      <c r="D37" s="501" t="s">
        <v>269</v>
      </c>
      <c r="E37" s="496"/>
      <c r="F37" s="496"/>
      <c r="G37" s="497" t="s">
        <v>70</v>
      </c>
      <c r="H37" s="497" t="s">
        <v>76</v>
      </c>
      <c r="I37" s="498">
        <f>sumifs('Form responses'!$AE$2:$AE50, 'Form responses'!$C$2:$C50, "&lt;="&amp;$C37, 'Form responses'!$D$2:$D50,$D37)-(sumifs('Form responses'!$AF$2:$AF50, 'Form responses'!$C$2:$C50, "&lt;="&amp;$C37, 'Form responses'!$D$2:$D50,$D37))</f>
        <v>0</v>
      </c>
      <c r="J37" s="499"/>
      <c r="K37" s="499"/>
      <c r="L37" s="498">
        <f>sumifs('Form responses'!$AH$2:$AH50, 'Form responses'!$C$2:$C50, "&lt;="&amp;$C37, 'Form responses'!$D$2:$D50,$D37)-(sumifs('Form responses'!$AI$2:$AI50, 'Form responses'!$C$2:$C50, "&lt;="&amp;$C37, 'Form responses'!$D$2:$D50,$D37))</f>
        <v>0</v>
      </c>
      <c r="M37" s="499"/>
      <c r="N37" s="499"/>
      <c r="O37" s="498">
        <f>sumifs('Form responses'!$AN$2:$AN50, 'Form responses'!$C$2:$C50, "&lt;="&amp;$C37, 'Form responses'!$D$2:$D50,$D37)-(sumifs('Form responses'!$AO$2:$AO50, 'Form responses'!$C$2:$C50, "&lt;="&amp;$C37, 'Form responses'!$D$2:$D50,$D37))</f>
        <v>430</v>
      </c>
      <c r="P37" s="499"/>
      <c r="Q37" s="499"/>
      <c r="R37" s="498">
        <f>sumifs('Form responses'!AK$2:AK50, 'Form responses'!$C$2:$C50, "&lt;="&amp;$C37, 'Form responses'!$D$2:$D50,$D37)-(sumifs('Form responses'!AL$2:AL50, 'Form responses'!$C$2:$C50, "&lt;="&amp;$C37, 'Form responses'!$D$2:$D50,$D37))</f>
        <v>0</v>
      </c>
      <c r="S37" s="499"/>
      <c r="T37" s="499"/>
      <c r="U37" s="498">
        <f>sumifs('Form responses'!AQ$2:AQ50, 'Form responses'!$C$2:$C50, "&lt;="&amp;$C37, 'Form responses'!$D$2:$D50,$D37)-(sumifs('Form responses'!AR$2:AR50, 'Form responses'!$C$2:$C50, "&lt;="&amp;$C37, 'Form responses'!$D$2:$D50,$D37))</f>
        <v>0</v>
      </c>
      <c r="V37" s="499"/>
      <c r="W37" s="499"/>
      <c r="X37" s="498">
        <f>sumifs('Form responses'!AT$2:AT50, 'Form responses'!$C$2:$C50, "&lt;="&amp;$C37, 'Form responses'!$D$2:$D50,$D37)-(sumifs('Form responses'!AU$2:AU50, 'Form responses'!$C$2:$C50, "&lt;="&amp;$C37, 'Form responses'!$D$2:$D50,$D37))</f>
        <v>0</v>
      </c>
      <c r="Y37" s="499"/>
      <c r="Z37" s="499"/>
      <c r="AA37" s="498">
        <f>sumifs('Form responses'!AW$2:AW50, 'Form responses'!$C$2:$C50, "&lt;="&amp;$C37, 'Form responses'!$D$2:$D50,$D37)-(sumifs('Form responses'!AX$2:AX50, 'Form responses'!$C$2:$C50, "&lt;="&amp;$C37, 'Form responses'!$D$2:$D50,$D37))</f>
        <v>0</v>
      </c>
      <c r="AB37" s="500">
        <f>sumifs('Form responses'!AZ$2:AZ50, 'Form responses'!$C$2:$C50, "&lt;="&amp;$C37, 'Form responses'!$D$2:$D50,$D37)-(sumifs('Form responses'!BA$2:BA50, 'Form responses'!$C$2:$C50, "&lt;="&amp;$C37, 'Form responses'!$D$2:$D50,$D37))</f>
        <v>0</v>
      </c>
      <c r="AC37" s="499"/>
      <c r="AD37" s="498">
        <f>sumifs('Form responses'!ER$2:ER50,
'Form responses'!$D$2:$D50,$D37)
-(sumifs('Form responses'!FX$2:FX50,
'Form responses'!$D$2:$D50,$D37)
+sumifs('Form responses'!FH$2:FH50,
'Form responses'!$D$2:$D50,$D37)+sumifs('Form responses'!BF$2:BF50, 'Form responses'!$D$2:$D50, $D37))</f>
        <v>-1</v>
      </c>
      <c r="AE37" s="498">
        <f>sumifs('Form responses'!ES$2:ES50,
'Form responses'!$D$2:$D50,$D37)
-(sumifs('Form responses'!FY$2:FY50,
'Form responses'!$D$2:$D50,$D37)
+sumifs('Form responses'!FI$2:FI50,
'Form responses'!$D$2:$D50,$D37)+sumifs('Form responses'!BH$2:BH50, 'Form responses'!$D$2:$D50, $D37))</f>
        <v>0</v>
      </c>
      <c r="AF37" s="498">
        <f>sumifs('Form responses'!ET$2:ET50,
'Form responses'!$D$2:$D50,$D37)
-(sumifs('Form responses'!FZ$2:FZ50,
'Form responses'!$D$2:$D50,$D37)
+sumifs('Form responses'!FJ$2:FJ50,
'Form responses'!$D$2:$D50,$D37)+sumifs('Form responses'!BJ$2:BJ50,'Form responses'!$D$2:$D50, $D37))</f>
        <v>-28</v>
      </c>
      <c r="AG37" s="498">
        <f>sumifs('Form responses'!EU$2:EU50,
'Form responses'!$D$2:$D50,$D37)
-(sumifs('Form responses'!GA$2:GA50,
'Form responses'!$D$2:$D50,$D37)
+sumifs('Form responses'!FK$2:FK50,
'Form responses'!$D$2:$D50,$D37)+sumifs('Form responses'!BL$2:BL50, 'Form responses'!$D$2:$D50, $D37))</f>
        <v>15</v>
      </c>
      <c r="AH37" s="498">
        <f>sumifs('Form responses'!EV$2:EV50,
'Form responses'!$D$2:$D50,$D37)
-(sumifs('Form responses'!GB$2:GB50,
'Form responses'!$D$2:$D50,$D37)
+sumifs('Form responses'!FL$2:FL50,
'Form responses'!$D$2:$D50,$D37)+sumifs('Form responses'!BN$2:BN50,'Form responses'!$D$2:$D50, $D37))</f>
        <v>0</v>
      </c>
      <c r="AI37" s="498">
        <f>sumifs('Form responses'!EW$2:EW50,
'Form responses'!$D$2:$D50,$D37)
-(sumifs('Form responses'!GC$2:GC50,
'Form responses'!$D$2:$D50,$D37)
+sumifs('Form responses'!FM$2:FM50,
'Form responses'!$D$2:$D50,$D37)+sumifs('Form responses'!BP$2:BP50,'Form responses'!$D$2:$D50, $D37))</f>
        <v>0</v>
      </c>
      <c r="AJ37" s="485">
        <f>sumifs('Form responses'!EX$2:EX50,
'Form responses'!$D$2:$D50,$D37)
-(sumifs('Form responses'!GD$2:GD50,
'Form responses'!$D$2:$D50,$D37)
+sumifs('Form responses'!FN$2:FN50,
'Form responses'!$D$2:$D50,$D37)+sumifs('Form responses'!BR$2:BR50, 'Form responses'!$D$2:$D50, $D37))</f>
        <v>0</v>
      </c>
      <c r="AK37" s="485">
        <f>sumifs('Form responses'!EY$2:EY50,
'Form responses'!$D$2:$D50,$D37)
-(sumifs('Form responses'!GE$2:GE50,
'Form responses'!$D$2:$D50,$D37)
+sumifs('Form responses'!FO$2:FO50,
'Form responses'!$D$2:$D50,$D37)+sumifs('Form responses'!BT$2:BT50,'Form responses'!$D$2:$D50, $D37))</f>
        <v>0</v>
      </c>
      <c r="AL37" s="485">
        <f>sumifs('Form responses'!EZ$2:EZ50,
'Form responses'!$D$2:$D50,$D37)
-(sumifs('Form responses'!GF$2:GF50,
'Form responses'!$D$2:$D50,$D37)
+sumifs('Form responses'!FP$2:FP50,
'Form responses'!$D$2:$D50,$D37)+sumifs('Form responses'!BV$2:BV50,'Form responses'!$D$2:$D50, $D37))</f>
        <v>0</v>
      </c>
      <c r="AM37" s="485">
        <f>sumifs('Form responses'!FA$2:FA50,
'Form responses'!$D$2:$D50,$D37)
-(sumifs('Form responses'!GG$2:GG50,
'Form responses'!$D$2:$D50,$D37)
+sumifs('Form responses'!FQ$2:FQ50,
'Form responses'!$D$2:$D50,$D37)+sumifs('Form responses'!BX$2:BX50, 'Form responses'!$D$2:$D50, $D37))</f>
        <v>0</v>
      </c>
      <c r="AN37" s="498">
        <f>sumifs('Form responses'!FB$2:FB50,
'Form responses'!$D$2:$D50,$D37)
-(sumifs('Form responses'!GH$2:GH50,
'Form responses'!$D$2:$D50,$D37)
+sumifs('Form responses'!FR$2:FR50,
'Form responses'!$D$2:$D50,$D37)+sumifs('Form responses'!BZ$2:BZ50,'Form responses'!$D$2:$D50, $D37))</f>
        <v>30</v>
      </c>
      <c r="AO37" s="498">
        <f>sumifs('Form responses'!FC$2:FC50,
'Form responses'!$D$2:$D50,$D37)
-(sumifs('Form responses'!GI$2:GI50,
'Form responses'!$D$2:$D50,$D37)
+sumifs('Form responses'!FS$2:FS50,
'Form responses'!$D$2:$D50,$D37)+sumifs('Form responses'!CB$2:CB50,'Form responses'!$D$2:$D50, $D37))</f>
        <v>0</v>
      </c>
      <c r="AP37" s="486">
        <f>sumifs('Form responses'!FD$2:FD50,
'Form responses'!$D$2:$D50,$D37)
-(sumifs('Form responses'!GJ$2:GJ50,
'Form responses'!$D$2:$D50,$D37)
+sumifs('Form responses'!FT$2:FT50,
'Form responses'!$D$2:$D50,$D37)+sumifs('Form responses'!CD$2:CD50,'Form responses'!$D$2:$D50, $D37))</f>
        <v>0</v>
      </c>
      <c r="AQ37" s="486">
        <f>sumifs('Form responses'!FE$2:FE50,
'Form responses'!$D$2:$D50,$D37)
-(sumifs('Form responses'!GK$2:GK50,
'Form responses'!$D$2:$D50,$D37)
+sumifs('Form responses'!FU$2:FU50,
'Form responses'!$D$2:$D50,$D37)+sumifs('Form responses'!CF$2:CF50,'Form responses'!$D$2:$D50, $D37))</f>
        <v>0</v>
      </c>
    </row>
    <row r="38">
      <c r="A38" s="496"/>
      <c r="B38" s="496"/>
      <c r="C38" s="494">
        <f t="shared" si="1"/>
        <v>45747</v>
      </c>
      <c r="D38" s="501" t="s">
        <v>273</v>
      </c>
      <c r="E38" s="496"/>
      <c r="F38" s="496"/>
      <c r="G38" s="497" t="s">
        <v>70</v>
      </c>
      <c r="H38" s="497" t="s">
        <v>76</v>
      </c>
      <c r="I38" s="498">
        <f>sumifs('Form responses'!$AE$2:$AE50, 'Form responses'!$C$2:$C50, "&lt;="&amp;$C38, 'Form responses'!$D$2:$D50,$D38)-(sumifs('Form responses'!$AF$2:$AF50, 'Form responses'!$C$2:$C50, "&lt;="&amp;$C38, 'Form responses'!$D$2:$D50,$D38))</f>
        <v>0</v>
      </c>
      <c r="J38" s="499"/>
      <c r="K38" s="499"/>
      <c r="L38" s="498">
        <f>sumifs('Form responses'!$AH$2:$AH50, 'Form responses'!$C$2:$C50, "&lt;="&amp;$C38, 'Form responses'!$D$2:$D50,$D38)-(sumifs('Form responses'!$AI$2:$AI50, 'Form responses'!$C$2:$C50, "&lt;="&amp;$C38, 'Form responses'!$D$2:$D50,$D38))</f>
        <v>0</v>
      </c>
      <c r="M38" s="499"/>
      <c r="N38" s="499"/>
      <c r="O38" s="498">
        <f>sumifs('Form responses'!$AN$2:$AN50, 'Form responses'!$C$2:$C50, "&lt;="&amp;$C38, 'Form responses'!$D$2:$D50,$D38)-(sumifs('Form responses'!$AO$2:$AO50, 'Form responses'!$C$2:$C50, "&lt;="&amp;$C38, 'Form responses'!$D$2:$D50,$D38))</f>
        <v>0</v>
      </c>
      <c r="P38" s="499"/>
      <c r="Q38" s="499"/>
      <c r="R38" s="498">
        <f>sumifs('Form responses'!AK$2:AK50, 'Form responses'!$C$2:$C50, "&lt;="&amp;$C38, 'Form responses'!$D$2:$D50,$D38)-(sumifs('Form responses'!AL$2:AL50, 'Form responses'!$C$2:$C50, "&lt;="&amp;$C38, 'Form responses'!$D$2:$D50,$D38))</f>
        <v>0</v>
      </c>
      <c r="S38" s="499"/>
      <c r="T38" s="499"/>
      <c r="U38" s="498">
        <f>sumifs('Form responses'!AQ$2:AQ50, 'Form responses'!$C$2:$C50, "&lt;="&amp;$C38, 'Form responses'!$D$2:$D50,$D38)-(sumifs('Form responses'!AR$2:AR50, 'Form responses'!$C$2:$C50, "&lt;="&amp;$C38, 'Form responses'!$D$2:$D50,$D38))</f>
        <v>0</v>
      </c>
      <c r="V38" s="499"/>
      <c r="W38" s="499"/>
      <c r="X38" s="498">
        <f>sumifs('Form responses'!AT$2:AT50, 'Form responses'!$C$2:$C50, "&lt;="&amp;$C38, 'Form responses'!$D$2:$D50,$D38)-(sumifs('Form responses'!AU$2:AU50, 'Form responses'!$C$2:$C50, "&lt;="&amp;$C38, 'Form responses'!$D$2:$D50,$D38))</f>
        <v>0</v>
      </c>
      <c r="Y38" s="499"/>
      <c r="Z38" s="499"/>
      <c r="AA38" s="498">
        <f>sumifs('Form responses'!AW$2:AW50, 'Form responses'!$C$2:$C50, "&lt;="&amp;$C38, 'Form responses'!$D$2:$D50,$D38)-(sumifs('Form responses'!AX$2:AX50, 'Form responses'!$C$2:$C50, "&lt;="&amp;$C38, 'Form responses'!$D$2:$D50,$D38))</f>
        <v>0</v>
      </c>
      <c r="AB38" s="500">
        <f>sumifs('Form responses'!AZ$2:AZ50, 'Form responses'!$C$2:$C50, "&lt;="&amp;$C38, 'Form responses'!$D$2:$D50,$D38)-(sumifs('Form responses'!BA$2:BA50, 'Form responses'!$C$2:$C50, "&lt;="&amp;$C38, 'Form responses'!$D$2:$D50,$D38))</f>
        <v>0</v>
      </c>
      <c r="AC38" s="499"/>
      <c r="AD38" s="498">
        <f>sumifs('Form responses'!ER$2:ER50,
'Form responses'!$D$2:$D50,$D38)
-(sumifs('Form responses'!FX$2:FX50,
'Form responses'!$D$2:$D50,$D38)
+sumifs('Form responses'!FH$2:FH50,
'Form responses'!$D$2:$D50,$D38)+sumifs('Form responses'!BF$2:BF50, 'Form responses'!$D$2:$D50, $D38))</f>
        <v>0</v>
      </c>
      <c r="AE38" s="498">
        <f>sumifs('Form responses'!ES$2:ES50,
'Form responses'!$D$2:$D50,$D38)
-(sumifs('Form responses'!FY$2:FY50,
'Form responses'!$D$2:$D50,$D38)
+sumifs('Form responses'!FI$2:FI50,
'Form responses'!$D$2:$D50,$D38)+sumifs('Form responses'!BH$2:BH50, 'Form responses'!$D$2:$D50, $D38))</f>
        <v>0</v>
      </c>
      <c r="AF38" s="498">
        <f>sumifs('Form responses'!ET$2:ET50,
'Form responses'!$D$2:$D50,$D38)
-(sumifs('Form responses'!FZ$2:FZ50,
'Form responses'!$D$2:$D50,$D38)
+sumifs('Form responses'!FJ$2:FJ50,
'Form responses'!$D$2:$D50,$D38)+sumifs('Form responses'!BJ$2:BJ50,'Form responses'!$D$2:$D50, $D38))</f>
        <v>0</v>
      </c>
      <c r="AG38" s="498">
        <f>sumifs('Form responses'!EU$2:EU50,
'Form responses'!$D$2:$D50,$D38)
-(sumifs('Form responses'!GA$2:GA50,
'Form responses'!$D$2:$D50,$D38)
+sumifs('Form responses'!FK$2:FK50,
'Form responses'!$D$2:$D50,$D38)+sumifs('Form responses'!BL$2:BL50, 'Form responses'!$D$2:$D50, $D38))</f>
        <v>0</v>
      </c>
      <c r="AH38" s="498">
        <f>sumifs('Form responses'!EV$2:EV50,
'Form responses'!$D$2:$D50,$D38)
-(sumifs('Form responses'!GB$2:GB50,
'Form responses'!$D$2:$D50,$D38)
+sumifs('Form responses'!FL$2:FL50,
'Form responses'!$D$2:$D50,$D38)+sumifs('Form responses'!BN$2:BN50,'Form responses'!$D$2:$D50, $D38))</f>
        <v>0</v>
      </c>
      <c r="AI38" s="498">
        <f>sumifs('Form responses'!EW$2:EW50,
'Form responses'!$D$2:$D50,$D38)
-(sumifs('Form responses'!GC$2:GC50,
'Form responses'!$D$2:$D50,$D38)
+sumifs('Form responses'!FM$2:FM50,
'Form responses'!$D$2:$D50,$D38)+sumifs('Form responses'!BP$2:BP50,'Form responses'!$D$2:$D50, $D38))</f>
        <v>0</v>
      </c>
      <c r="AJ38" s="485">
        <f>sumifs('Form responses'!EX$2:EX50,
'Form responses'!$D$2:$D50,$D38)
-(sumifs('Form responses'!GD$2:GD50,
'Form responses'!$D$2:$D50,$D38)
+sumifs('Form responses'!FN$2:FN50,
'Form responses'!$D$2:$D50,$D38)+sumifs('Form responses'!BR$2:BR50, 'Form responses'!$D$2:$D50, $D38))</f>
        <v>0</v>
      </c>
      <c r="AK38" s="485">
        <f>sumifs('Form responses'!EY$2:EY50,
'Form responses'!$D$2:$D50,$D38)
-(sumifs('Form responses'!GE$2:GE50,
'Form responses'!$D$2:$D50,$D38)
+sumifs('Form responses'!FO$2:FO50,
'Form responses'!$D$2:$D50,$D38)+sumifs('Form responses'!BT$2:BT50,'Form responses'!$D$2:$D50, $D38))</f>
        <v>0</v>
      </c>
      <c r="AL38" s="485">
        <f>sumifs('Form responses'!EZ$2:EZ50,
'Form responses'!$D$2:$D50,$D38)
-(sumifs('Form responses'!GF$2:GF50,
'Form responses'!$D$2:$D50,$D38)
+sumifs('Form responses'!FP$2:FP50,
'Form responses'!$D$2:$D50,$D38)+sumifs('Form responses'!BV$2:BV50,'Form responses'!$D$2:$D50, $D38))</f>
        <v>0</v>
      </c>
      <c r="AM38" s="485">
        <f>sumifs('Form responses'!FA$2:FA50,
'Form responses'!$D$2:$D50,$D38)
-(sumifs('Form responses'!GG$2:GG50,
'Form responses'!$D$2:$D50,$D38)
+sumifs('Form responses'!FQ$2:FQ50,
'Form responses'!$D$2:$D50,$D38)+sumifs('Form responses'!BX$2:BX50, 'Form responses'!$D$2:$D50, $D38))</f>
        <v>0</v>
      </c>
      <c r="AN38" s="498">
        <f>sumifs('Form responses'!FB$2:FB50,
'Form responses'!$D$2:$D50,$D38)
-(sumifs('Form responses'!GH$2:GH50,
'Form responses'!$D$2:$D50,$D38)
+sumifs('Form responses'!FR$2:FR50,
'Form responses'!$D$2:$D50,$D38)+sumifs('Form responses'!BZ$2:BZ50,'Form responses'!$D$2:$D50, $D38))</f>
        <v>0</v>
      </c>
      <c r="AO38" s="498">
        <f>sumifs('Form responses'!FC$2:FC50,
'Form responses'!$D$2:$D50,$D38)
-(sumifs('Form responses'!GI$2:GI50,
'Form responses'!$D$2:$D50,$D38)
+sumifs('Form responses'!FS$2:FS50,
'Form responses'!$D$2:$D50,$D38)+sumifs('Form responses'!CB$2:CB50,'Form responses'!$D$2:$D50, $D38))</f>
        <v>0</v>
      </c>
      <c r="AP38" s="486">
        <f>sumifs('Form responses'!FD$2:FD50,
'Form responses'!$D$2:$D50,$D38)
-(sumifs('Form responses'!GJ$2:GJ50,
'Form responses'!$D$2:$D50,$D38)
+sumifs('Form responses'!FT$2:FT50,
'Form responses'!$D$2:$D50,$D38)+sumifs('Form responses'!CD$2:CD50,'Form responses'!$D$2:$D50, $D38))</f>
        <v>0</v>
      </c>
      <c r="AQ38" s="486">
        <f>sumifs('Form responses'!FE$2:FE50,
'Form responses'!$D$2:$D50,$D38)
-(sumifs('Form responses'!GK$2:GK50,
'Form responses'!$D$2:$D50,$D38)
+sumifs('Form responses'!FU$2:FU50,
'Form responses'!$D$2:$D50,$D38)+sumifs('Form responses'!CF$2:CF50,'Form responses'!$D$2:$D50, $D38))</f>
        <v>0</v>
      </c>
    </row>
    <row r="39">
      <c r="A39" s="496"/>
      <c r="B39" s="496"/>
      <c r="C39" s="494">
        <f t="shared" si="1"/>
        <v>45747</v>
      </c>
      <c r="D39" s="501" t="s">
        <v>42</v>
      </c>
      <c r="E39" s="496"/>
      <c r="F39" s="496"/>
      <c r="G39" s="497" t="s">
        <v>70</v>
      </c>
      <c r="H39" s="497" t="s">
        <v>76</v>
      </c>
      <c r="I39" s="498">
        <f>sumifs('Form responses'!$AE$2:$AE50, 'Form responses'!$C$2:$C50, "&lt;="&amp;$C39, 'Form responses'!$D$2:$D50,$D39)-(sumifs('Form responses'!$AF$2:$AF50, 'Form responses'!$C$2:$C50, "&lt;="&amp;$C39, 'Form responses'!$D$2:$D50,$D39))</f>
        <v>0</v>
      </c>
      <c r="J39" s="499"/>
      <c r="K39" s="499"/>
      <c r="L39" s="498">
        <f>sumifs('Form responses'!$AH$2:$AH50, 'Form responses'!$C$2:$C50, "&lt;="&amp;$C39, 'Form responses'!$D$2:$D50,$D39)-(sumifs('Form responses'!$AI$2:$AI50, 'Form responses'!$C$2:$C50, "&lt;="&amp;$C39, 'Form responses'!$D$2:$D50,$D39))</f>
        <v>0</v>
      </c>
      <c r="M39" s="499"/>
      <c r="N39" s="499"/>
      <c r="O39" s="498">
        <f>sumifs('Form responses'!$AN$2:$AN50, 'Form responses'!$C$2:$C50, "&lt;="&amp;$C39, 'Form responses'!$D$2:$D50,$D39)-(sumifs('Form responses'!$AO$2:$AO50, 'Form responses'!$C$2:$C50, "&lt;="&amp;$C39, 'Form responses'!$D$2:$D50,$D39))</f>
        <v>330</v>
      </c>
      <c r="P39" s="499"/>
      <c r="Q39" s="499"/>
      <c r="R39" s="498">
        <f>sumifs('Form responses'!AK$2:AK50, 'Form responses'!$C$2:$C50, "&lt;="&amp;$C39, 'Form responses'!$D$2:$D50,$D39)-(sumifs('Form responses'!AL$2:AL50, 'Form responses'!$C$2:$C50, "&lt;="&amp;$C39, 'Form responses'!$D$2:$D50,$D39))</f>
        <v>0</v>
      </c>
      <c r="S39" s="499"/>
      <c r="T39" s="499"/>
      <c r="U39" s="498">
        <f>sumifs('Form responses'!AQ$2:AQ50, 'Form responses'!$C$2:$C50, "&lt;="&amp;$C39, 'Form responses'!$D$2:$D50,$D39)-(sumifs('Form responses'!AR$2:AR50, 'Form responses'!$C$2:$C50, "&lt;="&amp;$C39, 'Form responses'!$D$2:$D50,$D39))</f>
        <v>0</v>
      </c>
      <c r="V39" s="499"/>
      <c r="W39" s="499"/>
      <c r="X39" s="498">
        <f>sumifs('Form responses'!AT$2:AT50, 'Form responses'!$C$2:$C50, "&lt;="&amp;$C39, 'Form responses'!$D$2:$D50,$D39)-(sumifs('Form responses'!AU$2:AU50, 'Form responses'!$C$2:$C50, "&lt;="&amp;$C39, 'Form responses'!$D$2:$D50,$D39))</f>
        <v>0</v>
      </c>
      <c r="Y39" s="499"/>
      <c r="Z39" s="499"/>
      <c r="AA39" s="498">
        <f>sumifs('Form responses'!AW$2:AW50, 'Form responses'!$C$2:$C50, "&lt;="&amp;$C39, 'Form responses'!$D$2:$D50,$D39)-(sumifs('Form responses'!AX$2:AX50, 'Form responses'!$C$2:$C50, "&lt;="&amp;$C39, 'Form responses'!$D$2:$D50,$D39))</f>
        <v>0</v>
      </c>
      <c r="AB39" s="500">
        <f>sumifs('Form responses'!AZ$2:AZ50, 'Form responses'!$C$2:$C50, "&lt;="&amp;$C39, 'Form responses'!$D$2:$D50,$D39)-(sumifs('Form responses'!BA$2:BA50, 'Form responses'!$C$2:$C50, "&lt;="&amp;$C39, 'Form responses'!$D$2:$D50,$D39))</f>
        <v>0</v>
      </c>
      <c r="AC39" s="499"/>
      <c r="AD39" s="498">
        <f>sumifs('Form responses'!ER$2:ER50,
'Form responses'!$D$2:$D50,$D39)
-(sumifs('Form responses'!FX$2:FX50,
'Form responses'!$D$2:$D50,$D39)
+sumifs('Form responses'!FH$2:FH50,
'Form responses'!$D$2:$D50,$D39)+sumifs('Form responses'!BF$2:BF50, 'Form responses'!$D$2:$D50, $D39))</f>
        <v>0</v>
      </c>
      <c r="AE39" s="498">
        <f>sumifs('Form responses'!ES$2:ES50,
'Form responses'!$D$2:$D50,$D39)
-(sumifs('Form responses'!FY$2:FY50,
'Form responses'!$D$2:$D50,$D39)
+sumifs('Form responses'!FI$2:FI50,
'Form responses'!$D$2:$D50,$D39)+sumifs('Form responses'!BH$2:BH50, 'Form responses'!$D$2:$D50, $D39))</f>
        <v>0</v>
      </c>
      <c r="AF39" s="498">
        <f>sumifs('Form responses'!ET$2:ET50,
'Form responses'!$D$2:$D50,$D39)
-(sumifs('Form responses'!FZ$2:FZ50,
'Form responses'!$D$2:$D50,$D39)
+sumifs('Form responses'!FJ$2:FJ50,
'Form responses'!$D$2:$D50,$D39)+sumifs('Form responses'!BJ$2:BJ50,'Form responses'!$D$2:$D50, $D39))</f>
        <v>0</v>
      </c>
      <c r="AG39" s="498">
        <f>sumifs('Form responses'!EU$2:EU50,
'Form responses'!$D$2:$D50,$D39)
-(sumifs('Form responses'!GA$2:GA50,
'Form responses'!$D$2:$D50,$D39)
+sumifs('Form responses'!FK$2:FK50,
'Form responses'!$D$2:$D50,$D39)+sumifs('Form responses'!BL$2:BL50, 'Form responses'!$D$2:$D50, $D39))</f>
        <v>0</v>
      </c>
      <c r="AH39" s="498">
        <f>sumifs('Form responses'!EV$2:EV50,
'Form responses'!$D$2:$D50,$D39)
-(sumifs('Form responses'!GB$2:GB50,
'Form responses'!$D$2:$D50,$D39)
+sumifs('Form responses'!FL$2:FL50,
'Form responses'!$D$2:$D50,$D39)+sumifs('Form responses'!BN$2:BN50,'Form responses'!$D$2:$D50, $D39))</f>
        <v>0</v>
      </c>
      <c r="AI39" s="498">
        <f>sumifs('Form responses'!EW$2:EW50,
'Form responses'!$D$2:$D50,$D39)
-(sumifs('Form responses'!GC$2:GC50,
'Form responses'!$D$2:$D50,$D39)
+sumifs('Form responses'!FM$2:FM50,
'Form responses'!$D$2:$D50,$D39)+sumifs('Form responses'!BP$2:BP50,'Form responses'!$D$2:$D50, $D39))</f>
        <v>0</v>
      </c>
      <c r="AJ39" s="485">
        <f>sumifs('Form responses'!EX$2:EX50,
'Form responses'!$D$2:$D50,$D39)
-(sumifs('Form responses'!GD$2:GD50,
'Form responses'!$D$2:$D50,$D39)
+sumifs('Form responses'!FN$2:FN50,
'Form responses'!$D$2:$D50,$D39)+sumifs('Form responses'!BR$2:BR50, 'Form responses'!$D$2:$D50, $D39))</f>
        <v>0</v>
      </c>
      <c r="AK39" s="485">
        <f>sumifs('Form responses'!EY$2:EY50,
'Form responses'!$D$2:$D50,$D39)
-(sumifs('Form responses'!GE$2:GE50,
'Form responses'!$D$2:$D50,$D39)
+sumifs('Form responses'!FO$2:FO50,
'Form responses'!$D$2:$D50,$D39)+sumifs('Form responses'!BT$2:BT50,'Form responses'!$D$2:$D50, $D39))</f>
        <v>0</v>
      </c>
      <c r="AL39" s="485">
        <f>sumifs('Form responses'!EZ$2:EZ50,
'Form responses'!$D$2:$D50,$D39)
-(sumifs('Form responses'!GF$2:GF50,
'Form responses'!$D$2:$D50,$D39)
+sumifs('Form responses'!FP$2:FP50,
'Form responses'!$D$2:$D50,$D39)+sumifs('Form responses'!BV$2:BV50,'Form responses'!$D$2:$D50, $D39))</f>
        <v>0</v>
      </c>
      <c r="AM39" s="485">
        <f>sumifs('Form responses'!FA$2:FA50,
'Form responses'!$D$2:$D50,$D39)
-(sumifs('Form responses'!GG$2:GG50,
'Form responses'!$D$2:$D50,$D39)
+sumifs('Form responses'!FQ$2:FQ50,
'Form responses'!$D$2:$D50,$D39)+sumifs('Form responses'!BX$2:BX50, 'Form responses'!$D$2:$D50, $D39))</f>
        <v>0</v>
      </c>
      <c r="AN39" s="498">
        <f>sumifs('Form responses'!FB$2:FB50,
'Form responses'!$D$2:$D50,$D39)
-(sumifs('Form responses'!GH$2:GH50,
'Form responses'!$D$2:$D50,$D39)
+sumifs('Form responses'!FR$2:FR50,
'Form responses'!$D$2:$D50,$D39)+sumifs('Form responses'!BZ$2:BZ50,'Form responses'!$D$2:$D50, $D39))</f>
        <v>0</v>
      </c>
      <c r="AO39" s="498">
        <f>sumifs('Form responses'!FC$2:FC50,
'Form responses'!$D$2:$D50,$D39)
-(sumifs('Form responses'!GI$2:GI50,
'Form responses'!$D$2:$D50,$D39)
+sumifs('Form responses'!FS$2:FS50,
'Form responses'!$D$2:$D50,$D39)+sumifs('Form responses'!CB$2:CB50,'Form responses'!$D$2:$D50, $D39))</f>
        <v>0</v>
      </c>
      <c r="AP39" s="486">
        <f>sumifs('Form responses'!FD$2:FD50,
'Form responses'!$D$2:$D50,$D39)
-(sumifs('Form responses'!GJ$2:GJ50,
'Form responses'!$D$2:$D50,$D39)
+sumifs('Form responses'!FT$2:FT50,
'Form responses'!$D$2:$D50,$D39)+sumifs('Form responses'!CD$2:CD50,'Form responses'!$D$2:$D50, $D39))</f>
        <v>0</v>
      </c>
      <c r="AQ39" s="486">
        <f>sumifs('Form responses'!FE$2:FE50,
'Form responses'!$D$2:$D50,$D39)
-(sumifs('Form responses'!GK$2:GK50,
'Form responses'!$D$2:$D50,$D39)
+sumifs('Form responses'!FU$2:FU50,
'Form responses'!$D$2:$D50,$D39)+sumifs('Form responses'!CF$2:CF50,'Form responses'!$D$2:$D50, $D39))</f>
        <v>0</v>
      </c>
    </row>
    <row r="40">
      <c r="A40" s="496"/>
      <c r="B40" s="496"/>
      <c r="C40" s="494">
        <f t="shared" si="1"/>
        <v>45747</v>
      </c>
      <c r="D40" s="501" t="s">
        <v>35</v>
      </c>
      <c r="E40" s="496"/>
      <c r="F40" s="496"/>
      <c r="G40" s="497" t="s">
        <v>70</v>
      </c>
      <c r="H40" s="497" t="s">
        <v>76</v>
      </c>
      <c r="I40" s="498">
        <f>sumifs('Form responses'!$AE$2:$AE50, 'Form responses'!$C$2:$C50, "&lt;="&amp;$C40, 'Form responses'!$D$2:$D50,$D40)-(sumifs('Form responses'!$AF$2:$AF50, 'Form responses'!$C$2:$C50, "&lt;="&amp;$C40, 'Form responses'!$D$2:$D50,$D40))</f>
        <v>0</v>
      </c>
      <c r="J40" s="499"/>
      <c r="K40" s="499"/>
      <c r="L40" s="498">
        <f>sumifs('Form responses'!$AH$2:$AH50, 'Form responses'!$C$2:$C50, "&lt;="&amp;$C40, 'Form responses'!$D$2:$D50,$D40)-(sumifs('Form responses'!$AI$2:$AI50, 'Form responses'!$C$2:$C50, "&lt;="&amp;$C40, 'Form responses'!$D$2:$D50,$D40))</f>
        <v>0</v>
      </c>
      <c r="M40" s="499"/>
      <c r="N40" s="499"/>
      <c r="O40" s="498">
        <f>sumifs('Form responses'!$AN$2:$AN50, 'Form responses'!$C$2:$C50, "&lt;="&amp;$C40, 'Form responses'!$D$2:$D50,$D40)-(sumifs('Form responses'!$AO$2:$AO50, 'Form responses'!$C$2:$C50, "&lt;="&amp;$C40, 'Form responses'!$D$2:$D50,$D40))</f>
        <v>500</v>
      </c>
      <c r="P40" s="499"/>
      <c r="Q40" s="499"/>
      <c r="R40" s="498">
        <f>sumifs('Form responses'!AK$2:AK50, 'Form responses'!$C$2:$C50, "&lt;="&amp;$C40, 'Form responses'!$D$2:$D50,$D40)-(sumifs('Form responses'!AL$2:AL50, 'Form responses'!$C$2:$C50, "&lt;="&amp;$C40, 'Form responses'!$D$2:$D50,$D40))</f>
        <v>0</v>
      </c>
      <c r="S40" s="499"/>
      <c r="T40" s="499"/>
      <c r="U40" s="498">
        <f>sumifs('Form responses'!AQ$2:AQ50, 'Form responses'!$C$2:$C50, "&lt;="&amp;$C40, 'Form responses'!$D$2:$D50,$D40)-(sumifs('Form responses'!AR$2:AR50, 'Form responses'!$C$2:$C50, "&lt;="&amp;$C40, 'Form responses'!$D$2:$D50,$D40))</f>
        <v>0</v>
      </c>
      <c r="V40" s="499"/>
      <c r="W40" s="499"/>
      <c r="X40" s="498">
        <f>sumifs('Form responses'!AT$2:AT50, 'Form responses'!$C$2:$C50, "&lt;="&amp;$C40, 'Form responses'!$D$2:$D50,$D40)-(sumifs('Form responses'!AU$2:AU50, 'Form responses'!$C$2:$C50, "&lt;="&amp;$C40, 'Form responses'!$D$2:$D50,$D40))</f>
        <v>0</v>
      </c>
      <c r="Y40" s="499"/>
      <c r="Z40" s="499"/>
      <c r="AA40" s="498">
        <f>sumifs('Form responses'!AW$2:AW50, 'Form responses'!$C$2:$C50, "&lt;="&amp;$C40, 'Form responses'!$D$2:$D50,$D40)-(sumifs('Form responses'!AX$2:AX50, 'Form responses'!$C$2:$C50, "&lt;="&amp;$C40, 'Form responses'!$D$2:$D50,$D40))</f>
        <v>0</v>
      </c>
      <c r="AB40" s="500">
        <f>sumifs('Form responses'!AZ$2:AZ50, 'Form responses'!$C$2:$C50, "&lt;="&amp;$C40, 'Form responses'!$D$2:$D50,$D40)-(sumifs('Form responses'!BA$2:BA50, 'Form responses'!$C$2:$C50, "&lt;="&amp;$C40, 'Form responses'!$D$2:$D50,$D40))</f>
        <v>0</v>
      </c>
      <c r="AC40" s="499"/>
      <c r="AD40" s="498">
        <f>sumifs('Form responses'!ER$2:ER50,
'Form responses'!$D$2:$D50,$D40)
-(sumifs('Form responses'!FX$2:FX50,
'Form responses'!$D$2:$D50,$D40)
+sumifs('Form responses'!FH$2:FH50,
'Form responses'!$D$2:$D50,$D40)+sumifs('Form responses'!BF$2:BF50, 'Form responses'!$D$2:$D50, $D40))</f>
        <v>0</v>
      </c>
      <c r="AE40" s="498">
        <f>sumifs('Form responses'!ES$2:ES50,
'Form responses'!$D$2:$D50,$D40)
-(sumifs('Form responses'!FY$2:FY50,
'Form responses'!$D$2:$D50,$D40)
+sumifs('Form responses'!FI$2:FI50,
'Form responses'!$D$2:$D50,$D40)+sumifs('Form responses'!BH$2:BH50, 'Form responses'!$D$2:$D50, $D40))</f>
        <v>0</v>
      </c>
      <c r="AF40" s="498">
        <f>sumifs('Form responses'!ET$2:ET50,
'Form responses'!$D$2:$D50,$D40)
-(sumifs('Form responses'!FZ$2:FZ50,
'Form responses'!$D$2:$D50,$D40)
+sumifs('Form responses'!FJ$2:FJ50,
'Form responses'!$D$2:$D50,$D40)+sumifs('Form responses'!BJ$2:BJ50,'Form responses'!$D$2:$D50, $D40))</f>
        <v>0</v>
      </c>
      <c r="AG40" s="498">
        <f>sumifs('Form responses'!EU$2:EU50,
'Form responses'!$D$2:$D50,$D40)
-(sumifs('Form responses'!GA$2:GA50,
'Form responses'!$D$2:$D50,$D40)
+sumifs('Form responses'!FK$2:FK50,
'Form responses'!$D$2:$D50,$D40)+sumifs('Form responses'!BL$2:BL50, 'Form responses'!$D$2:$D50, $D40))</f>
        <v>0</v>
      </c>
      <c r="AH40" s="498">
        <f>sumifs('Form responses'!EV$2:EV50,
'Form responses'!$D$2:$D50,$D40)
-(sumifs('Form responses'!GB$2:GB50,
'Form responses'!$D$2:$D50,$D40)
+sumifs('Form responses'!FL$2:FL50,
'Form responses'!$D$2:$D50,$D40)+sumifs('Form responses'!BN$2:BN50,'Form responses'!$D$2:$D50, $D40))</f>
        <v>0</v>
      </c>
      <c r="AI40" s="498">
        <f>sumifs('Form responses'!EW$2:EW50,
'Form responses'!$D$2:$D50,$D40)
-(sumifs('Form responses'!GC$2:GC50,
'Form responses'!$D$2:$D50,$D40)
+sumifs('Form responses'!FM$2:FM50,
'Form responses'!$D$2:$D50,$D40)+sumifs('Form responses'!BP$2:BP50,'Form responses'!$D$2:$D50, $D40))</f>
        <v>0</v>
      </c>
      <c r="AJ40" s="485">
        <f>sumifs('Form responses'!EX$2:EX50,
'Form responses'!$D$2:$D50,$D40)
-(sumifs('Form responses'!GD$2:GD50,
'Form responses'!$D$2:$D50,$D40)
+sumifs('Form responses'!FN$2:FN50,
'Form responses'!$D$2:$D50,$D40)+sumifs('Form responses'!BR$2:BR50, 'Form responses'!$D$2:$D50, $D40))</f>
        <v>0</v>
      </c>
      <c r="AK40" s="485">
        <f>sumifs('Form responses'!EY$2:EY50,
'Form responses'!$D$2:$D50,$D40)
-(sumifs('Form responses'!GE$2:GE50,
'Form responses'!$D$2:$D50,$D40)
+sumifs('Form responses'!FO$2:FO50,
'Form responses'!$D$2:$D50,$D40)+sumifs('Form responses'!BT$2:BT50,'Form responses'!$D$2:$D50, $D40))</f>
        <v>0</v>
      </c>
      <c r="AL40" s="485">
        <f>sumifs('Form responses'!EZ$2:EZ50,
'Form responses'!$D$2:$D50,$D40)
-(sumifs('Form responses'!GF$2:GF50,
'Form responses'!$D$2:$D50,$D40)
+sumifs('Form responses'!FP$2:FP50,
'Form responses'!$D$2:$D50,$D40)+sumifs('Form responses'!BV$2:BV50,'Form responses'!$D$2:$D50, $D40))</f>
        <v>0</v>
      </c>
      <c r="AM40" s="485">
        <f>sumifs('Form responses'!FA$2:FA50,
'Form responses'!$D$2:$D50,$D40)
-(sumifs('Form responses'!GG$2:GG50,
'Form responses'!$D$2:$D50,$D40)
+sumifs('Form responses'!FQ$2:FQ50,
'Form responses'!$D$2:$D50,$D40)+sumifs('Form responses'!BX$2:BX50, 'Form responses'!$D$2:$D50, $D40))</f>
        <v>0</v>
      </c>
      <c r="AN40" s="498">
        <f>sumifs('Form responses'!FB$2:FB50,
'Form responses'!$D$2:$D50,$D40)
-(sumifs('Form responses'!GH$2:GH50,
'Form responses'!$D$2:$D50,$D40)
+sumifs('Form responses'!FR$2:FR50,
'Form responses'!$D$2:$D50,$D40)+sumifs('Form responses'!BZ$2:BZ50,'Form responses'!$D$2:$D50, $D40))</f>
        <v>0</v>
      </c>
      <c r="AO40" s="498">
        <f>sumifs('Form responses'!FC$2:FC50,
'Form responses'!$D$2:$D50,$D40)
-(sumifs('Form responses'!GI$2:GI50,
'Form responses'!$D$2:$D50,$D40)
+sumifs('Form responses'!FS$2:FS50,
'Form responses'!$D$2:$D50,$D40)+sumifs('Form responses'!CB$2:CB50,'Form responses'!$D$2:$D50, $D40))</f>
        <v>0</v>
      </c>
      <c r="AP40" s="486">
        <f>sumifs('Form responses'!FD$2:FD50,
'Form responses'!$D$2:$D50,$D40)
-(sumifs('Form responses'!GJ$2:GJ50,
'Form responses'!$D$2:$D50,$D40)
+sumifs('Form responses'!FT$2:FT50,
'Form responses'!$D$2:$D50,$D40)+sumifs('Form responses'!CD$2:CD50,'Form responses'!$D$2:$D50, $D40))</f>
        <v>0</v>
      </c>
      <c r="AQ40" s="486">
        <f>sumifs('Form responses'!FE$2:FE50,
'Form responses'!$D$2:$D50,$D40)
-(sumifs('Form responses'!GK$2:GK50,
'Form responses'!$D$2:$D50,$D40)
+sumifs('Form responses'!FU$2:FU50,
'Form responses'!$D$2:$D50,$D40)+sumifs('Form responses'!CF$2:CF50,'Form responses'!$D$2:$D50, $D40))</f>
        <v>0</v>
      </c>
    </row>
    <row r="41">
      <c r="A41" s="496"/>
      <c r="B41" s="496"/>
      <c r="C41" s="494">
        <f t="shared" si="1"/>
        <v>45747</v>
      </c>
      <c r="D41" s="501" t="s">
        <v>288</v>
      </c>
      <c r="E41" s="496"/>
      <c r="F41" s="496"/>
      <c r="G41" s="497" t="s">
        <v>70</v>
      </c>
      <c r="H41" s="497" t="s">
        <v>76</v>
      </c>
      <c r="I41" s="498">
        <f>sumifs('Form responses'!$AE$2:$AE50, 'Form responses'!$C$2:$C50, "&lt;="&amp;$C41, 'Form responses'!$D$2:$D50,$D41)-(sumifs('Form responses'!$AF$2:$AF50, 'Form responses'!$C$2:$C50, "&lt;="&amp;$C41, 'Form responses'!$D$2:$D50,$D41))</f>
        <v>0</v>
      </c>
      <c r="J41" s="499"/>
      <c r="K41" s="499"/>
      <c r="L41" s="498">
        <f>sumifs('Form responses'!$AH$2:$AH50, 'Form responses'!$C$2:$C50, "&lt;="&amp;$C41, 'Form responses'!$D$2:$D50,$D41)-(sumifs('Form responses'!$AI$2:$AI50, 'Form responses'!$C$2:$C50, "&lt;="&amp;$C41, 'Form responses'!$D$2:$D50,$D41))</f>
        <v>0</v>
      </c>
      <c r="M41" s="499"/>
      <c r="N41" s="499"/>
      <c r="O41" s="498">
        <f>sumifs('Form responses'!$AN$2:$AN50, 'Form responses'!$C$2:$C50, "&lt;="&amp;$C41, 'Form responses'!$D$2:$D50,$D41)-(sumifs('Form responses'!$AO$2:$AO50, 'Form responses'!$C$2:$C50, "&lt;="&amp;$C41, 'Form responses'!$D$2:$D50,$D41))</f>
        <v>0</v>
      </c>
      <c r="P41" s="499"/>
      <c r="Q41" s="499"/>
      <c r="R41" s="498">
        <f>sumifs('Form responses'!AK$2:AK50, 'Form responses'!$C$2:$C50, "&lt;="&amp;$C41, 'Form responses'!$D$2:$D50,$D41)-(sumifs('Form responses'!AL$2:AL50, 'Form responses'!$C$2:$C50, "&lt;="&amp;$C41, 'Form responses'!$D$2:$D50,$D41))</f>
        <v>0</v>
      </c>
      <c r="S41" s="499"/>
      <c r="T41" s="499"/>
      <c r="U41" s="498">
        <f>sumifs('Form responses'!AQ$2:AQ50, 'Form responses'!$C$2:$C50, "&lt;="&amp;$C41, 'Form responses'!$D$2:$D50,$D41)-(sumifs('Form responses'!AR$2:AR50, 'Form responses'!$C$2:$C50, "&lt;="&amp;$C41, 'Form responses'!$D$2:$D50,$D41))</f>
        <v>0</v>
      </c>
      <c r="V41" s="499"/>
      <c r="W41" s="499"/>
      <c r="X41" s="498">
        <f>sumifs('Form responses'!AT$2:AT50, 'Form responses'!$C$2:$C50, "&lt;="&amp;$C41, 'Form responses'!$D$2:$D50,$D41)-(sumifs('Form responses'!AU$2:AU50, 'Form responses'!$C$2:$C50, "&lt;="&amp;$C41, 'Form responses'!$D$2:$D50,$D41))</f>
        <v>0</v>
      </c>
      <c r="Y41" s="499"/>
      <c r="Z41" s="499"/>
      <c r="AA41" s="498">
        <f>sumifs('Form responses'!AW$2:AW50, 'Form responses'!$C$2:$C50, "&lt;="&amp;$C41, 'Form responses'!$D$2:$D50,$D41)-(sumifs('Form responses'!AX$2:AX50, 'Form responses'!$C$2:$C50, "&lt;="&amp;$C41, 'Form responses'!$D$2:$D50,$D41))</f>
        <v>0</v>
      </c>
      <c r="AB41" s="500">
        <f>sumifs('Form responses'!AZ$2:AZ50, 'Form responses'!$C$2:$C50, "&lt;="&amp;$C41, 'Form responses'!$D$2:$D50,$D41)-(sumifs('Form responses'!BA$2:BA50, 'Form responses'!$C$2:$C50, "&lt;="&amp;$C41, 'Form responses'!$D$2:$D50,$D41))</f>
        <v>0</v>
      </c>
      <c r="AC41" s="499"/>
      <c r="AD41" s="498">
        <f>sumifs('Form responses'!ER$2:ER50,
'Form responses'!$D$2:$D50,$D41)
-(sumifs('Form responses'!FX$2:FX50,
'Form responses'!$D$2:$D50,$D41)
+sumifs('Form responses'!FH$2:FH50,
'Form responses'!$D$2:$D50,$D41)+sumifs('Form responses'!BF$2:BF50, 'Form responses'!$D$2:$D50, $D41))</f>
        <v>0</v>
      </c>
      <c r="AE41" s="498">
        <f>sumifs('Form responses'!ES$2:ES50,
'Form responses'!$D$2:$D50,$D41)
-(sumifs('Form responses'!FY$2:FY50,
'Form responses'!$D$2:$D50,$D41)
+sumifs('Form responses'!FI$2:FI50,
'Form responses'!$D$2:$D50,$D41)+sumifs('Form responses'!BH$2:BH50, 'Form responses'!$D$2:$D50, $D41))</f>
        <v>0</v>
      </c>
      <c r="AF41" s="498">
        <f>sumifs('Form responses'!ET$2:ET50,
'Form responses'!$D$2:$D50,$D41)
-(sumifs('Form responses'!FZ$2:FZ50,
'Form responses'!$D$2:$D50,$D41)
+sumifs('Form responses'!FJ$2:FJ50,
'Form responses'!$D$2:$D50,$D41)+sumifs('Form responses'!BJ$2:BJ50,'Form responses'!$D$2:$D50, $D41))</f>
        <v>0</v>
      </c>
      <c r="AG41" s="498">
        <f>sumifs('Form responses'!EU$2:EU50,
'Form responses'!$D$2:$D50,$D41)
-(sumifs('Form responses'!GA$2:GA50,
'Form responses'!$D$2:$D50,$D41)
+sumifs('Form responses'!FK$2:FK50,
'Form responses'!$D$2:$D50,$D41)+sumifs('Form responses'!BL$2:BL50, 'Form responses'!$D$2:$D50, $D41))</f>
        <v>0</v>
      </c>
      <c r="AH41" s="498">
        <f>sumifs('Form responses'!EV$2:EV50,
'Form responses'!$D$2:$D50,$D41)
-(sumifs('Form responses'!GB$2:GB50,
'Form responses'!$D$2:$D50,$D41)
+sumifs('Form responses'!FL$2:FL50,
'Form responses'!$D$2:$D50,$D41)+sumifs('Form responses'!BN$2:BN50,'Form responses'!$D$2:$D50, $D41))</f>
        <v>0</v>
      </c>
      <c r="AI41" s="498">
        <f>sumifs('Form responses'!EW$2:EW50,
'Form responses'!$D$2:$D50,$D41)
-(sumifs('Form responses'!GC$2:GC50,
'Form responses'!$D$2:$D50,$D41)
+sumifs('Form responses'!FM$2:FM50,
'Form responses'!$D$2:$D50,$D41)+sumifs('Form responses'!BP$2:BP50,'Form responses'!$D$2:$D50, $D41))</f>
        <v>0</v>
      </c>
      <c r="AJ41" s="485">
        <f>sumifs('Form responses'!EX$2:EX50,
'Form responses'!$D$2:$D50,$D41)
-(sumifs('Form responses'!GD$2:GD50,
'Form responses'!$D$2:$D50,$D41)
+sumifs('Form responses'!FN$2:FN50,
'Form responses'!$D$2:$D50,$D41)+sumifs('Form responses'!BR$2:BR50, 'Form responses'!$D$2:$D50, $D41))</f>
        <v>0</v>
      </c>
      <c r="AK41" s="485">
        <f>sumifs('Form responses'!EY$2:EY50,
'Form responses'!$D$2:$D50,$D41)
-(sumifs('Form responses'!GE$2:GE50,
'Form responses'!$D$2:$D50,$D41)
+sumifs('Form responses'!FO$2:FO50,
'Form responses'!$D$2:$D50,$D41)+sumifs('Form responses'!BT$2:BT50,'Form responses'!$D$2:$D50, $D41))</f>
        <v>0</v>
      </c>
      <c r="AL41" s="485">
        <f>sumifs('Form responses'!EZ$2:EZ50,
'Form responses'!$D$2:$D50,$D41)
-(sumifs('Form responses'!GF$2:GF50,
'Form responses'!$D$2:$D50,$D41)
+sumifs('Form responses'!FP$2:FP50,
'Form responses'!$D$2:$D50,$D41)+sumifs('Form responses'!BV$2:BV50,'Form responses'!$D$2:$D50, $D41))</f>
        <v>0</v>
      </c>
      <c r="AM41" s="485">
        <f>sumifs('Form responses'!FA$2:FA50,
'Form responses'!$D$2:$D50,$D41)
-(sumifs('Form responses'!GG$2:GG50,
'Form responses'!$D$2:$D50,$D41)
+sumifs('Form responses'!FQ$2:FQ50,
'Form responses'!$D$2:$D50,$D41)+sumifs('Form responses'!BX$2:BX50, 'Form responses'!$D$2:$D50, $D41))</f>
        <v>0</v>
      </c>
      <c r="AN41" s="498">
        <f>sumifs('Form responses'!FB$2:FB50,
'Form responses'!$D$2:$D50,$D41)
-(sumifs('Form responses'!GH$2:GH50,
'Form responses'!$D$2:$D50,$D41)
+sumifs('Form responses'!FR$2:FR50,
'Form responses'!$D$2:$D50,$D41)+sumifs('Form responses'!BZ$2:BZ50,'Form responses'!$D$2:$D50, $D41))</f>
        <v>0</v>
      </c>
      <c r="AO41" s="498">
        <f>sumifs('Form responses'!FC$2:FC50,
'Form responses'!$D$2:$D50,$D41)
-(sumifs('Form responses'!GI$2:GI50,
'Form responses'!$D$2:$D50,$D41)
+sumifs('Form responses'!FS$2:FS50,
'Form responses'!$D$2:$D50,$D41)+sumifs('Form responses'!CB$2:CB50,'Form responses'!$D$2:$D50, $D41))</f>
        <v>0</v>
      </c>
      <c r="AP41" s="486">
        <f>sumifs('Form responses'!FD$2:FD50,
'Form responses'!$D$2:$D50,$D41)
-(sumifs('Form responses'!GJ$2:GJ50,
'Form responses'!$D$2:$D50,$D41)
+sumifs('Form responses'!FT$2:FT50,
'Form responses'!$D$2:$D50,$D41)+sumifs('Form responses'!CD$2:CD50,'Form responses'!$D$2:$D50, $D41))</f>
        <v>0</v>
      </c>
      <c r="AQ41" s="486">
        <f>sumifs('Form responses'!FE$2:FE50,
'Form responses'!$D$2:$D50,$D41)
-(sumifs('Form responses'!GK$2:GK50,
'Form responses'!$D$2:$D50,$D41)
+sumifs('Form responses'!FU$2:FU50,
'Form responses'!$D$2:$D50,$D41)+sumifs('Form responses'!CF$2:CF50,'Form responses'!$D$2:$D50, $D41))</f>
        <v>0</v>
      </c>
    </row>
    <row r="42">
      <c r="A42" s="496"/>
      <c r="B42" s="496"/>
      <c r="C42" s="494">
        <f t="shared" si="1"/>
        <v>45747</v>
      </c>
      <c r="D42" s="501" t="s">
        <v>292</v>
      </c>
      <c r="E42" s="496"/>
      <c r="F42" s="496"/>
      <c r="G42" s="497" t="s">
        <v>70</v>
      </c>
      <c r="H42" s="497" t="s">
        <v>76</v>
      </c>
      <c r="I42" s="498">
        <f>sumifs('Form responses'!$AE$2:$AE50, 'Form responses'!$C$2:$C50, "&lt;="&amp;$C42, 'Form responses'!$D$2:$D50,$D42)-(sumifs('Form responses'!$AF$2:$AF50, 'Form responses'!$C$2:$C50, "&lt;="&amp;$C42, 'Form responses'!$D$2:$D50,$D42))</f>
        <v>0</v>
      </c>
      <c r="J42" s="499"/>
      <c r="K42" s="499"/>
      <c r="L42" s="498">
        <f>sumifs('Form responses'!$AH$2:$AH50, 'Form responses'!$C$2:$C50, "&lt;="&amp;$C42, 'Form responses'!$D$2:$D50,$D42)-(sumifs('Form responses'!$AI$2:$AI50, 'Form responses'!$C$2:$C50, "&lt;="&amp;$C42, 'Form responses'!$D$2:$D50,$D42))</f>
        <v>0</v>
      </c>
      <c r="M42" s="499"/>
      <c r="N42" s="499"/>
      <c r="O42" s="498">
        <f>sumifs('Form responses'!$AN$2:$AN50, 'Form responses'!$C$2:$C50, "&lt;="&amp;$C42, 'Form responses'!$D$2:$D50,$D42)-(sumifs('Form responses'!$AO$2:$AO50, 'Form responses'!$C$2:$C50, "&lt;="&amp;$C42, 'Form responses'!$D$2:$D50,$D42))</f>
        <v>0</v>
      </c>
      <c r="P42" s="499"/>
      <c r="Q42" s="499"/>
      <c r="R42" s="498">
        <f>sumifs('Form responses'!AK$2:AK50, 'Form responses'!$C$2:$C50, "&lt;="&amp;$C42, 'Form responses'!$D$2:$D50,$D42)-(sumifs('Form responses'!AL$2:AL50, 'Form responses'!$C$2:$C50, "&lt;="&amp;$C42, 'Form responses'!$D$2:$D50,$D42))</f>
        <v>0</v>
      </c>
      <c r="S42" s="499"/>
      <c r="T42" s="499"/>
      <c r="U42" s="498">
        <f>sumifs('Form responses'!AQ$2:AQ50, 'Form responses'!$C$2:$C50, "&lt;="&amp;$C42, 'Form responses'!$D$2:$D50,$D42)-(sumifs('Form responses'!AR$2:AR50, 'Form responses'!$C$2:$C50, "&lt;="&amp;$C42, 'Form responses'!$D$2:$D50,$D42))</f>
        <v>0</v>
      </c>
      <c r="V42" s="499"/>
      <c r="W42" s="499"/>
      <c r="X42" s="498">
        <f>sumifs('Form responses'!AT$2:AT50, 'Form responses'!$C$2:$C50, "&lt;="&amp;$C42, 'Form responses'!$D$2:$D50,$D42)-(sumifs('Form responses'!AU$2:AU50, 'Form responses'!$C$2:$C50, "&lt;="&amp;$C42, 'Form responses'!$D$2:$D50,$D42))</f>
        <v>0</v>
      </c>
      <c r="Y42" s="499"/>
      <c r="Z42" s="499"/>
      <c r="AA42" s="498">
        <f>sumifs('Form responses'!AW$2:AW50, 'Form responses'!$C$2:$C50, "&lt;="&amp;$C42, 'Form responses'!$D$2:$D50,$D42)-(sumifs('Form responses'!AX$2:AX50, 'Form responses'!$C$2:$C50, "&lt;="&amp;$C42, 'Form responses'!$D$2:$D50,$D42))</f>
        <v>0</v>
      </c>
      <c r="AB42" s="500">
        <f>sumifs('Form responses'!AZ$2:AZ50, 'Form responses'!$C$2:$C50, "&lt;="&amp;$C42, 'Form responses'!$D$2:$D50,$D42)-(sumifs('Form responses'!BA$2:BA50, 'Form responses'!$C$2:$C50, "&lt;="&amp;$C42, 'Form responses'!$D$2:$D50,$D42))</f>
        <v>0</v>
      </c>
      <c r="AC42" s="499"/>
      <c r="AD42" s="498">
        <f>sumifs('Form responses'!ER$2:ER50,
'Form responses'!$D$2:$D50,$D42)
-(sumifs('Form responses'!FX$2:FX50,
'Form responses'!$D$2:$D50,$D42)
+sumifs('Form responses'!FH$2:FH50,
'Form responses'!$D$2:$D50,$D42)+sumifs('Form responses'!BF$2:BF50, 'Form responses'!$D$2:$D50, $D42))</f>
        <v>0</v>
      </c>
      <c r="AE42" s="498">
        <f>sumifs('Form responses'!ES$2:ES50,
'Form responses'!$D$2:$D50,$D42)
-(sumifs('Form responses'!FY$2:FY50,
'Form responses'!$D$2:$D50,$D42)
+sumifs('Form responses'!FI$2:FI50,
'Form responses'!$D$2:$D50,$D42)+sumifs('Form responses'!BH$2:BH50, 'Form responses'!$D$2:$D50, $D42))</f>
        <v>0</v>
      </c>
      <c r="AF42" s="498">
        <f>sumifs('Form responses'!ET$2:ET50,
'Form responses'!$D$2:$D50,$D42)
-(sumifs('Form responses'!FZ$2:FZ50,
'Form responses'!$D$2:$D50,$D42)
+sumifs('Form responses'!FJ$2:FJ50,
'Form responses'!$D$2:$D50,$D42)+sumifs('Form responses'!BJ$2:BJ50,'Form responses'!$D$2:$D50, $D42))</f>
        <v>0</v>
      </c>
      <c r="AG42" s="498">
        <f>sumifs('Form responses'!EU$2:EU50,
'Form responses'!$D$2:$D50,$D42)
-(sumifs('Form responses'!GA$2:GA50,
'Form responses'!$D$2:$D50,$D42)
+sumifs('Form responses'!FK$2:FK50,
'Form responses'!$D$2:$D50,$D42)+sumifs('Form responses'!BL$2:BL50, 'Form responses'!$D$2:$D50, $D42))</f>
        <v>0</v>
      </c>
      <c r="AH42" s="498">
        <f>sumifs('Form responses'!EV$2:EV50,
'Form responses'!$D$2:$D50,$D42)
-(sumifs('Form responses'!GB$2:GB50,
'Form responses'!$D$2:$D50,$D42)
+sumifs('Form responses'!FL$2:FL50,
'Form responses'!$D$2:$D50,$D42)+sumifs('Form responses'!BN$2:BN50,'Form responses'!$D$2:$D50, $D42))</f>
        <v>0</v>
      </c>
      <c r="AI42" s="498">
        <f>sumifs('Form responses'!EW$2:EW50,
'Form responses'!$D$2:$D50,$D42)
-(sumifs('Form responses'!GC$2:GC50,
'Form responses'!$D$2:$D50,$D42)
+sumifs('Form responses'!FM$2:FM50,
'Form responses'!$D$2:$D50,$D42)+sumifs('Form responses'!BP$2:BP50,'Form responses'!$D$2:$D50, $D42))</f>
        <v>0</v>
      </c>
      <c r="AJ42" s="485">
        <f>sumifs('Form responses'!EX$2:EX50,
'Form responses'!$D$2:$D50,$D42)
-(sumifs('Form responses'!GD$2:GD50,
'Form responses'!$D$2:$D50,$D42)
+sumifs('Form responses'!FN$2:FN50,
'Form responses'!$D$2:$D50,$D42)+sumifs('Form responses'!BR$2:BR50, 'Form responses'!$D$2:$D50, $D42))</f>
        <v>0</v>
      </c>
      <c r="AK42" s="485">
        <f>sumifs('Form responses'!EY$2:EY50,
'Form responses'!$D$2:$D50,$D42)
-(sumifs('Form responses'!GE$2:GE50,
'Form responses'!$D$2:$D50,$D42)
+sumifs('Form responses'!FO$2:FO50,
'Form responses'!$D$2:$D50,$D42)+sumifs('Form responses'!BT$2:BT50,'Form responses'!$D$2:$D50, $D42))</f>
        <v>0</v>
      </c>
      <c r="AL42" s="485">
        <f>sumifs('Form responses'!EZ$2:EZ50,
'Form responses'!$D$2:$D50,$D42)
-(sumifs('Form responses'!GF$2:GF50,
'Form responses'!$D$2:$D50,$D42)
+sumifs('Form responses'!FP$2:FP50,
'Form responses'!$D$2:$D50,$D42)+sumifs('Form responses'!BV$2:BV50,'Form responses'!$D$2:$D50, $D42))</f>
        <v>0</v>
      </c>
      <c r="AM42" s="485">
        <f>sumifs('Form responses'!FA$2:FA50,
'Form responses'!$D$2:$D50,$D42)
-(sumifs('Form responses'!GG$2:GG50,
'Form responses'!$D$2:$D50,$D42)
+sumifs('Form responses'!FQ$2:FQ50,
'Form responses'!$D$2:$D50,$D42)+sumifs('Form responses'!BX$2:BX50, 'Form responses'!$D$2:$D50, $D42))</f>
        <v>0</v>
      </c>
      <c r="AN42" s="498">
        <f>sumifs('Form responses'!FB$2:FB50,
'Form responses'!$D$2:$D50,$D42)
-(sumifs('Form responses'!GH$2:GH50,
'Form responses'!$D$2:$D50,$D42)
+sumifs('Form responses'!FR$2:FR50,
'Form responses'!$D$2:$D50,$D42)+sumifs('Form responses'!BZ$2:BZ50,'Form responses'!$D$2:$D50, $D42))</f>
        <v>0</v>
      </c>
      <c r="AO42" s="498">
        <f>sumifs('Form responses'!FC$2:FC50,
'Form responses'!$D$2:$D50,$D42)
-(sumifs('Form responses'!GI$2:GI50,
'Form responses'!$D$2:$D50,$D42)
+sumifs('Form responses'!FS$2:FS50,
'Form responses'!$D$2:$D50,$D42)+sumifs('Form responses'!CB$2:CB50,'Form responses'!$D$2:$D50, $D42))</f>
        <v>0</v>
      </c>
      <c r="AP42" s="486">
        <f>sumifs('Form responses'!FD$2:FD50,
'Form responses'!$D$2:$D50,$D42)
-(sumifs('Form responses'!GJ$2:GJ50,
'Form responses'!$D$2:$D50,$D42)
+sumifs('Form responses'!FT$2:FT50,
'Form responses'!$D$2:$D50,$D42)+sumifs('Form responses'!CD$2:CD50,'Form responses'!$D$2:$D50, $D42))</f>
        <v>0</v>
      </c>
      <c r="AQ42" s="486">
        <f>sumifs('Form responses'!FE$2:FE50,
'Form responses'!$D$2:$D50,$D42)
-(sumifs('Form responses'!GK$2:GK50,
'Form responses'!$D$2:$D50,$D42)
+sumifs('Form responses'!FU$2:FU50,
'Form responses'!$D$2:$D50,$D42)+sumifs('Form responses'!CF$2:CF50,'Form responses'!$D$2:$D50, $D42))</f>
        <v>0</v>
      </c>
    </row>
    <row r="43">
      <c r="A43" s="496"/>
      <c r="B43" s="496"/>
      <c r="C43" s="494">
        <f t="shared" si="1"/>
        <v>45747</v>
      </c>
      <c r="D43" s="501" t="s">
        <v>295</v>
      </c>
      <c r="E43" s="496"/>
      <c r="F43" s="496"/>
      <c r="G43" s="497" t="s">
        <v>70</v>
      </c>
      <c r="H43" s="497" t="s">
        <v>76</v>
      </c>
      <c r="I43" s="498">
        <f>sumifs('Form responses'!$AE$2:$AE50, 'Form responses'!$C$2:$C50, "&lt;="&amp;$C43, 'Form responses'!$D$2:$D50,$D43)-(sumifs('Form responses'!$AF$2:$AF50, 'Form responses'!$C$2:$C50, "&lt;="&amp;$C43, 'Form responses'!$D$2:$D50,$D43))</f>
        <v>0</v>
      </c>
      <c r="J43" s="499"/>
      <c r="K43" s="499"/>
      <c r="L43" s="498">
        <f>sumifs('Form responses'!$AH$2:$AH50, 'Form responses'!$C$2:$C50, "&lt;="&amp;$C43, 'Form responses'!$D$2:$D50,$D43)-(sumifs('Form responses'!$AI$2:$AI50, 'Form responses'!$C$2:$C50, "&lt;="&amp;$C43, 'Form responses'!$D$2:$D50,$D43))</f>
        <v>0</v>
      </c>
      <c r="M43" s="499"/>
      <c r="N43" s="499"/>
      <c r="O43" s="498">
        <f>sumifs('Form responses'!$AN$2:$AN50, 'Form responses'!$C$2:$C50, "&lt;="&amp;$C43, 'Form responses'!$D$2:$D50,$D43)-(sumifs('Form responses'!$AO$2:$AO50, 'Form responses'!$C$2:$C50, "&lt;="&amp;$C43, 'Form responses'!$D$2:$D50,$D43))</f>
        <v>0</v>
      </c>
      <c r="P43" s="499"/>
      <c r="Q43" s="499"/>
      <c r="R43" s="498">
        <f>sumifs('Form responses'!AK$2:AK50, 'Form responses'!$C$2:$C50, "&lt;="&amp;$C43, 'Form responses'!$D$2:$D50,$D43)-(sumifs('Form responses'!AL$2:AL50, 'Form responses'!$C$2:$C50, "&lt;="&amp;$C43, 'Form responses'!$D$2:$D50,$D43))</f>
        <v>0</v>
      </c>
      <c r="S43" s="499"/>
      <c r="T43" s="499"/>
      <c r="U43" s="498">
        <f>sumifs('Form responses'!AQ$2:AQ50, 'Form responses'!$C$2:$C50, "&lt;="&amp;$C43, 'Form responses'!$D$2:$D50,$D43)-(sumifs('Form responses'!AR$2:AR50, 'Form responses'!$C$2:$C50, "&lt;="&amp;$C43, 'Form responses'!$D$2:$D50,$D43))</f>
        <v>0</v>
      </c>
      <c r="V43" s="499"/>
      <c r="W43" s="499"/>
      <c r="X43" s="498">
        <f>sumifs('Form responses'!AT$2:AT50, 'Form responses'!$C$2:$C50, "&lt;="&amp;$C43, 'Form responses'!$D$2:$D50,$D43)-(sumifs('Form responses'!AU$2:AU50, 'Form responses'!$C$2:$C50, "&lt;="&amp;$C43, 'Form responses'!$D$2:$D50,$D43))</f>
        <v>0</v>
      </c>
      <c r="Y43" s="499"/>
      <c r="Z43" s="499"/>
      <c r="AA43" s="498">
        <f>sumifs('Form responses'!AW$2:AW50, 'Form responses'!$C$2:$C50, "&lt;="&amp;$C43, 'Form responses'!$D$2:$D50,$D43)-(sumifs('Form responses'!AX$2:AX50, 'Form responses'!$C$2:$C50, "&lt;="&amp;$C43, 'Form responses'!$D$2:$D50,$D43))</f>
        <v>0</v>
      </c>
      <c r="AB43" s="500">
        <f>sumifs('Form responses'!AZ$2:AZ50, 'Form responses'!$C$2:$C50, "&lt;="&amp;$C43, 'Form responses'!$D$2:$D50,$D43)-(sumifs('Form responses'!BA$2:BA50, 'Form responses'!$C$2:$C50, "&lt;="&amp;$C43, 'Form responses'!$D$2:$D50,$D43))</f>
        <v>0</v>
      </c>
      <c r="AC43" s="499"/>
      <c r="AD43" s="498">
        <f>sumifs('Form responses'!ER$2:ER50,
'Form responses'!$D$2:$D50,$D43)
-(sumifs('Form responses'!FX$2:FX50,
'Form responses'!$D$2:$D50,$D43)
+sumifs('Form responses'!FH$2:FH50,
'Form responses'!$D$2:$D50,$D43)+sumifs('Form responses'!BF$2:BF50, 'Form responses'!$D$2:$D50, $D43))</f>
        <v>0</v>
      </c>
      <c r="AE43" s="498">
        <f>sumifs('Form responses'!ES$2:ES50,
'Form responses'!$D$2:$D50,$D43)
-(sumifs('Form responses'!FY$2:FY50,
'Form responses'!$D$2:$D50,$D43)
+sumifs('Form responses'!FI$2:FI50,
'Form responses'!$D$2:$D50,$D43)+sumifs('Form responses'!BH$2:BH50, 'Form responses'!$D$2:$D50, $D43))</f>
        <v>0</v>
      </c>
      <c r="AF43" s="498">
        <f>sumifs('Form responses'!ET$2:ET50,
'Form responses'!$D$2:$D50,$D43)
-(sumifs('Form responses'!FZ$2:FZ50,
'Form responses'!$D$2:$D50,$D43)
+sumifs('Form responses'!FJ$2:FJ50,
'Form responses'!$D$2:$D50,$D43)+sumifs('Form responses'!BJ$2:BJ50,'Form responses'!$D$2:$D50, $D43))</f>
        <v>0</v>
      </c>
      <c r="AG43" s="498">
        <f>sumifs('Form responses'!EU$2:EU50,
'Form responses'!$D$2:$D50,$D43)
-(sumifs('Form responses'!GA$2:GA50,
'Form responses'!$D$2:$D50,$D43)
+sumifs('Form responses'!FK$2:FK50,
'Form responses'!$D$2:$D50,$D43)+sumifs('Form responses'!BL$2:BL50, 'Form responses'!$D$2:$D50, $D43))</f>
        <v>0</v>
      </c>
      <c r="AH43" s="498">
        <f>sumifs('Form responses'!EV$2:EV50,
'Form responses'!$D$2:$D50,$D43)
-(sumifs('Form responses'!GB$2:GB50,
'Form responses'!$D$2:$D50,$D43)
+sumifs('Form responses'!FL$2:FL50,
'Form responses'!$D$2:$D50,$D43)+sumifs('Form responses'!BN$2:BN50,'Form responses'!$D$2:$D50, $D43))</f>
        <v>0</v>
      </c>
      <c r="AI43" s="498">
        <f>sumifs('Form responses'!EW$2:EW50,
'Form responses'!$D$2:$D50,$D43)
-(sumifs('Form responses'!GC$2:GC50,
'Form responses'!$D$2:$D50,$D43)
+sumifs('Form responses'!FM$2:FM50,
'Form responses'!$D$2:$D50,$D43)+sumifs('Form responses'!BP$2:BP50,'Form responses'!$D$2:$D50, $D43))</f>
        <v>0</v>
      </c>
      <c r="AJ43" s="485">
        <f>sumifs('Form responses'!EX$2:EX50,
'Form responses'!$D$2:$D50,$D43)
-(sumifs('Form responses'!GD$2:GD50,
'Form responses'!$D$2:$D50,$D43)
+sumifs('Form responses'!FN$2:FN50,
'Form responses'!$D$2:$D50,$D43)+sumifs('Form responses'!BR$2:BR50, 'Form responses'!$D$2:$D50, $D43))</f>
        <v>0</v>
      </c>
      <c r="AK43" s="485">
        <f>sumifs('Form responses'!EY$2:EY50,
'Form responses'!$D$2:$D50,$D43)
-(sumifs('Form responses'!GE$2:GE50,
'Form responses'!$D$2:$D50,$D43)
+sumifs('Form responses'!FO$2:FO50,
'Form responses'!$D$2:$D50,$D43)+sumifs('Form responses'!BT$2:BT50,'Form responses'!$D$2:$D50, $D43))</f>
        <v>0</v>
      </c>
      <c r="AL43" s="485">
        <f>sumifs('Form responses'!EZ$2:EZ50,
'Form responses'!$D$2:$D50,$D43)
-(sumifs('Form responses'!GF$2:GF50,
'Form responses'!$D$2:$D50,$D43)
+sumifs('Form responses'!FP$2:FP50,
'Form responses'!$D$2:$D50,$D43)+sumifs('Form responses'!BV$2:BV50,'Form responses'!$D$2:$D50, $D43))</f>
        <v>0</v>
      </c>
      <c r="AM43" s="485">
        <f>sumifs('Form responses'!FA$2:FA50,
'Form responses'!$D$2:$D50,$D43)
-(sumifs('Form responses'!GG$2:GG50,
'Form responses'!$D$2:$D50,$D43)
+sumifs('Form responses'!FQ$2:FQ50,
'Form responses'!$D$2:$D50,$D43)+sumifs('Form responses'!BX$2:BX50, 'Form responses'!$D$2:$D50, $D43))</f>
        <v>0</v>
      </c>
      <c r="AN43" s="498">
        <f>sumifs('Form responses'!FB$2:FB50,
'Form responses'!$D$2:$D50,$D43)
-(sumifs('Form responses'!GH$2:GH50,
'Form responses'!$D$2:$D50,$D43)
+sumifs('Form responses'!FR$2:FR50,
'Form responses'!$D$2:$D50,$D43)+sumifs('Form responses'!BZ$2:BZ50,'Form responses'!$D$2:$D50, $D43))</f>
        <v>0</v>
      </c>
      <c r="AO43" s="498">
        <f>sumifs('Form responses'!FC$2:FC50,
'Form responses'!$D$2:$D50,$D43)
-(sumifs('Form responses'!GI$2:GI50,
'Form responses'!$D$2:$D50,$D43)
+sumifs('Form responses'!FS$2:FS50,
'Form responses'!$D$2:$D50,$D43)+sumifs('Form responses'!CB$2:CB50,'Form responses'!$D$2:$D50, $D43))</f>
        <v>0</v>
      </c>
      <c r="AP43" s="486">
        <f>sumifs('Form responses'!FD$2:FD50,
'Form responses'!$D$2:$D50,$D43)
-(sumifs('Form responses'!GJ$2:GJ50,
'Form responses'!$D$2:$D50,$D43)
+sumifs('Form responses'!FT$2:FT50,
'Form responses'!$D$2:$D50,$D43)+sumifs('Form responses'!CD$2:CD50,'Form responses'!$D$2:$D50, $D43))</f>
        <v>0</v>
      </c>
      <c r="AQ43" s="486">
        <f>sumifs('Form responses'!FE$2:FE50,
'Form responses'!$D$2:$D50,$D43)
-(sumifs('Form responses'!GK$2:GK50,
'Form responses'!$D$2:$D50,$D43)
+sumifs('Form responses'!FU$2:FU50,
'Form responses'!$D$2:$D50,$D43)+sumifs('Form responses'!CF$2:CF50,'Form responses'!$D$2:$D50, $D43))</f>
        <v>0</v>
      </c>
    </row>
    <row r="44">
      <c r="A44" s="496"/>
      <c r="B44" s="496"/>
      <c r="C44" s="494">
        <f t="shared" si="1"/>
        <v>45747</v>
      </c>
      <c r="D44" s="501" t="s">
        <v>298</v>
      </c>
      <c r="E44" s="496"/>
      <c r="F44" s="496"/>
      <c r="G44" s="497" t="s">
        <v>70</v>
      </c>
      <c r="H44" s="497" t="s">
        <v>76</v>
      </c>
      <c r="I44" s="498">
        <f>sumifs('Form responses'!$AE$2:$AE50, 'Form responses'!$C$2:$C50, "&lt;="&amp;$C44, 'Form responses'!$D$2:$D50,$D44)-(sumifs('Form responses'!$AF$2:$AF50, 'Form responses'!$C$2:$C50, "&lt;="&amp;$C44, 'Form responses'!$D$2:$D50,$D44))</f>
        <v>0</v>
      </c>
      <c r="J44" s="499"/>
      <c r="K44" s="499"/>
      <c r="L44" s="498">
        <f>sumifs('Form responses'!$AH$2:$AH50, 'Form responses'!$C$2:$C50, "&lt;="&amp;$C44, 'Form responses'!$D$2:$D50,$D44)-(sumifs('Form responses'!$AI$2:$AI50, 'Form responses'!$C$2:$C50, "&lt;="&amp;$C44, 'Form responses'!$D$2:$D50,$D44))</f>
        <v>0</v>
      </c>
      <c r="M44" s="499"/>
      <c r="N44" s="499"/>
      <c r="O44" s="498">
        <f>sumifs('Form responses'!$AN$2:$AN50, 'Form responses'!$C$2:$C50, "&lt;="&amp;$C44, 'Form responses'!$D$2:$D50,$D44)-(sumifs('Form responses'!$AO$2:$AO50, 'Form responses'!$C$2:$C50, "&lt;="&amp;$C44, 'Form responses'!$D$2:$D50,$D44))</f>
        <v>0</v>
      </c>
      <c r="P44" s="499"/>
      <c r="Q44" s="499"/>
      <c r="R44" s="498">
        <f>sumifs('Form responses'!AK$2:AK50, 'Form responses'!$C$2:$C50, "&lt;="&amp;$C44, 'Form responses'!$D$2:$D50,$D44)-(sumifs('Form responses'!AL$2:AL50, 'Form responses'!$C$2:$C50, "&lt;="&amp;$C44, 'Form responses'!$D$2:$D50,$D44))</f>
        <v>0</v>
      </c>
      <c r="S44" s="499"/>
      <c r="T44" s="499"/>
      <c r="U44" s="498">
        <f>sumifs('Form responses'!AQ$2:AQ50, 'Form responses'!$C$2:$C50, "&lt;="&amp;$C44, 'Form responses'!$D$2:$D50,$D44)-(sumifs('Form responses'!AR$2:AR50, 'Form responses'!$C$2:$C50, "&lt;="&amp;$C44, 'Form responses'!$D$2:$D50,$D44))</f>
        <v>0</v>
      </c>
      <c r="V44" s="499"/>
      <c r="W44" s="499"/>
      <c r="X44" s="498">
        <f>sumifs('Form responses'!AT$2:AT50, 'Form responses'!$C$2:$C50, "&lt;="&amp;$C44, 'Form responses'!$D$2:$D50,$D44)-(sumifs('Form responses'!AU$2:AU50, 'Form responses'!$C$2:$C50, "&lt;="&amp;$C44, 'Form responses'!$D$2:$D50,$D44))</f>
        <v>0</v>
      </c>
      <c r="Y44" s="499"/>
      <c r="Z44" s="499"/>
      <c r="AA44" s="498">
        <f>sumifs('Form responses'!AW$2:AW50, 'Form responses'!$C$2:$C50, "&lt;="&amp;$C44, 'Form responses'!$D$2:$D50,$D44)-(sumifs('Form responses'!AX$2:AX50, 'Form responses'!$C$2:$C50, "&lt;="&amp;$C44, 'Form responses'!$D$2:$D50,$D44))</f>
        <v>0</v>
      </c>
      <c r="AB44" s="500">
        <f>sumifs('Form responses'!AZ$2:AZ50, 'Form responses'!$C$2:$C50, "&lt;="&amp;$C44, 'Form responses'!$D$2:$D50,$D44)-(sumifs('Form responses'!BA$2:BA50, 'Form responses'!$C$2:$C50, "&lt;="&amp;$C44, 'Form responses'!$D$2:$D50,$D44))</f>
        <v>0</v>
      </c>
      <c r="AC44" s="499"/>
      <c r="AD44" s="498">
        <f>sumifs('Form responses'!ER$2:ER50,
'Form responses'!$D$2:$D50,$D44)
-(sumifs('Form responses'!FX$2:FX50,
'Form responses'!$D$2:$D50,$D44)
+sumifs('Form responses'!FH$2:FH50,
'Form responses'!$D$2:$D50,$D44)+sumifs('Form responses'!BF$2:BF50, 'Form responses'!$D$2:$D50, $D44))</f>
        <v>0</v>
      </c>
      <c r="AE44" s="498">
        <f>sumifs('Form responses'!ES$2:ES50,
'Form responses'!$D$2:$D50,$D44)
-(sumifs('Form responses'!FY$2:FY50,
'Form responses'!$D$2:$D50,$D44)
+sumifs('Form responses'!FI$2:FI50,
'Form responses'!$D$2:$D50,$D44)+sumifs('Form responses'!BH$2:BH50, 'Form responses'!$D$2:$D50, $D44))</f>
        <v>0</v>
      </c>
      <c r="AF44" s="498">
        <f>sumifs('Form responses'!ET$2:ET50,
'Form responses'!$D$2:$D50,$D44)
-(sumifs('Form responses'!FZ$2:FZ50,
'Form responses'!$D$2:$D50,$D44)
+sumifs('Form responses'!FJ$2:FJ50,
'Form responses'!$D$2:$D50,$D44)+sumifs('Form responses'!BJ$2:BJ50,'Form responses'!$D$2:$D50, $D44))</f>
        <v>0</v>
      </c>
      <c r="AG44" s="498">
        <f>sumifs('Form responses'!EU$2:EU50,
'Form responses'!$D$2:$D50,$D44)
-(sumifs('Form responses'!GA$2:GA50,
'Form responses'!$D$2:$D50,$D44)
+sumifs('Form responses'!FK$2:FK50,
'Form responses'!$D$2:$D50,$D44)+sumifs('Form responses'!BL$2:BL50, 'Form responses'!$D$2:$D50, $D44))</f>
        <v>0</v>
      </c>
      <c r="AH44" s="498">
        <f>sumifs('Form responses'!EV$2:EV50,
'Form responses'!$D$2:$D50,$D44)
-(sumifs('Form responses'!GB$2:GB50,
'Form responses'!$D$2:$D50,$D44)
+sumifs('Form responses'!FL$2:FL50,
'Form responses'!$D$2:$D50,$D44)+sumifs('Form responses'!BN$2:BN50,'Form responses'!$D$2:$D50, $D44))</f>
        <v>0</v>
      </c>
      <c r="AI44" s="498">
        <f>sumifs('Form responses'!EW$2:EW50,
'Form responses'!$D$2:$D50,$D44)
-(sumifs('Form responses'!GC$2:GC50,
'Form responses'!$D$2:$D50,$D44)
+sumifs('Form responses'!FM$2:FM50,
'Form responses'!$D$2:$D50,$D44)+sumifs('Form responses'!BP$2:BP50,'Form responses'!$D$2:$D50, $D44))</f>
        <v>0</v>
      </c>
      <c r="AJ44" s="485">
        <f>sumifs('Form responses'!EX$2:EX50,
'Form responses'!$D$2:$D50,$D44)
-(sumifs('Form responses'!GD$2:GD50,
'Form responses'!$D$2:$D50,$D44)
+sumifs('Form responses'!FN$2:FN50,
'Form responses'!$D$2:$D50,$D44)+sumifs('Form responses'!BR$2:BR50, 'Form responses'!$D$2:$D50, $D44))</f>
        <v>0</v>
      </c>
      <c r="AK44" s="485">
        <f>sumifs('Form responses'!EY$2:EY50,
'Form responses'!$D$2:$D50,$D44)
-(sumifs('Form responses'!GE$2:GE50,
'Form responses'!$D$2:$D50,$D44)
+sumifs('Form responses'!FO$2:FO50,
'Form responses'!$D$2:$D50,$D44)+sumifs('Form responses'!BT$2:BT50,'Form responses'!$D$2:$D50, $D44))</f>
        <v>0</v>
      </c>
      <c r="AL44" s="485">
        <f>sumifs('Form responses'!EZ$2:EZ50,
'Form responses'!$D$2:$D50,$D44)
-(sumifs('Form responses'!GF$2:GF50,
'Form responses'!$D$2:$D50,$D44)
+sumifs('Form responses'!FP$2:FP50,
'Form responses'!$D$2:$D50,$D44)+sumifs('Form responses'!BV$2:BV50,'Form responses'!$D$2:$D50, $D44))</f>
        <v>0</v>
      </c>
      <c r="AM44" s="485">
        <f>sumifs('Form responses'!FA$2:FA50,
'Form responses'!$D$2:$D50,$D44)
-(sumifs('Form responses'!GG$2:GG50,
'Form responses'!$D$2:$D50,$D44)
+sumifs('Form responses'!FQ$2:FQ50,
'Form responses'!$D$2:$D50,$D44)+sumifs('Form responses'!BX$2:BX50, 'Form responses'!$D$2:$D50, $D44))</f>
        <v>0</v>
      </c>
      <c r="AN44" s="498">
        <f>sumifs('Form responses'!FB$2:FB50,
'Form responses'!$D$2:$D50,$D44)
-(sumifs('Form responses'!GH$2:GH50,
'Form responses'!$D$2:$D50,$D44)
+sumifs('Form responses'!FR$2:FR50,
'Form responses'!$D$2:$D50,$D44)+sumifs('Form responses'!BZ$2:BZ50,'Form responses'!$D$2:$D50, $D44))</f>
        <v>0</v>
      </c>
      <c r="AO44" s="498">
        <f>sumifs('Form responses'!FC$2:FC50,
'Form responses'!$D$2:$D50,$D44)
-(sumifs('Form responses'!GI$2:GI50,
'Form responses'!$D$2:$D50,$D44)
+sumifs('Form responses'!FS$2:FS50,
'Form responses'!$D$2:$D50,$D44)+sumifs('Form responses'!CB$2:CB50,'Form responses'!$D$2:$D50, $D44))</f>
        <v>0</v>
      </c>
      <c r="AP44" s="486">
        <f>sumifs('Form responses'!FD$2:FD50,
'Form responses'!$D$2:$D50,$D44)
-(sumifs('Form responses'!GJ$2:GJ50,
'Form responses'!$D$2:$D50,$D44)
+sumifs('Form responses'!FT$2:FT50,
'Form responses'!$D$2:$D50,$D44)+sumifs('Form responses'!CD$2:CD50,'Form responses'!$D$2:$D50, $D44))</f>
        <v>0</v>
      </c>
      <c r="AQ44" s="486">
        <f>sumifs('Form responses'!FE$2:FE50,
'Form responses'!$D$2:$D50,$D44)
-(sumifs('Form responses'!GK$2:GK50,
'Form responses'!$D$2:$D50,$D44)
+sumifs('Form responses'!FU$2:FU50,
'Form responses'!$D$2:$D50,$D44)+sumifs('Form responses'!CF$2:CF50,'Form responses'!$D$2:$D50, $D44))</f>
        <v>0</v>
      </c>
    </row>
    <row r="45">
      <c r="A45" s="496"/>
      <c r="B45" s="496"/>
      <c r="C45" s="494">
        <f t="shared" si="1"/>
        <v>45747</v>
      </c>
      <c r="D45" s="501" t="s">
        <v>301</v>
      </c>
      <c r="E45" s="496"/>
      <c r="F45" s="496"/>
      <c r="G45" s="497" t="s">
        <v>70</v>
      </c>
      <c r="H45" s="497" t="s">
        <v>76</v>
      </c>
      <c r="I45" s="498">
        <f>sumifs('Form responses'!$AE$2:$AE50, 'Form responses'!$C$2:$C50, "&lt;="&amp;$C45, 'Form responses'!$D$2:$D50,$D45)-(sumifs('Form responses'!$AF$2:$AF50, 'Form responses'!$C$2:$C50, "&lt;="&amp;$C45, 'Form responses'!$D$2:$D50,$D45))</f>
        <v>0</v>
      </c>
      <c r="J45" s="499"/>
      <c r="K45" s="499"/>
      <c r="L45" s="498">
        <f>sumifs('Form responses'!$AH$2:$AH50, 'Form responses'!$C$2:$C50, "&lt;="&amp;$C45, 'Form responses'!$D$2:$D50,$D45)-(sumifs('Form responses'!$AI$2:$AI50, 'Form responses'!$C$2:$C50, "&lt;="&amp;$C45, 'Form responses'!$D$2:$D50,$D45))</f>
        <v>0</v>
      </c>
      <c r="M45" s="499"/>
      <c r="N45" s="499"/>
      <c r="O45" s="498">
        <f>sumifs('Form responses'!$AN$2:$AN50, 'Form responses'!$C$2:$C50, "&lt;="&amp;$C45, 'Form responses'!$D$2:$D50,$D45)-(sumifs('Form responses'!$AO$2:$AO50, 'Form responses'!$C$2:$C50, "&lt;="&amp;$C45, 'Form responses'!$D$2:$D50,$D45))</f>
        <v>0</v>
      </c>
      <c r="P45" s="499"/>
      <c r="Q45" s="499"/>
      <c r="R45" s="498">
        <f>sumifs('Form responses'!AK$2:AK50, 'Form responses'!$C$2:$C50, "&lt;="&amp;$C45, 'Form responses'!$D$2:$D50,$D45)-(sumifs('Form responses'!AL$2:AL50, 'Form responses'!$C$2:$C50, "&lt;="&amp;$C45, 'Form responses'!$D$2:$D50,$D45))</f>
        <v>0</v>
      </c>
      <c r="S45" s="499"/>
      <c r="T45" s="499"/>
      <c r="U45" s="498">
        <f>sumifs('Form responses'!AQ$2:AQ50, 'Form responses'!$C$2:$C50, "&lt;="&amp;$C45, 'Form responses'!$D$2:$D50,$D45)-(sumifs('Form responses'!AR$2:AR50, 'Form responses'!$C$2:$C50, "&lt;="&amp;$C45, 'Form responses'!$D$2:$D50,$D45))</f>
        <v>0</v>
      </c>
      <c r="V45" s="499"/>
      <c r="W45" s="499"/>
      <c r="X45" s="498">
        <f>sumifs('Form responses'!AT$2:AT50, 'Form responses'!$C$2:$C50, "&lt;="&amp;$C45, 'Form responses'!$D$2:$D50,$D45)-(sumifs('Form responses'!AU$2:AU50, 'Form responses'!$C$2:$C50, "&lt;="&amp;$C45, 'Form responses'!$D$2:$D50,$D45))</f>
        <v>0</v>
      </c>
      <c r="Y45" s="499"/>
      <c r="Z45" s="499"/>
      <c r="AA45" s="498">
        <f>sumifs('Form responses'!AW$2:AW50, 'Form responses'!$C$2:$C50, "&lt;="&amp;$C45, 'Form responses'!$D$2:$D50,$D45)-(sumifs('Form responses'!AX$2:AX50, 'Form responses'!$C$2:$C50, "&lt;="&amp;$C45, 'Form responses'!$D$2:$D50,$D45))</f>
        <v>0</v>
      </c>
      <c r="AB45" s="500">
        <f>sumifs('Form responses'!AZ$2:AZ50, 'Form responses'!$C$2:$C50, "&lt;="&amp;$C45, 'Form responses'!$D$2:$D50,$D45)-(sumifs('Form responses'!BA$2:BA50, 'Form responses'!$C$2:$C50, "&lt;="&amp;$C45, 'Form responses'!$D$2:$D50,$D45))</f>
        <v>0</v>
      </c>
      <c r="AC45" s="499"/>
      <c r="AD45" s="498">
        <f>sumifs('Form responses'!ER$2:ER50,
'Form responses'!$D$2:$D50,$D45)
-(sumifs('Form responses'!FX$2:FX50,
'Form responses'!$D$2:$D50,$D45)
+sumifs('Form responses'!FH$2:FH50,
'Form responses'!$D$2:$D50,$D45)+sumifs('Form responses'!BF$2:BF50, 'Form responses'!$D$2:$D50, $D45))</f>
        <v>0</v>
      </c>
      <c r="AE45" s="498">
        <f>sumifs('Form responses'!ES$2:ES50,
'Form responses'!$D$2:$D50,$D45)
-(sumifs('Form responses'!FY$2:FY50,
'Form responses'!$D$2:$D50,$D45)
+sumifs('Form responses'!FI$2:FI50,
'Form responses'!$D$2:$D50,$D45)+sumifs('Form responses'!BH$2:BH50, 'Form responses'!$D$2:$D50, $D45))</f>
        <v>0</v>
      </c>
      <c r="AF45" s="498">
        <f>sumifs('Form responses'!ET$2:ET50,
'Form responses'!$D$2:$D50,$D45)
-(sumifs('Form responses'!FZ$2:FZ50,
'Form responses'!$D$2:$D50,$D45)
+sumifs('Form responses'!FJ$2:FJ50,
'Form responses'!$D$2:$D50,$D45)+sumifs('Form responses'!BJ$2:BJ50,'Form responses'!$D$2:$D50, $D45))</f>
        <v>0</v>
      </c>
      <c r="AG45" s="498">
        <f>sumifs('Form responses'!EU$2:EU50,
'Form responses'!$D$2:$D50,$D45)
-(sumifs('Form responses'!GA$2:GA50,
'Form responses'!$D$2:$D50,$D45)
+sumifs('Form responses'!FK$2:FK50,
'Form responses'!$D$2:$D50,$D45)+sumifs('Form responses'!BL$2:BL50, 'Form responses'!$D$2:$D50, $D45))</f>
        <v>0</v>
      </c>
      <c r="AH45" s="498">
        <f>sumifs('Form responses'!EV$2:EV50,
'Form responses'!$D$2:$D50,$D45)
-(sumifs('Form responses'!GB$2:GB50,
'Form responses'!$D$2:$D50,$D45)
+sumifs('Form responses'!FL$2:FL50,
'Form responses'!$D$2:$D50,$D45)+sumifs('Form responses'!BN$2:BN50,'Form responses'!$D$2:$D50, $D45))</f>
        <v>0</v>
      </c>
      <c r="AI45" s="498">
        <f>sumifs('Form responses'!EW$2:EW50,
'Form responses'!$D$2:$D50,$D45)
-(sumifs('Form responses'!GC$2:GC50,
'Form responses'!$D$2:$D50,$D45)
+sumifs('Form responses'!FM$2:FM50,
'Form responses'!$D$2:$D50,$D45)+sumifs('Form responses'!BP$2:BP50,'Form responses'!$D$2:$D50, $D45))</f>
        <v>0</v>
      </c>
      <c r="AJ45" s="485">
        <f>sumifs('Form responses'!EX$2:EX50,
'Form responses'!$D$2:$D50,$D45)
-(sumifs('Form responses'!GD$2:GD50,
'Form responses'!$D$2:$D50,$D45)
+sumifs('Form responses'!FN$2:FN50,
'Form responses'!$D$2:$D50,$D45)+sumifs('Form responses'!BR$2:BR50, 'Form responses'!$D$2:$D50, $D45))</f>
        <v>0</v>
      </c>
      <c r="AK45" s="485">
        <f>sumifs('Form responses'!EY$2:EY50,
'Form responses'!$D$2:$D50,$D45)
-(sumifs('Form responses'!GE$2:GE50,
'Form responses'!$D$2:$D50,$D45)
+sumifs('Form responses'!FO$2:FO50,
'Form responses'!$D$2:$D50,$D45)+sumifs('Form responses'!BT$2:BT50,'Form responses'!$D$2:$D50, $D45))</f>
        <v>0</v>
      </c>
      <c r="AL45" s="485">
        <f>sumifs('Form responses'!EZ$2:EZ50,
'Form responses'!$D$2:$D50,$D45)
-(sumifs('Form responses'!GF$2:GF50,
'Form responses'!$D$2:$D50,$D45)
+sumifs('Form responses'!FP$2:FP50,
'Form responses'!$D$2:$D50,$D45)+sumifs('Form responses'!BV$2:BV50,'Form responses'!$D$2:$D50, $D45))</f>
        <v>0</v>
      </c>
      <c r="AM45" s="485">
        <f>sumifs('Form responses'!FA$2:FA50,
'Form responses'!$D$2:$D50,$D45)
-(sumifs('Form responses'!GG$2:GG50,
'Form responses'!$D$2:$D50,$D45)
+sumifs('Form responses'!FQ$2:FQ50,
'Form responses'!$D$2:$D50,$D45)+sumifs('Form responses'!BX$2:BX50, 'Form responses'!$D$2:$D50, $D45))</f>
        <v>0</v>
      </c>
      <c r="AN45" s="498">
        <f>sumifs('Form responses'!FB$2:FB50,
'Form responses'!$D$2:$D50,$D45)
-(sumifs('Form responses'!GH$2:GH50,
'Form responses'!$D$2:$D50,$D45)
+sumifs('Form responses'!FR$2:FR50,
'Form responses'!$D$2:$D50,$D45)+sumifs('Form responses'!BZ$2:BZ50,'Form responses'!$D$2:$D50, $D45))</f>
        <v>0</v>
      </c>
      <c r="AO45" s="498">
        <f>sumifs('Form responses'!FC$2:FC50,
'Form responses'!$D$2:$D50,$D45)
-(sumifs('Form responses'!GI$2:GI50,
'Form responses'!$D$2:$D50,$D45)
+sumifs('Form responses'!FS$2:FS50,
'Form responses'!$D$2:$D50,$D45)+sumifs('Form responses'!CB$2:CB50,'Form responses'!$D$2:$D50, $D45))</f>
        <v>0</v>
      </c>
      <c r="AP45" s="486">
        <f>sumifs('Form responses'!FD$2:FD50,
'Form responses'!$D$2:$D50,$D45)
-(sumifs('Form responses'!GJ$2:GJ50,
'Form responses'!$D$2:$D50,$D45)
+sumifs('Form responses'!FT$2:FT50,
'Form responses'!$D$2:$D50,$D45)+sumifs('Form responses'!CD$2:CD50,'Form responses'!$D$2:$D50, $D45))</f>
        <v>0</v>
      </c>
      <c r="AQ45" s="486">
        <f>sumifs('Form responses'!FE$2:FE50,
'Form responses'!$D$2:$D50,$D45)
-(sumifs('Form responses'!GK$2:GK50,
'Form responses'!$D$2:$D50,$D45)
+sumifs('Form responses'!FU$2:FU50,
'Form responses'!$D$2:$D50,$D45)+sumifs('Form responses'!CF$2:CF50,'Form responses'!$D$2:$D50, $D45))</f>
        <v>0</v>
      </c>
    </row>
    <row r="46">
      <c r="A46" s="496"/>
      <c r="B46" s="496"/>
      <c r="C46" s="494">
        <f t="shared" si="1"/>
        <v>45747</v>
      </c>
      <c r="D46" s="501" t="s">
        <v>303</v>
      </c>
      <c r="E46" s="496"/>
      <c r="F46" s="496"/>
      <c r="G46" s="497" t="s">
        <v>70</v>
      </c>
      <c r="H46" s="497" t="s">
        <v>76</v>
      </c>
      <c r="I46" s="498">
        <f>sumifs('Form responses'!$AE$2:$AE50, 'Form responses'!$C$2:$C50, "&lt;="&amp;$C46, 'Form responses'!$D$2:$D50,$D46)-(sumifs('Form responses'!$AF$2:$AF50, 'Form responses'!$C$2:$C50, "&lt;="&amp;$C46, 'Form responses'!$D$2:$D50,$D46))</f>
        <v>0</v>
      </c>
      <c r="J46" s="499"/>
      <c r="K46" s="499"/>
      <c r="L46" s="498">
        <f>sumifs('Form responses'!$AH$2:$AH50, 'Form responses'!$C$2:$C50, "&lt;="&amp;$C46, 'Form responses'!$D$2:$D50,$D46)-(sumifs('Form responses'!$AI$2:$AI50, 'Form responses'!$C$2:$C50, "&lt;="&amp;$C46, 'Form responses'!$D$2:$D50,$D46))</f>
        <v>0</v>
      </c>
      <c r="M46" s="499"/>
      <c r="N46" s="499"/>
      <c r="O46" s="498">
        <f>sumifs('Form responses'!$AN$2:$AN50, 'Form responses'!$C$2:$C50, "&lt;="&amp;$C46, 'Form responses'!$D$2:$D50,$D46)-(sumifs('Form responses'!$AO$2:$AO50, 'Form responses'!$C$2:$C50, "&lt;="&amp;$C46, 'Form responses'!$D$2:$D50,$D46))</f>
        <v>0</v>
      </c>
      <c r="P46" s="499"/>
      <c r="Q46" s="499"/>
      <c r="R46" s="498">
        <f>sumifs('Form responses'!AK$2:AK50, 'Form responses'!$C$2:$C50, "&lt;="&amp;$C46, 'Form responses'!$D$2:$D50,$D46)-(sumifs('Form responses'!AL$2:AL50, 'Form responses'!$C$2:$C50, "&lt;="&amp;$C46, 'Form responses'!$D$2:$D50,$D46))</f>
        <v>0</v>
      </c>
      <c r="S46" s="499"/>
      <c r="T46" s="499"/>
      <c r="U46" s="498">
        <f>sumifs('Form responses'!AQ$2:AQ50, 'Form responses'!$C$2:$C50, "&lt;="&amp;$C46, 'Form responses'!$D$2:$D50,$D46)-(sumifs('Form responses'!AR$2:AR50, 'Form responses'!$C$2:$C50, "&lt;="&amp;$C46, 'Form responses'!$D$2:$D50,$D46))</f>
        <v>0</v>
      </c>
      <c r="V46" s="499"/>
      <c r="W46" s="499"/>
      <c r="X46" s="498">
        <f>sumifs('Form responses'!AT$2:AT50, 'Form responses'!$C$2:$C50, "&lt;="&amp;$C46, 'Form responses'!$D$2:$D50,$D46)-(sumifs('Form responses'!AU$2:AU50, 'Form responses'!$C$2:$C50, "&lt;="&amp;$C46, 'Form responses'!$D$2:$D50,$D46))</f>
        <v>0</v>
      </c>
      <c r="Y46" s="499"/>
      <c r="Z46" s="499"/>
      <c r="AA46" s="498">
        <f>sumifs('Form responses'!AW$2:AW50, 'Form responses'!$C$2:$C50, "&lt;="&amp;$C46, 'Form responses'!$D$2:$D50,$D46)-(sumifs('Form responses'!AX$2:AX50, 'Form responses'!$C$2:$C50, "&lt;="&amp;$C46, 'Form responses'!$D$2:$D50,$D46))</f>
        <v>0</v>
      </c>
      <c r="AB46" s="500">
        <f>sumifs('Form responses'!AZ$2:AZ50, 'Form responses'!$C$2:$C50, "&lt;="&amp;$C46, 'Form responses'!$D$2:$D50,$D46)-(sumifs('Form responses'!BA$2:BA50, 'Form responses'!$C$2:$C50, "&lt;="&amp;$C46, 'Form responses'!$D$2:$D50,$D46))</f>
        <v>0</v>
      </c>
      <c r="AC46" s="499"/>
      <c r="AD46" s="498">
        <f>sumifs('Form responses'!ER$2:ER50,
'Form responses'!$D$2:$D50,$D46)
-(sumifs('Form responses'!FX$2:FX50,
'Form responses'!$D$2:$D50,$D46)
+sumifs('Form responses'!FH$2:FH50,
'Form responses'!$D$2:$D50,$D46)+sumifs('Form responses'!BF$2:BF50, 'Form responses'!$D$2:$D50, $D46))</f>
        <v>0</v>
      </c>
      <c r="AE46" s="498">
        <f>sumifs('Form responses'!ES$2:ES50,
'Form responses'!$D$2:$D50,$D46)
-(sumifs('Form responses'!FY$2:FY50,
'Form responses'!$D$2:$D50,$D46)
+sumifs('Form responses'!FI$2:FI50,
'Form responses'!$D$2:$D50,$D46)+sumifs('Form responses'!BH$2:BH50, 'Form responses'!$D$2:$D50, $D46))</f>
        <v>0</v>
      </c>
      <c r="AF46" s="498">
        <f>sumifs('Form responses'!ET$2:ET50,
'Form responses'!$D$2:$D50,$D46)
-(sumifs('Form responses'!FZ$2:FZ50,
'Form responses'!$D$2:$D50,$D46)
+sumifs('Form responses'!FJ$2:FJ50,
'Form responses'!$D$2:$D50,$D46)+sumifs('Form responses'!BJ$2:BJ50,'Form responses'!$D$2:$D50, $D46))</f>
        <v>0</v>
      </c>
      <c r="AG46" s="498">
        <f>sumifs('Form responses'!EU$2:EU50,
'Form responses'!$D$2:$D50,$D46)
-(sumifs('Form responses'!GA$2:GA50,
'Form responses'!$D$2:$D50,$D46)
+sumifs('Form responses'!FK$2:FK50,
'Form responses'!$D$2:$D50,$D46)+sumifs('Form responses'!BL$2:BL50, 'Form responses'!$D$2:$D50, $D46))</f>
        <v>0</v>
      </c>
      <c r="AH46" s="498">
        <f>sumifs('Form responses'!EV$2:EV50,
'Form responses'!$D$2:$D50,$D46)
-(sumifs('Form responses'!GB$2:GB50,
'Form responses'!$D$2:$D50,$D46)
+sumifs('Form responses'!FL$2:FL50,
'Form responses'!$D$2:$D50,$D46)+sumifs('Form responses'!BN$2:BN50,'Form responses'!$D$2:$D50, $D46))</f>
        <v>0</v>
      </c>
      <c r="AI46" s="498">
        <f>sumifs('Form responses'!EW$2:EW50,
'Form responses'!$D$2:$D50,$D46)
-(sumifs('Form responses'!GC$2:GC50,
'Form responses'!$D$2:$D50,$D46)
+sumifs('Form responses'!FM$2:FM50,
'Form responses'!$D$2:$D50,$D46)+sumifs('Form responses'!BP$2:BP50,'Form responses'!$D$2:$D50, $D46))</f>
        <v>0</v>
      </c>
      <c r="AJ46" s="485">
        <f>sumifs('Form responses'!EX$2:EX50,
'Form responses'!$D$2:$D50,$D46)
-(sumifs('Form responses'!GD$2:GD50,
'Form responses'!$D$2:$D50,$D46)
+sumifs('Form responses'!FN$2:FN50,
'Form responses'!$D$2:$D50,$D46)+sumifs('Form responses'!BR$2:BR50, 'Form responses'!$D$2:$D50, $D46))</f>
        <v>0</v>
      </c>
      <c r="AK46" s="485">
        <f>sumifs('Form responses'!EY$2:EY50,
'Form responses'!$D$2:$D50,$D46)
-(sumifs('Form responses'!GE$2:GE50,
'Form responses'!$D$2:$D50,$D46)
+sumifs('Form responses'!FO$2:FO50,
'Form responses'!$D$2:$D50,$D46)+sumifs('Form responses'!BT$2:BT50,'Form responses'!$D$2:$D50, $D46))</f>
        <v>0</v>
      </c>
      <c r="AL46" s="485">
        <f>sumifs('Form responses'!EZ$2:EZ50,
'Form responses'!$D$2:$D50,$D46)
-(sumifs('Form responses'!GF$2:GF50,
'Form responses'!$D$2:$D50,$D46)
+sumifs('Form responses'!FP$2:FP50,
'Form responses'!$D$2:$D50,$D46)+sumifs('Form responses'!BV$2:BV50,'Form responses'!$D$2:$D50, $D46))</f>
        <v>0</v>
      </c>
      <c r="AM46" s="485">
        <f>sumifs('Form responses'!FA$2:FA50,
'Form responses'!$D$2:$D50,$D46)
-(sumifs('Form responses'!GG$2:GG50,
'Form responses'!$D$2:$D50,$D46)
+sumifs('Form responses'!FQ$2:FQ50,
'Form responses'!$D$2:$D50,$D46)+sumifs('Form responses'!BX$2:BX50, 'Form responses'!$D$2:$D50, $D46))</f>
        <v>0</v>
      </c>
      <c r="AN46" s="498">
        <f>sumifs('Form responses'!FB$2:FB50,
'Form responses'!$D$2:$D50,$D46)
-(sumifs('Form responses'!GH$2:GH50,
'Form responses'!$D$2:$D50,$D46)
+sumifs('Form responses'!FR$2:FR50,
'Form responses'!$D$2:$D50,$D46)+sumifs('Form responses'!BZ$2:BZ50,'Form responses'!$D$2:$D50, $D46))</f>
        <v>0</v>
      </c>
      <c r="AO46" s="498">
        <f>sumifs('Form responses'!FC$2:FC50,
'Form responses'!$D$2:$D50,$D46)
-(sumifs('Form responses'!GI$2:GI50,
'Form responses'!$D$2:$D50,$D46)
+sumifs('Form responses'!FS$2:FS50,
'Form responses'!$D$2:$D50,$D46)+sumifs('Form responses'!CB$2:CB50,'Form responses'!$D$2:$D50, $D46))</f>
        <v>0</v>
      </c>
      <c r="AP46" s="486">
        <f>sumifs('Form responses'!FD$2:FD50,
'Form responses'!$D$2:$D50,$D46)
-(sumifs('Form responses'!GJ$2:GJ50,
'Form responses'!$D$2:$D50,$D46)
+sumifs('Form responses'!FT$2:FT50,
'Form responses'!$D$2:$D50,$D46)+sumifs('Form responses'!CD$2:CD50,'Form responses'!$D$2:$D50, $D46))</f>
        <v>0</v>
      </c>
      <c r="AQ46" s="486">
        <f>sumifs('Form responses'!FE$2:FE50,
'Form responses'!$D$2:$D50,$D46)
-(sumifs('Form responses'!GK$2:GK50,
'Form responses'!$D$2:$D50,$D46)
+sumifs('Form responses'!FU$2:FU50,
'Form responses'!$D$2:$D50,$D46)+sumifs('Form responses'!CF$2:CF50,'Form responses'!$D$2:$D50, $D46))</f>
        <v>0</v>
      </c>
    </row>
    <row r="47">
      <c r="A47" s="496"/>
      <c r="B47" s="496"/>
      <c r="C47" s="494">
        <f t="shared" si="1"/>
        <v>45747</v>
      </c>
      <c r="D47" s="501" t="s">
        <v>305</v>
      </c>
      <c r="E47" s="496"/>
      <c r="F47" s="496"/>
      <c r="G47" s="497" t="s">
        <v>70</v>
      </c>
      <c r="H47" s="497" t="s">
        <v>76</v>
      </c>
      <c r="I47" s="498">
        <f>sumifs('Form responses'!$AE$2:$AE50, 'Form responses'!$C$2:$C50, "&lt;="&amp;$C47, 'Form responses'!$D$2:$D50,$D47)-(sumifs('Form responses'!$AF$2:$AF50, 'Form responses'!$C$2:$C50, "&lt;="&amp;$C47, 'Form responses'!$D$2:$D50,$D47))</f>
        <v>0</v>
      </c>
      <c r="J47" s="499"/>
      <c r="K47" s="499"/>
      <c r="L47" s="498">
        <f>sumifs('Form responses'!$AH$2:$AH50, 'Form responses'!$C$2:$C50, "&lt;="&amp;$C47, 'Form responses'!$D$2:$D50,$D47)-(sumifs('Form responses'!$AI$2:$AI50, 'Form responses'!$C$2:$C50, "&lt;="&amp;$C47, 'Form responses'!$D$2:$D50,$D47))</f>
        <v>0</v>
      </c>
      <c r="M47" s="499"/>
      <c r="N47" s="499"/>
      <c r="O47" s="498">
        <f>sumifs('Form responses'!$AN$2:$AN50, 'Form responses'!$C$2:$C50, "&lt;="&amp;$C47, 'Form responses'!$D$2:$D50,$D47)-(sumifs('Form responses'!$AO$2:$AO50, 'Form responses'!$C$2:$C50, "&lt;="&amp;$C47, 'Form responses'!$D$2:$D50,$D47))</f>
        <v>0</v>
      </c>
      <c r="P47" s="499"/>
      <c r="Q47" s="499"/>
      <c r="R47" s="498">
        <f>sumifs('Form responses'!AK$2:AK50, 'Form responses'!$C$2:$C50, "&lt;="&amp;$C47, 'Form responses'!$D$2:$D50,$D47)-(sumifs('Form responses'!AL$2:AL50, 'Form responses'!$C$2:$C50, "&lt;="&amp;$C47, 'Form responses'!$D$2:$D50,$D47))</f>
        <v>0</v>
      </c>
      <c r="S47" s="499"/>
      <c r="T47" s="499"/>
      <c r="U47" s="498">
        <f>sumifs('Form responses'!AQ$2:AQ50, 'Form responses'!$C$2:$C50, "&lt;="&amp;$C47, 'Form responses'!$D$2:$D50,$D47)-(sumifs('Form responses'!AR$2:AR50, 'Form responses'!$C$2:$C50, "&lt;="&amp;$C47, 'Form responses'!$D$2:$D50,$D47))</f>
        <v>0</v>
      </c>
      <c r="V47" s="499"/>
      <c r="W47" s="499"/>
      <c r="X47" s="498">
        <f>sumifs('Form responses'!AT$2:AT50, 'Form responses'!$C$2:$C50, "&lt;="&amp;$C47, 'Form responses'!$D$2:$D50,$D47)-(sumifs('Form responses'!AU$2:AU50, 'Form responses'!$C$2:$C50, "&lt;="&amp;$C47, 'Form responses'!$D$2:$D50,$D47))</f>
        <v>0</v>
      </c>
      <c r="Y47" s="499"/>
      <c r="Z47" s="499"/>
      <c r="AA47" s="498">
        <f>sumifs('Form responses'!AW$2:AW50, 'Form responses'!$C$2:$C50, "&lt;="&amp;$C47, 'Form responses'!$D$2:$D50,$D47)-(sumifs('Form responses'!AX$2:AX50, 'Form responses'!$C$2:$C50, "&lt;="&amp;$C47, 'Form responses'!$D$2:$D50,$D47))</f>
        <v>0</v>
      </c>
      <c r="AB47" s="500">
        <f>sumifs('Form responses'!AZ$2:AZ50, 'Form responses'!$C$2:$C50, "&lt;="&amp;$C47, 'Form responses'!$D$2:$D50,$D47)-(sumifs('Form responses'!BA$2:BA50, 'Form responses'!$C$2:$C50, "&lt;="&amp;$C47, 'Form responses'!$D$2:$D50,$D47))</f>
        <v>0</v>
      </c>
      <c r="AC47" s="499"/>
      <c r="AD47" s="498">
        <f>sumifs('Form responses'!ER$2:ER50,
'Form responses'!$D$2:$D50,$D47)
-(sumifs('Form responses'!FX$2:FX50,
'Form responses'!$D$2:$D50,$D47)
+sumifs('Form responses'!FH$2:FH50,
'Form responses'!$D$2:$D50,$D47)+sumifs('Form responses'!BF$2:BF50, 'Form responses'!$D$2:$D50, $D47))</f>
        <v>0</v>
      </c>
      <c r="AE47" s="498">
        <f>sumifs('Form responses'!ES$2:ES50,
'Form responses'!$D$2:$D50,$D47)
-(sumifs('Form responses'!FY$2:FY50,
'Form responses'!$D$2:$D50,$D47)
+sumifs('Form responses'!FI$2:FI50,
'Form responses'!$D$2:$D50,$D47)+sumifs('Form responses'!BH$2:BH50, 'Form responses'!$D$2:$D50, $D47))</f>
        <v>0</v>
      </c>
      <c r="AF47" s="498">
        <f>sumifs('Form responses'!ET$2:ET50,
'Form responses'!$D$2:$D50,$D47)
-(sumifs('Form responses'!FZ$2:FZ50,
'Form responses'!$D$2:$D50,$D47)
+sumifs('Form responses'!FJ$2:FJ50,
'Form responses'!$D$2:$D50,$D47)+sumifs('Form responses'!BJ$2:BJ50,'Form responses'!$D$2:$D50, $D47))</f>
        <v>0</v>
      </c>
      <c r="AG47" s="498">
        <f>sumifs('Form responses'!EU$2:EU50,
'Form responses'!$D$2:$D50,$D47)
-(sumifs('Form responses'!GA$2:GA50,
'Form responses'!$D$2:$D50,$D47)
+sumifs('Form responses'!FK$2:FK50,
'Form responses'!$D$2:$D50,$D47)+sumifs('Form responses'!BL$2:BL50, 'Form responses'!$D$2:$D50, $D47))</f>
        <v>0</v>
      </c>
      <c r="AH47" s="498">
        <f>sumifs('Form responses'!EV$2:EV50,
'Form responses'!$D$2:$D50,$D47)
-(sumifs('Form responses'!GB$2:GB50,
'Form responses'!$D$2:$D50,$D47)
+sumifs('Form responses'!FL$2:FL50,
'Form responses'!$D$2:$D50,$D47)+sumifs('Form responses'!BN$2:BN50,'Form responses'!$D$2:$D50, $D47))</f>
        <v>0</v>
      </c>
      <c r="AI47" s="498">
        <f>sumifs('Form responses'!EW$2:EW50,
'Form responses'!$D$2:$D50,$D47)
-(sumifs('Form responses'!GC$2:GC50,
'Form responses'!$D$2:$D50,$D47)
+sumifs('Form responses'!FM$2:FM50,
'Form responses'!$D$2:$D50,$D47)+sumifs('Form responses'!BP$2:BP50,'Form responses'!$D$2:$D50, $D47))</f>
        <v>0</v>
      </c>
      <c r="AJ47" s="485">
        <f>sumifs('Form responses'!EX$2:EX50,
'Form responses'!$D$2:$D50,$D47)
-(sumifs('Form responses'!GD$2:GD50,
'Form responses'!$D$2:$D50,$D47)
+sumifs('Form responses'!FN$2:FN50,
'Form responses'!$D$2:$D50,$D47)+sumifs('Form responses'!BR$2:BR50, 'Form responses'!$D$2:$D50, $D47))</f>
        <v>0</v>
      </c>
      <c r="AK47" s="485">
        <f>sumifs('Form responses'!EY$2:EY50,
'Form responses'!$D$2:$D50,$D47)
-(sumifs('Form responses'!GE$2:GE50,
'Form responses'!$D$2:$D50,$D47)
+sumifs('Form responses'!FO$2:FO50,
'Form responses'!$D$2:$D50,$D47)+sumifs('Form responses'!BT$2:BT50,'Form responses'!$D$2:$D50, $D47))</f>
        <v>0</v>
      </c>
      <c r="AL47" s="485">
        <f>sumifs('Form responses'!EZ$2:EZ50,
'Form responses'!$D$2:$D50,$D47)
-(sumifs('Form responses'!GF$2:GF50,
'Form responses'!$D$2:$D50,$D47)
+sumifs('Form responses'!FP$2:FP50,
'Form responses'!$D$2:$D50,$D47)+sumifs('Form responses'!BV$2:BV50,'Form responses'!$D$2:$D50, $D47))</f>
        <v>0</v>
      </c>
      <c r="AM47" s="485">
        <f>sumifs('Form responses'!FA$2:FA50,
'Form responses'!$D$2:$D50,$D47)
-(sumifs('Form responses'!GG$2:GG50,
'Form responses'!$D$2:$D50,$D47)
+sumifs('Form responses'!FQ$2:FQ50,
'Form responses'!$D$2:$D50,$D47)+sumifs('Form responses'!BX$2:BX50, 'Form responses'!$D$2:$D50, $D47))</f>
        <v>0</v>
      </c>
      <c r="AN47" s="498">
        <f>sumifs('Form responses'!FB$2:FB50,
'Form responses'!$D$2:$D50,$D47)
-(sumifs('Form responses'!GH$2:GH50,
'Form responses'!$D$2:$D50,$D47)
+sumifs('Form responses'!FR$2:FR50,
'Form responses'!$D$2:$D50,$D47)+sumifs('Form responses'!BZ$2:BZ50,'Form responses'!$D$2:$D50, $D47))</f>
        <v>0</v>
      </c>
      <c r="AO47" s="498">
        <f>sumifs('Form responses'!FC$2:FC50,
'Form responses'!$D$2:$D50,$D47)
-(sumifs('Form responses'!GI$2:GI50,
'Form responses'!$D$2:$D50,$D47)
+sumifs('Form responses'!FS$2:FS50,
'Form responses'!$D$2:$D50,$D47)+sumifs('Form responses'!CB$2:CB50,'Form responses'!$D$2:$D50, $D47))</f>
        <v>0</v>
      </c>
      <c r="AP47" s="486">
        <f>sumifs('Form responses'!FD$2:FD50,
'Form responses'!$D$2:$D50,$D47)
-(sumifs('Form responses'!GJ$2:GJ50,
'Form responses'!$D$2:$D50,$D47)
+sumifs('Form responses'!FT$2:FT50,
'Form responses'!$D$2:$D50,$D47)+sumifs('Form responses'!CD$2:CD50,'Form responses'!$D$2:$D50, $D47))</f>
        <v>0</v>
      </c>
      <c r="AQ47" s="486">
        <f>sumifs('Form responses'!FE$2:FE50,
'Form responses'!$D$2:$D50,$D47)
-(sumifs('Form responses'!GK$2:GK50,
'Form responses'!$D$2:$D50,$D47)
+sumifs('Form responses'!FU$2:FU50,
'Form responses'!$D$2:$D50,$D47)+sumifs('Form responses'!CF$2:CF50,'Form responses'!$D$2:$D50, $D47))</f>
        <v>0</v>
      </c>
    </row>
    <row r="48">
      <c r="A48" s="496"/>
      <c r="B48" s="496"/>
      <c r="C48" s="494">
        <f t="shared" si="1"/>
        <v>45747</v>
      </c>
      <c r="D48" s="501" t="s">
        <v>307</v>
      </c>
      <c r="E48" s="496"/>
      <c r="F48" s="496"/>
      <c r="G48" s="497" t="s">
        <v>70</v>
      </c>
      <c r="H48" s="497" t="s">
        <v>76</v>
      </c>
      <c r="I48" s="498">
        <f>sumifs('Form responses'!$AE$2:$AE50, 'Form responses'!$C$2:$C50, "&lt;="&amp;$C48, 'Form responses'!$D$2:$D50,$D48)-(sumifs('Form responses'!$AF$2:$AF50, 'Form responses'!$C$2:$C50, "&lt;="&amp;$C48, 'Form responses'!$D$2:$D50,$D48))</f>
        <v>0</v>
      </c>
      <c r="J48" s="499"/>
      <c r="K48" s="499"/>
      <c r="L48" s="498">
        <f>sumifs('Form responses'!$AH$2:$AH50, 'Form responses'!$C$2:$C50, "&lt;="&amp;$C48, 'Form responses'!$D$2:$D50,$D48)-(sumifs('Form responses'!$AI$2:$AI50, 'Form responses'!$C$2:$C50, "&lt;="&amp;$C48, 'Form responses'!$D$2:$D50,$D48))</f>
        <v>0</v>
      </c>
      <c r="M48" s="499"/>
      <c r="N48" s="499"/>
      <c r="O48" s="498">
        <f>sumifs('Form responses'!$AN$2:$AN50, 'Form responses'!$C$2:$C50, "&lt;="&amp;$C48, 'Form responses'!$D$2:$D50,$D48)-(sumifs('Form responses'!$AO$2:$AO50, 'Form responses'!$C$2:$C50, "&lt;="&amp;$C48, 'Form responses'!$D$2:$D50,$D48))</f>
        <v>0</v>
      </c>
      <c r="P48" s="499"/>
      <c r="Q48" s="499"/>
      <c r="R48" s="498">
        <f>sumifs('Form responses'!AK$2:AK50, 'Form responses'!$C$2:$C50, "&lt;="&amp;$C48, 'Form responses'!$D$2:$D50,$D48)-(sumifs('Form responses'!AL$2:AL50, 'Form responses'!$C$2:$C50, "&lt;="&amp;$C48, 'Form responses'!$D$2:$D50,$D48))</f>
        <v>0</v>
      </c>
      <c r="S48" s="499"/>
      <c r="T48" s="499"/>
      <c r="U48" s="498">
        <f>sumifs('Form responses'!AQ$2:AQ50, 'Form responses'!$C$2:$C50, "&lt;="&amp;$C48, 'Form responses'!$D$2:$D50,$D48)-(sumifs('Form responses'!AR$2:AR50, 'Form responses'!$C$2:$C50, "&lt;="&amp;$C48, 'Form responses'!$D$2:$D50,$D48))</f>
        <v>0</v>
      </c>
      <c r="V48" s="499"/>
      <c r="W48" s="499"/>
      <c r="X48" s="498">
        <f>sumifs('Form responses'!AT$2:AT50, 'Form responses'!$C$2:$C50, "&lt;="&amp;$C48, 'Form responses'!$D$2:$D50,$D48)-(sumifs('Form responses'!AU$2:AU50, 'Form responses'!$C$2:$C50, "&lt;="&amp;$C48, 'Form responses'!$D$2:$D50,$D48))</f>
        <v>0</v>
      </c>
      <c r="Y48" s="499"/>
      <c r="Z48" s="499"/>
      <c r="AA48" s="498">
        <f>sumifs('Form responses'!AW$2:AW50, 'Form responses'!$C$2:$C50, "&lt;="&amp;$C48, 'Form responses'!$D$2:$D50,$D48)-(sumifs('Form responses'!AX$2:AX50, 'Form responses'!$C$2:$C50, "&lt;="&amp;$C48, 'Form responses'!$D$2:$D50,$D48))</f>
        <v>0</v>
      </c>
      <c r="AB48" s="500">
        <f>sumifs('Form responses'!AZ$2:AZ50, 'Form responses'!$C$2:$C50, "&lt;="&amp;$C48, 'Form responses'!$D$2:$D50,$D48)-(sumifs('Form responses'!BA$2:BA50, 'Form responses'!$C$2:$C50, "&lt;="&amp;$C48, 'Form responses'!$D$2:$D50,$D48))</f>
        <v>0</v>
      </c>
      <c r="AC48" s="499"/>
      <c r="AD48" s="498">
        <f>sumifs('Form responses'!ER$2:ER50,
'Form responses'!$D$2:$D50,$D48)
-(sumifs('Form responses'!FX$2:FX50,
'Form responses'!$D$2:$D50,$D48)
+sumifs('Form responses'!FH$2:FH50,
'Form responses'!$D$2:$D50,$D48)+sumifs('Form responses'!BF$2:BF50, 'Form responses'!$D$2:$D50, $D48))</f>
        <v>0</v>
      </c>
      <c r="AE48" s="498">
        <f>sumifs('Form responses'!ES$2:ES50,
'Form responses'!$D$2:$D50,$D48)
-(sumifs('Form responses'!FY$2:FY50,
'Form responses'!$D$2:$D50,$D48)
+sumifs('Form responses'!FI$2:FI50,
'Form responses'!$D$2:$D50,$D48)+sumifs('Form responses'!BH$2:BH50, 'Form responses'!$D$2:$D50, $D48))</f>
        <v>0</v>
      </c>
      <c r="AF48" s="498">
        <f>sumifs('Form responses'!ET$2:ET50,
'Form responses'!$D$2:$D50,$D48)
-(sumifs('Form responses'!FZ$2:FZ50,
'Form responses'!$D$2:$D50,$D48)
+sumifs('Form responses'!FJ$2:FJ50,
'Form responses'!$D$2:$D50,$D48)+sumifs('Form responses'!BJ$2:BJ50,'Form responses'!$D$2:$D50, $D48))</f>
        <v>0</v>
      </c>
      <c r="AG48" s="498">
        <f>sumifs('Form responses'!EU$2:EU50,
'Form responses'!$D$2:$D50,$D48)
-(sumifs('Form responses'!GA$2:GA50,
'Form responses'!$D$2:$D50,$D48)
+sumifs('Form responses'!FK$2:FK50,
'Form responses'!$D$2:$D50,$D48)+sumifs('Form responses'!BL$2:BL50, 'Form responses'!$D$2:$D50, $D48))</f>
        <v>0</v>
      </c>
      <c r="AH48" s="498">
        <f>sumifs('Form responses'!EV$2:EV50,
'Form responses'!$D$2:$D50,$D48)
-(sumifs('Form responses'!GB$2:GB50,
'Form responses'!$D$2:$D50,$D48)
+sumifs('Form responses'!FL$2:FL50,
'Form responses'!$D$2:$D50,$D48)+sumifs('Form responses'!BN$2:BN50,'Form responses'!$D$2:$D50, $D48))</f>
        <v>0</v>
      </c>
      <c r="AI48" s="498">
        <f>sumifs('Form responses'!EW$2:EW50,
'Form responses'!$D$2:$D50,$D48)
-(sumifs('Form responses'!GC$2:GC50,
'Form responses'!$D$2:$D50,$D48)
+sumifs('Form responses'!FM$2:FM50,
'Form responses'!$D$2:$D50,$D48)+sumifs('Form responses'!BP$2:BP50,'Form responses'!$D$2:$D50, $D48))</f>
        <v>0</v>
      </c>
      <c r="AJ48" s="485">
        <f>sumifs('Form responses'!EX$2:EX50,
'Form responses'!$D$2:$D50,$D48)
-(sumifs('Form responses'!GD$2:GD50,
'Form responses'!$D$2:$D50,$D48)
+sumifs('Form responses'!FN$2:FN50,
'Form responses'!$D$2:$D50,$D48)+sumifs('Form responses'!BR$2:BR50, 'Form responses'!$D$2:$D50, $D48))</f>
        <v>0</v>
      </c>
      <c r="AK48" s="485">
        <f>sumifs('Form responses'!EY$2:EY50,
'Form responses'!$D$2:$D50,$D48)
-(sumifs('Form responses'!GE$2:GE50,
'Form responses'!$D$2:$D50,$D48)
+sumifs('Form responses'!FO$2:FO50,
'Form responses'!$D$2:$D50,$D48)+sumifs('Form responses'!BT$2:BT50,'Form responses'!$D$2:$D50, $D48))</f>
        <v>0</v>
      </c>
      <c r="AL48" s="485">
        <f>sumifs('Form responses'!EZ$2:EZ50,
'Form responses'!$D$2:$D50,$D48)
-(sumifs('Form responses'!GF$2:GF50,
'Form responses'!$D$2:$D50,$D48)
+sumifs('Form responses'!FP$2:FP50,
'Form responses'!$D$2:$D50,$D48)+sumifs('Form responses'!BV$2:BV50,'Form responses'!$D$2:$D50, $D48))</f>
        <v>0</v>
      </c>
      <c r="AM48" s="485">
        <f>sumifs('Form responses'!FA$2:FA50,
'Form responses'!$D$2:$D50,$D48)
-(sumifs('Form responses'!GG$2:GG50,
'Form responses'!$D$2:$D50,$D48)
+sumifs('Form responses'!FQ$2:FQ50,
'Form responses'!$D$2:$D50,$D48)+sumifs('Form responses'!BX$2:BX50, 'Form responses'!$D$2:$D50, $D48))</f>
        <v>0</v>
      </c>
      <c r="AN48" s="498">
        <f>sumifs('Form responses'!FB$2:FB50,
'Form responses'!$D$2:$D50,$D48)
-(sumifs('Form responses'!GH$2:GH50,
'Form responses'!$D$2:$D50,$D48)
+sumifs('Form responses'!FR$2:FR50,
'Form responses'!$D$2:$D50,$D48)+sumifs('Form responses'!BZ$2:BZ50,'Form responses'!$D$2:$D50, $D48))</f>
        <v>0</v>
      </c>
      <c r="AO48" s="498">
        <f>sumifs('Form responses'!FC$2:FC50,
'Form responses'!$D$2:$D50,$D48)
-(sumifs('Form responses'!GI$2:GI50,
'Form responses'!$D$2:$D50,$D48)
+sumifs('Form responses'!FS$2:FS50,
'Form responses'!$D$2:$D50,$D48)+sumifs('Form responses'!CB$2:CB50,'Form responses'!$D$2:$D50, $D48))</f>
        <v>0</v>
      </c>
      <c r="AP48" s="486">
        <f>sumifs('Form responses'!FD$2:FD50,
'Form responses'!$D$2:$D50,$D48)
-(sumifs('Form responses'!GJ$2:GJ50,
'Form responses'!$D$2:$D50,$D48)
+sumifs('Form responses'!FT$2:FT50,
'Form responses'!$D$2:$D50,$D48)+sumifs('Form responses'!CD$2:CD50,'Form responses'!$D$2:$D50, $D48))</f>
        <v>0</v>
      </c>
      <c r="AQ48" s="486">
        <f>sumifs('Form responses'!FE$2:FE50,
'Form responses'!$D$2:$D50,$D48)
-(sumifs('Form responses'!GK$2:GK50,
'Form responses'!$D$2:$D50,$D48)
+sumifs('Form responses'!FU$2:FU50,
'Form responses'!$D$2:$D50,$D48)+sumifs('Form responses'!CF$2:CF50,'Form responses'!$D$2:$D50, $D48))</f>
        <v>0</v>
      </c>
    </row>
    <row r="49">
      <c r="A49" s="496"/>
      <c r="B49" s="496"/>
      <c r="C49" s="494">
        <f t="shared" si="1"/>
        <v>45747</v>
      </c>
      <c r="D49" s="501"/>
      <c r="E49" s="496"/>
      <c r="F49" s="496"/>
      <c r="G49" s="497" t="s">
        <v>70</v>
      </c>
      <c r="H49" s="497" t="s">
        <v>76</v>
      </c>
      <c r="I49" s="498">
        <f>sumifs('Form responses'!$AE$2:$AE50, 'Form responses'!$C$2:$C50, "&lt;="&amp;$C49, 'Form responses'!$D$2:$D50,$D49)-(sumifs('Form responses'!$AF$2:$AF50, 'Form responses'!$C$2:$C50, "&lt;="&amp;$C49, 'Form responses'!$D$2:$D50,$D49))</f>
        <v>0</v>
      </c>
      <c r="J49" s="499"/>
      <c r="K49" s="499"/>
      <c r="L49" s="498">
        <f>sumifs('Form responses'!$AH$2:$AH50, 'Form responses'!$C$2:$C50, "&lt;="&amp;$C49, 'Form responses'!$D$2:$D50,$D49)-(sumifs('Form responses'!$AI$2:$AI50, 'Form responses'!$C$2:$C50, "&lt;="&amp;$C49, 'Form responses'!$D$2:$D50,$D49))</f>
        <v>0</v>
      </c>
      <c r="M49" s="499"/>
      <c r="N49" s="499"/>
      <c r="O49" s="498">
        <f>sumifs('Form responses'!$AN$2:$AN50, 'Form responses'!$C$2:$C50, "&lt;="&amp;$C49, 'Form responses'!$D$2:$D50,$D49)-(sumifs('Form responses'!$AO$2:$AO50, 'Form responses'!$C$2:$C50, "&lt;="&amp;$C49, 'Form responses'!$D$2:$D50,$D49))</f>
        <v>0</v>
      </c>
      <c r="P49" s="499"/>
      <c r="Q49" s="499"/>
      <c r="R49" s="498">
        <f>sumifs('Form responses'!AK$2:AK50, 'Form responses'!$C$2:$C50, "&lt;="&amp;$C49, 'Form responses'!$D$2:$D50,$D49)-(sumifs('Form responses'!AL$2:AL50, 'Form responses'!$C$2:$C50, "&lt;="&amp;$C49, 'Form responses'!$D$2:$D50,$D49))</f>
        <v>0</v>
      </c>
      <c r="S49" s="499"/>
      <c r="T49" s="499"/>
      <c r="U49" s="498">
        <f>sumifs('Form responses'!AQ$2:AQ50, 'Form responses'!$C$2:$C50, "&lt;="&amp;$C49, 'Form responses'!$D$2:$D50,$D49)-(sumifs('Form responses'!AR$2:AR50, 'Form responses'!$C$2:$C50, "&lt;="&amp;$C49, 'Form responses'!$D$2:$D50,$D49))</f>
        <v>0</v>
      </c>
      <c r="V49" s="499"/>
      <c r="W49" s="499"/>
      <c r="X49" s="498">
        <f>sumifs('Form responses'!AT$2:AT50, 'Form responses'!$C$2:$C50, "&lt;="&amp;$C49, 'Form responses'!$D$2:$D50,$D49)-(sumifs('Form responses'!AU$2:AU50, 'Form responses'!$C$2:$C50, "&lt;="&amp;$C49, 'Form responses'!$D$2:$D50,$D49))</f>
        <v>0</v>
      </c>
      <c r="Y49" s="499"/>
      <c r="Z49" s="499"/>
      <c r="AA49" s="498">
        <f>sumifs('Form responses'!AW$2:AW50, 'Form responses'!$C$2:$C50, "&lt;="&amp;$C49, 'Form responses'!$D$2:$D50,$D49)-(sumifs('Form responses'!AX$2:AX50, 'Form responses'!$C$2:$C50, "&lt;="&amp;$C49, 'Form responses'!$D$2:$D50,$D49))</f>
        <v>0</v>
      </c>
      <c r="AB49" s="500">
        <f>sumifs('Form responses'!AZ$2:AZ50, 'Form responses'!$C$2:$C50, "&lt;="&amp;$C49, 'Form responses'!$D$2:$D50,$D49)-(sumifs('Form responses'!BA$2:BA50, 'Form responses'!$C$2:$C50, "&lt;="&amp;$C49, 'Form responses'!$D$2:$D50,$D49))</f>
        <v>0</v>
      </c>
      <c r="AC49" s="499"/>
      <c r="AD49" s="498">
        <f>sumifs('Form responses'!ER$2:ER50,
'Form responses'!$D$2:$D50,$D49)
-(sumifs('Form responses'!FX$2:FX50,
'Form responses'!$D$2:$D50,$D49)
+sumifs('Form responses'!FH$2:FH50,
'Form responses'!$D$2:$D50,$D49)+sumifs('Form responses'!BF$2:BF50, 'Form responses'!$D$2:$D50, $D49))</f>
        <v>0</v>
      </c>
      <c r="AE49" s="498">
        <f>sumifs('Form responses'!ES$2:ES50,
'Form responses'!$D$2:$D50,$D49)
-(sumifs('Form responses'!FY$2:FY50,
'Form responses'!$D$2:$D50,$D49)
+sumifs('Form responses'!FI$2:FI50,
'Form responses'!$D$2:$D50,$D49)+sumifs('Form responses'!BH$2:BH50, 'Form responses'!$D$2:$D50, $D49))</f>
        <v>0</v>
      </c>
      <c r="AF49" s="498">
        <f>sumifs('Form responses'!ET$2:ET50,
'Form responses'!$D$2:$D50,$D49)
-(sumifs('Form responses'!FZ$2:FZ50,
'Form responses'!$D$2:$D50,$D49)
+sumifs('Form responses'!FJ$2:FJ50,
'Form responses'!$D$2:$D50,$D49)+sumifs('Form responses'!BJ$2:BJ50,'Form responses'!$D$2:$D50, $D49))</f>
        <v>0</v>
      </c>
      <c r="AG49" s="498">
        <f>sumifs('Form responses'!EU$2:EU50,
'Form responses'!$D$2:$D50,$D49)
-(sumifs('Form responses'!GA$2:GA50,
'Form responses'!$D$2:$D50,$D49)
+sumifs('Form responses'!FK$2:FK50,
'Form responses'!$D$2:$D50,$D49)+sumifs('Form responses'!BL$2:BL50, 'Form responses'!$D$2:$D50, $D49))</f>
        <v>0</v>
      </c>
      <c r="AH49" s="498">
        <f>sumifs('Form responses'!EV$2:EV50,
'Form responses'!$D$2:$D50,$D49)
-(sumifs('Form responses'!GB$2:GB50,
'Form responses'!$D$2:$D50,$D49)
+sumifs('Form responses'!FL$2:FL50,
'Form responses'!$D$2:$D50,$D49)+sumifs('Form responses'!BN$2:BN50,'Form responses'!$D$2:$D50, $D49))</f>
        <v>0</v>
      </c>
      <c r="AI49" s="498">
        <f>sumifs('Form responses'!EW$2:EW50,
'Form responses'!$D$2:$D50,$D49)
-(sumifs('Form responses'!GC$2:GC50,
'Form responses'!$D$2:$D50,$D49)
+sumifs('Form responses'!FM$2:FM50,
'Form responses'!$D$2:$D50,$D49)+sumifs('Form responses'!BP$2:BP50,'Form responses'!$D$2:$D50, $D49))</f>
        <v>0</v>
      </c>
      <c r="AJ49" s="485">
        <f>sumifs('Form responses'!EX$2:EX50,
'Form responses'!$D$2:$D50,$D49)
-(sumifs('Form responses'!GD$2:GD50,
'Form responses'!$D$2:$D50,$D49)
+sumifs('Form responses'!FN$2:FN50,
'Form responses'!$D$2:$D50,$D49)+sumifs('Form responses'!BR$2:BR50, 'Form responses'!$D$2:$D50, $D49))</f>
        <v>0</v>
      </c>
      <c r="AK49" s="485">
        <f>sumifs('Form responses'!EY$2:EY50,
'Form responses'!$D$2:$D50,$D49)
-(sumifs('Form responses'!GE$2:GE50,
'Form responses'!$D$2:$D50,$D49)
+sumifs('Form responses'!FO$2:FO50,
'Form responses'!$D$2:$D50,$D49)+sumifs('Form responses'!BT$2:BT50,'Form responses'!$D$2:$D50, $D49))</f>
        <v>0</v>
      </c>
      <c r="AL49" s="485">
        <f>sumifs('Form responses'!EZ$2:EZ50,
'Form responses'!$D$2:$D50,$D49)
-(sumifs('Form responses'!GF$2:GF50,
'Form responses'!$D$2:$D50,$D49)
+sumifs('Form responses'!FP$2:FP50,
'Form responses'!$D$2:$D50,$D49)+sumifs('Form responses'!BV$2:BV50,'Form responses'!$D$2:$D50, $D49))</f>
        <v>0</v>
      </c>
      <c r="AM49" s="485">
        <f>sumifs('Form responses'!FA$2:FA50,
'Form responses'!$D$2:$D50,$D49)
-(sumifs('Form responses'!GG$2:GG50,
'Form responses'!$D$2:$D50,$D49)
+sumifs('Form responses'!FQ$2:FQ50,
'Form responses'!$D$2:$D50,$D49)+sumifs('Form responses'!BX$2:BX50, 'Form responses'!$D$2:$D50, $D49))</f>
        <v>0</v>
      </c>
      <c r="AN49" s="498">
        <f>sumifs('Form responses'!FB$2:FB50,
'Form responses'!$D$2:$D50,$D49)
-(sumifs('Form responses'!GH$2:GH50,
'Form responses'!$D$2:$D50,$D49)
+sumifs('Form responses'!FR$2:FR50,
'Form responses'!$D$2:$D50,$D49)+sumifs('Form responses'!BZ$2:BZ50,'Form responses'!$D$2:$D50, $D49))</f>
        <v>0</v>
      </c>
      <c r="AO49" s="498">
        <f>sumifs('Form responses'!FC$2:FC50,
'Form responses'!$D$2:$D50,$D49)
-(sumifs('Form responses'!GI$2:GI50,
'Form responses'!$D$2:$D50,$D49)
+sumifs('Form responses'!FS$2:FS50,
'Form responses'!$D$2:$D50,$D49)+sumifs('Form responses'!CB$2:CB50,'Form responses'!$D$2:$D50, $D49))</f>
        <v>0</v>
      </c>
      <c r="AP49" s="486">
        <f>sumifs('Form responses'!FD$2:FD50,
'Form responses'!$D$2:$D50,$D49)
-(sumifs('Form responses'!GJ$2:GJ50,
'Form responses'!$D$2:$D50,$D49)
+sumifs('Form responses'!FT$2:FT50,
'Form responses'!$D$2:$D50,$D49)+sumifs('Form responses'!CD$2:CD50,'Form responses'!$D$2:$D50, $D49))</f>
        <v>0</v>
      </c>
      <c r="AQ49" s="486">
        <f>sumifs('Form responses'!FE$2:FE50,
'Form responses'!$D$2:$D50,$D49)
-(sumifs('Form responses'!GK$2:GK50,
'Form responses'!$D$2:$D50,$D49)
+sumifs('Form responses'!FU$2:FU50,
'Form responses'!$D$2:$D50,$D49)+sumifs('Form responses'!CF$2:CF50,'Form responses'!$D$2:$D50, $D49))</f>
        <v>0</v>
      </c>
    </row>
    <row r="50">
      <c r="A50" s="496"/>
      <c r="B50" s="496"/>
      <c r="C50" s="494"/>
      <c r="D50" s="8" t="s">
        <v>850</v>
      </c>
      <c r="E50" s="496"/>
      <c r="F50" s="496"/>
      <c r="G50" s="497"/>
      <c r="H50" s="497"/>
      <c r="I50" s="498">
        <f>sumifs('Form responses'!$AE$2:$AE50, 'Form responses'!$C$2:$C50, "&lt;="&amp;$C50, 'Form responses'!$D$2:$D50,$D50)-(sumifs('Form responses'!$AF$2:$AF50, 'Form responses'!$C$2:$C50, "&lt;="&amp;$C50, 'Form responses'!$D$2:$D50,$D50))</f>
        <v>0</v>
      </c>
      <c r="J50" s="499"/>
      <c r="K50" s="499"/>
      <c r="L50" s="498">
        <f>sumifs('Form responses'!$AH$2:$AH50, 'Form responses'!$C$2:$C50, "&lt;="&amp;$C50, 'Form responses'!$D$2:$D50,$D50)-(sumifs('Form responses'!$AI$2:$AI50, 'Form responses'!$C$2:$C50, "&lt;="&amp;$C50, 'Form responses'!$D$2:$D50,$D50))</f>
        <v>0</v>
      </c>
      <c r="M50" s="499"/>
      <c r="N50" s="499"/>
      <c r="O50" s="498">
        <f>sumifs('Form responses'!$AN$2:$AN50, 'Form responses'!$C$2:$C50, "&lt;="&amp;$C50, 'Form responses'!$D$2:$D50,$D50)-(sumifs('Form responses'!$AO$2:$AO50, 'Form responses'!$C$2:$C50, "&lt;="&amp;$C50, 'Form responses'!$D$2:$D50,$D50))</f>
        <v>0</v>
      </c>
      <c r="P50" s="499"/>
      <c r="Q50" s="499"/>
      <c r="R50" s="498">
        <f>sumifs('Form responses'!AK$2:AK50, 'Form responses'!$C$2:$C50, "&lt;="&amp;$C50, 'Form responses'!$D$2:$D50,$D50)-(sumifs('Form responses'!AL$2:AL50, 'Form responses'!$C$2:$C50, "&lt;="&amp;$C50, 'Form responses'!$D$2:$D50,$D50))</f>
        <v>0</v>
      </c>
      <c r="S50" s="499"/>
      <c r="T50" s="499"/>
      <c r="U50" s="498">
        <f>sumifs('Form responses'!AQ$2:AQ50, 'Form responses'!$C$2:$C50, "&lt;="&amp;$C50, 'Form responses'!$D$2:$D50,$D50)-(sumifs('Form responses'!AR$2:AR50, 'Form responses'!$C$2:$C50, "&lt;="&amp;$C50, 'Form responses'!$D$2:$D50,$D50))</f>
        <v>0</v>
      </c>
      <c r="V50" s="499"/>
      <c r="W50" s="499"/>
      <c r="X50" s="498">
        <f>sumifs('Form responses'!AT$2:AT50, 'Form responses'!$C$2:$C50, "&lt;="&amp;$C50, 'Form responses'!$D$2:$D50,$D50)-(sumifs('Form responses'!AU$2:AU50, 'Form responses'!$C$2:$C50, "&lt;="&amp;$C50, 'Form responses'!$D$2:$D50,$D50))</f>
        <v>0</v>
      </c>
      <c r="Y50" s="499"/>
      <c r="Z50" s="499"/>
      <c r="AA50" s="498">
        <f>sumifs('Form responses'!AW$2:AW50, 'Form responses'!$C$2:$C50, "&lt;="&amp;$C50, 'Form responses'!$D$2:$D50,$D50)-(sumifs('Form responses'!AX$2:AX50, 'Form responses'!$C$2:$C50, "&lt;="&amp;$C50, 'Form responses'!$D$2:$D50,$D50))</f>
        <v>0</v>
      </c>
      <c r="AB50" s="500">
        <f>sumifs('Form responses'!AZ$2:AZ50, 'Form responses'!$C$2:$C50, "&lt;="&amp;$C50, 'Form responses'!$D$2:$D50,$D50)-(sumifs('Form responses'!BA$2:BA50, 'Form responses'!$C$2:$C50, "&lt;="&amp;$C50, 'Form responses'!$D$2:$D50,$D50))</f>
        <v>0</v>
      </c>
      <c r="AC50" s="499"/>
      <c r="AD50" s="498">
        <f>sumifs('Form responses'!ER$2:ER50,
'Form responses'!$D$2:$D50,$D50)
-(sumifs('Form responses'!FX$2:FX50,
'Form responses'!$D$2:$D50,$D50)
+sumifs('Form responses'!FH$2:FH50,
'Form responses'!$D$2:$D50,$D50)+sumifs('Form responses'!BF$2:BF50, 'Form responses'!$D$2:$D50, $D50))</f>
        <v>0</v>
      </c>
      <c r="AE50" s="498">
        <f>sumifs('Form responses'!ES$2:ES50,
'Form responses'!$D$2:$D50,$D50)
-(sumifs('Form responses'!FY$2:FY50,
'Form responses'!$D$2:$D50,$D50)
+sumifs('Form responses'!FI$2:FI50,
'Form responses'!$D$2:$D50,$D50)+sumifs('Form responses'!BH$2:BH50, 'Form responses'!$D$2:$D50, $D50))</f>
        <v>0</v>
      </c>
      <c r="AF50" s="498">
        <f>sumifs('Form responses'!ET$2:ET50,
'Form responses'!$D$2:$D50,$D50)
-(sumifs('Form responses'!FZ$2:FZ50,
'Form responses'!$D$2:$D50,$D50)
+sumifs('Form responses'!FJ$2:FJ50,
'Form responses'!$D$2:$D50,$D50)+sumifs('Form responses'!BJ$2:BJ50,'Form responses'!$D$2:$D50, $D50))</f>
        <v>0</v>
      </c>
      <c r="AG50" s="498">
        <f>sumifs('Form responses'!EU$2:EU50,
'Form responses'!$D$2:$D50,$D50)
-(sumifs('Form responses'!GA$2:GA50,
'Form responses'!$D$2:$D50,$D50)
+sumifs('Form responses'!FK$2:FK50,
'Form responses'!$D$2:$D50,$D50)+sumifs('Form responses'!BL$2:BL50, 'Form responses'!$D$2:$D50, $D50))</f>
        <v>0</v>
      </c>
      <c r="AH50" s="498">
        <f>sumifs('Form responses'!EV$2:EV50,
'Form responses'!$D$2:$D50,$D50)
-(sumifs('Form responses'!GB$2:GB50,
'Form responses'!$D$2:$D50,$D50)
+sumifs('Form responses'!FL$2:FL50,
'Form responses'!$D$2:$D50,$D50)+sumifs('Form responses'!BN$2:BN50,'Form responses'!$D$2:$D50, $D50))</f>
        <v>0</v>
      </c>
      <c r="AI50" s="498">
        <f>sumifs('Form responses'!EW$2:EW50,
'Form responses'!$D$2:$D50,$D50)
-(sumifs('Form responses'!GC$2:GC50,
'Form responses'!$D$2:$D50,$D50)
+sumifs('Form responses'!FM$2:FM50,
'Form responses'!$D$2:$D50,$D50)+sumifs('Form responses'!BP$2:BP50,'Form responses'!$D$2:$D50, $D50))</f>
        <v>0</v>
      </c>
      <c r="AJ50" s="485">
        <f>sumifs('Form responses'!EX$2:EX50,
'Form responses'!$D$2:$D50,$D50)
-(sumifs('Form responses'!GD$2:GD50,
'Form responses'!$D$2:$D50,$D50)
+sumifs('Form responses'!FN$2:FN50,
'Form responses'!$D$2:$D50,$D50)+sumifs('Form responses'!BR$2:BR50, 'Form responses'!$D$2:$D50, $D50))</f>
        <v>0</v>
      </c>
      <c r="AK50" s="485">
        <f>sumifs('Form responses'!EY$2:EY50,
'Form responses'!$D$2:$D50,$D50)
-(sumifs('Form responses'!GE$2:GE50,
'Form responses'!$D$2:$D50,$D50)
+sumifs('Form responses'!FO$2:FO50,
'Form responses'!$D$2:$D50,$D50)+sumifs('Form responses'!BT$2:BT50,'Form responses'!$D$2:$D50, $D50))</f>
        <v>0</v>
      </c>
      <c r="AL50" s="485">
        <f>sumifs('Form responses'!EZ$2:EZ50,
'Form responses'!$D$2:$D50,$D50)
-(sumifs('Form responses'!GF$2:GF50,
'Form responses'!$D$2:$D50,$D50)
+sumifs('Form responses'!FP$2:FP50,
'Form responses'!$D$2:$D50,$D50)+sumifs('Form responses'!BV$2:BV50,'Form responses'!$D$2:$D50, $D50))</f>
        <v>0</v>
      </c>
      <c r="AM50" s="485">
        <f>sumifs('Form responses'!FA$2:FA50,
'Form responses'!$D$2:$D50,$D50)
-(sumifs('Form responses'!GG$2:GG50,
'Form responses'!$D$2:$D50,$D50)
+sumifs('Form responses'!FQ$2:FQ50,
'Form responses'!$D$2:$D50,$D50)+sumifs('Form responses'!BX$2:BX50, 'Form responses'!$D$2:$D50, $D50))</f>
        <v>0</v>
      </c>
      <c r="AN50" s="498">
        <f>sumifs('Form responses'!FB$2:FB50,
'Form responses'!$D$2:$D50,$D50)
-(sumifs('Form responses'!GH$2:GH50,
'Form responses'!$D$2:$D50,$D50)
+sumifs('Form responses'!FR$2:FR50,
'Form responses'!$D$2:$D50,$D50)+sumifs('Form responses'!BZ$2:BZ50,'Form responses'!$D$2:$D50, $D50))</f>
        <v>0</v>
      </c>
      <c r="AO50" s="498">
        <f>sumifs('Form responses'!FC$2:FC50,
'Form responses'!$D$2:$D50,$D50)
-(sumifs('Form responses'!GI$2:GI50,
'Form responses'!$D$2:$D50,$D50)
+sumifs('Form responses'!FS$2:FS50,
'Form responses'!$D$2:$D50,$D50)+sumifs('Form responses'!CB$2:CB50,'Form responses'!$D$2:$D50, $D50))</f>
        <v>0</v>
      </c>
      <c r="AP50" s="486">
        <f>sumifs('Form responses'!FD$2:FD50,
'Form responses'!$D$2:$D50,$D50)
-(sumifs('Form responses'!GJ$2:GJ50,
'Form responses'!$D$2:$D50,$D50)
+sumifs('Form responses'!FT$2:FT50,
'Form responses'!$D$2:$D50,$D50)+sumifs('Form responses'!CD$2:CD50,'Form responses'!$D$2:$D50, $D50))</f>
        <v>0</v>
      </c>
      <c r="AQ50" s="486">
        <f>sumifs('Form responses'!FE$2:FE50,
'Form responses'!$D$2:$D50,$D50)
-(sumifs('Form responses'!GK$2:GK50,
'Form responses'!$D$2:$D50,$D50)
+sumifs('Form responses'!FU$2:FU50,
'Form responses'!$D$2:$D50,$D50)+sumifs('Form responses'!CF$2:CF50,'Form responses'!$D$2:$D50, $D50))</f>
        <v>0</v>
      </c>
    </row>
  </sheetData>
  <dataValidations>
    <dataValidation type="list" allowBlank="1" showDropDown="1" sqref="E2:E3">
      <formula1>Credentials!$A$3:$A50</formula1>
    </dataValidation>
  </dataValidation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6.88"/>
  </cols>
  <sheetData>
    <row r="1">
      <c r="A1" s="502" t="s">
        <v>45</v>
      </c>
      <c r="B1" s="503" t="s">
        <v>46</v>
      </c>
      <c r="C1" s="503" t="s">
        <v>47</v>
      </c>
      <c r="D1" s="503" t="s">
        <v>48</v>
      </c>
      <c r="E1" s="503" t="s">
        <v>49</v>
      </c>
      <c r="F1" s="503" t="s">
        <v>50</v>
      </c>
      <c r="G1" s="503" t="s">
        <v>63</v>
      </c>
      <c r="H1" s="503" t="s">
        <v>851</v>
      </c>
      <c r="I1" s="503" t="s">
        <v>852</v>
      </c>
    </row>
    <row r="2">
      <c r="A2" s="502"/>
      <c r="B2" s="503"/>
      <c r="C2" s="503"/>
      <c r="D2" s="503"/>
      <c r="E2" s="503"/>
      <c r="F2" s="503"/>
      <c r="G2" s="503"/>
      <c r="H2" s="503"/>
      <c r="I2" s="503"/>
    </row>
    <row r="3">
      <c r="A3" s="502"/>
      <c r="B3" s="503"/>
      <c r="C3" s="503"/>
      <c r="D3" s="503"/>
      <c r="E3" s="503"/>
      <c r="F3" s="503"/>
      <c r="G3" s="503"/>
      <c r="H3" s="503"/>
      <c r="I3" s="503"/>
    </row>
    <row r="4">
      <c r="A4" s="502"/>
      <c r="B4" s="503"/>
      <c r="C4" s="503"/>
      <c r="D4" s="503"/>
      <c r="E4" s="503"/>
      <c r="F4" s="503"/>
      <c r="G4" s="503"/>
      <c r="H4" s="503"/>
      <c r="I4" s="503"/>
    </row>
    <row r="5">
      <c r="A5" s="502"/>
      <c r="B5" s="503"/>
      <c r="C5" s="503"/>
      <c r="D5" s="503"/>
      <c r="E5" s="503"/>
      <c r="F5" s="503"/>
      <c r="G5" s="503"/>
      <c r="H5" s="503"/>
      <c r="I5" s="503"/>
    </row>
    <row r="6">
      <c r="A6" s="502"/>
      <c r="B6" s="503"/>
      <c r="C6" s="503"/>
      <c r="D6" s="503"/>
      <c r="E6" s="503"/>
      <c r="F6" s="503"/>
      <c r="G6" s="503"/>
      <c r="H6" s="503"/>
      <c r="I6" s="503"/>
    </row>
    <row r="7">
      <c r="A7" s="502"/>
      <c r="B7" s="503"/>
      <c r="C7" s="503"/>
      <c r="D7" s="503"/>
      <c r="E7" s="503"/>
      <c r="F7" s="503"/>
      <c r="G7" s="503"/>
      <c r="H7" s="503"/>
      <c r="I7" s="503"/>
    </row>
    <row r="8">
      <c r="A8" s="502"/>
      <c r="B8" s="503"/>
      <c r="C8" s="503"/>
      <c r="D8" s="503"/>
      <c r="E8" s="503"/>
      <c r="F8" s="503"/>
      <c r="G8" s="503"/>
      <c r="H8" s="503"/>
      <c r="I8" s="503"/>
    </row>
    <row r="9">
      <c r="A9" s="502"/>
      <c r="B9" s="503"/>
      <c r="C9" s="503"/>
      <c r="D9" s="503"/>
      <c r="E9" s="503"/>
      <c r="F9" s="503"/>
      <c r="G9" s="503"/>
      <c r="H9" s="503"/>
      <c r="I9" s="503"/>
    </row>
    <row r="10">
      <c r="A10" s="502"/>
      <c r="B10" s="503"/>
      <c r="C10" s="503"/>
      <c r="D10" s="503"/>
      <c r="E10" s="503"/>
      <c r="F10" s="503"/>
      <c r="G10" s="503"/>
      <c r="H10" s="503"/>
      <c r="I10" s="503"/>
    </row>
    <row r="11">
      <c r="A11" s="502"/>
      <c r="B11" s="503"/>
      <c r="C11" s="503"/>
      <c r="D11" s="503"/>
      <c r="E11" s="503"/>
      <c r="F11" s="503"/>
      <c r="G11" s="503"/>
      <c r="H11" s="503"/>
      <c r="I11" s="503"/>
    </row>
    <row r="12">
      <c r="A12" s="502"/>
      <c r="B12" s="503"/>
      <c r="C12" s="503"/>
      <c r="D12" s="503"/>
      <c r="E12" s="503"/>
      <c r="F12" s="503"/>
      <c r="G12" s="503"/>
      <c r="H12" s="503"/>
      <c r="I12" s="503"/>
    </row>
    <row r="13">
      <c r="A13" s="502"/>
      <c r="B13" s="503"/>
      <c r="C13" s="503"/>
      <c r="D13" s="503"/>
      <c r="E13" s="503"/>
      <c r="F13" s="503"/>
      <c r="G13" s="503"/>
      <c r="H13" s="503"/>
      <c r="I13" s="503"/>
    </row>
    <row r="14">
      <c r="A14" s="502"/>
      <c r="B14" s="503"/>
      <c r="C14" s="503"/>
      <c r="D14" s="503"/>
      <c r="E14" s="503"/>
      <c r="F14" s="503"/>
      <c r="G14" s="503"/>
      <c r="H14" s="503"/>
      <c r="I14" s="503"/>
    </row>
    <row r="15">
      <c r="A15" s="502"/>
      <c r="B15" s="503"/>
      <c r="C15" s="503"/>
      <c r="D15" s="503"/>
      <c r="E15" s="503"/>
      <c r="F15" s="503"/>
      <c r="G15" s="503"/>
      <c r="H15" s="503"/>
      <c r="I15" s="503"/>
    </row>
    <row r="16">
      <c r="A16" s="502"/>
      <c r="B16" s="503"/>
      <c r="C16" s="503"/>
      <c r="D16" s="503"/>
      <c r="E16" s="503"/>
      <c r="F16" s="503"/>
      <c r="G16" s="503"/>
      <c r="H16" s="503"/>
      <c r="I16" s="503"/>
    </row>
    <row r="17">
      <c r="A17" s="502"/>
      <c r="B17" s="503"/>
      <c r="C17" s="503"/>
      <c r="D17" s="503"/>
      <c r="E17" s="503"/>
      <c r="F17" s="503"/>
      <c r="G17" s="503"/>
      <c r="H17" s="503"/>
      <c r="I17" s="503"/>
    </row>
    <row r="18">
      <c r="A18" s="502"/>
      <c r="B18" s="503"/>
      <c r="C18" s="503"/>
      <c r="D18" s="503"/>
      <c r="E18" s="503"/>
      <c r="F18" s="503"/>
      <c r="G18" s="503"/>
      <c r="H18" s="503"/>
      <c r="I18" s="503"/>
    </row>
    <row r="19">
      <c r="A19" s="502"/>
      <c r="B19" s="503"/>
      <c r="C19" s="503"/>
      <c r="D19" s="503"/>
      <c r="E19" s="503"/>
      <c r="F19" s="503"/>
      <c r="G19" s="503"/>
      <c r="H19" s="503"/>
      <c r="I19" s="503"/>
    </row>
    <row r="20">
      <c r="A20" s="502"/>
      <c r="B20" s="503"/>
      <c r="C20" s="503"/>
      <c r="D20" s="503"/>
      <c r="E20" s="503"/>
      <c r="F20" s="503"/>
      <c r="G20" s="503"/>
      <c r="H20" s="503"/>
      <c r="I20" s="503"/>
    </row>
    <row r="21">
      <c r="A21" s="502"/>
      <c r="B21" s="503"/>
      <c r="C21" s="503"/>
      <c r="D21" s="503"/>
      <c r="E21" s="503"/>
      <c r="F21" s="503"/>
      <c r="G21" s="503"/>
      <c r="H21" s="503"/>
      <c r="I21" s="503"/>
    </row>
    <row r="22">
      <c r="A22" s="502"/>
      <c r="B22" s="503"/>
      <c r="C22" s="503"/>
      <c r="D22" s="503"/>
      <c r="E22" s="503"/>
      <c r="F22" s="503"/>
      <c r="G22" s="503"/>
      <c r="H22" s="503"/>
      <c r="I22" s="503"/>
    </row>
    <row r="23">
      <c r="A23" s="502"/>
      <c r="B23" s="503"/>
      <c r="C23" s="503"/>
      <c r="D23" s="503"/>
      <c r="E23" s="503"/>
      <c r="F23" s="503"/>
      <c r="G23" s="503"/>
      <c r="H23" s="503"/>
      <c r="I23" s="503"/>
    </row>
    <row r="24">
      <c r="A24" s="502"/>
      <c r="B24" s="503"/>
      <c r="C24" s="503"/>
      <c r="D24" s="503"/>
      <c r="E24" s="503"/>
      <c r="F24" s="503"/>
      <c r="G24" s="503"/>
      <c r="H24" s="503"/>
      <c r="I24" s="503"/>
    </row>
    <row r="25">
      <c r="A25" s="502"/>
      <c r="B25" s="503"/>
      <c r="C25" s="503"/>
      <c r="D25" s="503"/>
      <c r="E25" s="503"/>
      <c r="F25" s="503"/>
      <c r="G25" s="503"/>
      <c r="H25" s="503"/>
      <c r="I25" s="503"/>
    </row>
    <row r="26">
      <c r="A26" s="502"/>
      <c r="B26" s="503"/>
      <c r="C26" s="503"/>
      <c r="D26" s="503"/>
      <c r="E26" s="503"/>
      <c r="F26" s="503"/>
      <c r="G26" s="503"/>
      <c r="H26" s="503"/>
      <c r="I26" s="503"/>
    </row>
    <row r="27">
      <c r="A27" s="502"/>
      <c r="B27" s="503"/>
      <c r="C27" s="503"/>
      <c r="D27" s="503"/>
      <c r="E27" s="503"/>
      <c r="F27" s="503"/>
      <c r="G27" s="503"/>
      <c r="H27" s="503"/>
      <c r="I27" s="503"/>
    </row>
    <row r="28">
      <c r="A28" s="502"/>
      <c r="B28" s="503"/>
      <c r="C28" s="503"/>
      <c r="D28" s="503"/>
      <c r="E28" s="503"/>
      <c r="F28" s="503"/>
      <c r="G28" s="503"/>
      <c r="H28" s="503"/>
      <c r="I28" s="503"/>
    </row>
    <row r="29">
      <c r="A29" s="502"/>
      <c r="B29" s="503"/>
      <c r="C29" s="503"/>
      <c r="D29" s="503"/>
      <c r="E29" s="503"/>
      <c r="F29" s="503"/>
      <c r="G29" s="503"/>
      <c r="H29" s="503"/>
      <c r="I29" s="503"/>
    </row>
    <row r="30">
      <c r="A30" s="502"/>
      <c r="B30" s="503"/>
      <c r="C30" s="503"/>
      <c r="D30" s="503"/>
      <c r="E30" s="503"/>
      <c r="F30" s="503"/>
      <c r="G30" s="503"/>
      <c r="H30" s="503"/>
      <c r="I30" s="503"/>
    </row>
    <row r="31">
      <c r="A31" s="502"/>
      <c r="B31" s="503"/>
      <c r="C31" s="503"/>
      <c r="D31" s="503"/>
      <c r="E31" s="503"/>
      <c r="F31" s="503"/>
      <c r="G31" s="503"/>
      <c r="H31" s="503"/>
      <c r="I31" s="503"/>
    </row>
    <row r="32">
      <c r="A32" s="502"/>
      <c r="B32" s="503"/>
      <c r="C32" s="503"/>
      <c r="D32" s="503"/>
      <c r="E32" s="503"/>
      <c r="F32" s="503"/>
      <c r="G32" s="503"/>
      <c r="H32" s="503"/>
      <c r="I32" s="503"/>
    </row>
    <row r="33">
      <c r="A33" s="502"/>
      <c r="B33" s="503"/>
      <c r="C33" s="503"/>
      <c r="D33" s="503"/>
      <c r="E33" s="503"/>
      <c r="F33" s="503"/>
      <c r="G33" s="503"/>
      <c r="H33" s="503"/>
      <c r="I33" s="503"/>
    </row>
    <row r="34">
      <c r="A34" s="502"/>
      <c r="B34" s="503"/>
      <c r="C34" s="503"/>
      <c r="D34" s="503"/>
      <c r="E34" s="503"/>
      <c r="F34" s="503"/>
      <c r="G34" s="503"/>
      <c r="H34" s="503"/>
      <c r="I34" s="503"/>
    </row>
    <row r="35">
      <c r="A35" s="502"/>
      <c r="B35" s="503"/>
      <c r="C35" s="503"/>
      <c r="D35" s="503"/>
      <c r="E35" s="503"/>
      <c r="F35" s="503"/>
      <c r="G35" s="503"/>
      <c r="H35" s="503"/>
      <c r="I35" s="503"/>
    </row>
    <row r="36">
      <c r="A36" s="502"/>
      <c r="B36" s="503"/>
      <c r="C36" s="503"/>
      <c r="D36" s="503"/>
      <c r="E36" s="503"/>
      <c r="F36" s="503"/>
      <c r="G36" s="503"/>
      <c r="H36" s="503"/>
      <c r="I36" s="503"/>
    </row>
    <row r="37">
      <c r="A37" s="502"/>
      <c r="B37" s="503"/>
      <c r="C37" s="503"/>
      <c r="D37" s="503"/>
      <c r="E37" s="503"/>
      <c r="F37" s="503"/>
      <c r="G37" s="503"/>
      <c r="H37" s="503"/>
      <c r="I37" s="503"/>
    </row>
    <row r="38">
      <c r="A38" s="502"/>
      <c r="B38" s="503"/>
      <c r="C38" s="503"/>
      <c r="D38" s="503"/>
      <c r="E38" s="503"/>
      <c r="F38" s="503"/>
      <c r="G38" s="503"/>
      <c r="H38" s="503"/>
      <c r="I38" s="503"/>
    </row>
    <row r="39">
      <c r="A39" s="502"/>
      <c r="B39" s="503"/>
      <c r="C39" s="503"/>
      <c r="D39" s="503"/>
      <c r="E39" s="503"/>
      <c r="F39" s="503"/>
      <c r="G39" s="503"/>
      <c r="H39" s="503"/>
      <c r="I39" s="503"/>
    </row>
    <row r="40">
      <c r="A40" s="502"/>
      <c r="B40" s="503"/>
      <c r="C40" s="503"/>
      <c r="D40" s="503"/>
      <c r="E40" s="503"/>
      <c r="F40" s="503"/>
      <c r="G40" s="503"/>
      <c r="H40" s="503"/>
      <c r="I40" s="503"/>
    </row>
    <row r="41">
      <c r="A41" s="502"/>
      <c r="B41" s="503"/>
      <c r="C41" s="503"/>
      <c r="D41" s="503"/>
      <c r="E41" s="503"/>
      <c r="F41" s="503"/>
      <c r="G41" s="503"/>
      <c r="H41" s="503"/>
      <c r="I41" s="503"/>
    </row>
    <row r="42">
      <c r="A42" s="502"/>
      <c r="B42" s="503"/>
      <c r="C42" s="503"/>
      <c r="D42" s="503"/>
      <c r="E42" s="503"/>
      <c r="F42" s="503"/>
      <c r="G42" s="503"/>
      <c r="H42" s="503"/>
      <c r="I42" s="503"/>
    </row>
    <row r="43">
      <c r="A43" s="502"/>
      <c r="B43" s="503"/>
      <c r="C43" s="503"/>
      <c r="D43" s="503"/>
      <c r="E43" s="503"/>
      <c r="F43" s="503"/>
      <c r="G43" s="503"/>
      <c r="H43" s="503"/>
      <c r="I43" s="503"/>
    </row>
    <row r="44">
      <c r="A44" s="502"/>
      <c r="B44" s="503"/>
      <c r="C44" s="503"/>
      <c r="D44" s="503"/>
      <c r="E44" s="503"/>
      <c r="F44" s="503"/>
      <c r="G44" s="503"/>
      <c r="H44" s="503"/>
      <c r="I44" s="503"/>
    </row>
    <row r="45">
      <c r="A45" s="502"/>
      <c r="B45" s="503"/>
      <c r="C45" s="503"/>
      <c r="D45" s="503"/>
      <c r="E45" s="503"/>
      <c r="F45" s="503"/>
      <c r="G45" s="503"/>
      <c r="H45" s="503"/>
      <c r="I45" s="503"/>
    </row>
    <row r="46">
      <c r="A46" s="502"/>
      <c r="B46" s="503"/>
      <c r="C46" s="503"/>
      <c r="D46" s="503"/>
      <c r="E46" s="503"/>
      <c r="F46" s="503"/>
      <c r="G46" s="503"/>
      <c r="H46" s="503"/>
      <c r="I46" s="503"/>
    </row>
    <row r="47">
      <c r="A47" s="502"/>
      <c r="B47" s="503"/>
      <c r="C47" s="503"/>
      <c r="D47" s="503"/>
      <c r="E47" s="503"/>
      <c r="F47" s="503"/>
      <c r="G47" s="503"/>
      <c r="H47" s="503"/>
      <c r="I47" s="503"/>
    </row>
    <row r="48">
      <c r="A48" s="502"/>
      <c r="B48" s="503"/>
      <c r="C48" s="503"/>
      <c r="D48" s="503"/>
      <c r="E48" s="503"/>
      <c r="F48" s="503"/>
      <c r="G48" s="503"/>
      <c r="H48" s="503"/>
      <c r="I48" s="503"/>
    </row>
    <row r="49">
      <c r="A49" s="502"/>
      <c r="B49" s="503"/>
      <c r="C49" s="503"/>
      <c r="D49" s="503"/>
      <c r="E49" s="503"/>
      <c r="F49" s="503"/>
      <c r="G49" s="503"/>
      <c r="H49" s="503"/>
      <c r="I49" s="503"/>
    </row>
    <row r="50">
      <c r="A50" s="502"/>
      <c r="B50" s="503"/>
      <c r="C50" s="503"/>
      <c r="D50" s="503"/>
      <c r="E50" s="503"/>
      <c r="F50" s="503"/>
      <c r="G50" s="503"/>
      <c r="H50" s="503"/>
      <c r="I50" s="503"/>
    </row>
    <row r="51">
      <c r="A51" s="502"/>
      <c r="B51" s="503"/>
      <c r="C51" s="503"/>
      <c r="D51" s="503"/>
      <c r="E51" s="503"/>
      <c r="F51" s="503"/>
      <c r="G51" s="503"/>
      <c r="H51" s="503"/>
      <c r="I51" s="503"/>
    </row>
    <row r="52">
      <c r="A52" s="502"/>
      <c r="B52" s="503"/>
      <c r="C52" s="503"/>
      <c r="D52" s="503"/>
      <c r="E52" s="503"/>
      <c r="F52" s="503"/>
      <c r="G52" s="503"/>
      <c r="H52" s="503"/>
      <c r="I52" s="503"/>
    </row>
    <row r="53">
      <c r="A53" s="502"/>
      <c r="B53" s="503"/>
      <c r="C53" s="503"/>
      <c r="D53" s="503"/>
      <c r="E53" s="503"/>
      <c r="F53" s="503"/>
      <c r="G53" s="503"/>
      <c r="H53" s="503"/>
      <c r="I53" s="503"/>
    </row>
    <row r="54">
      <c r="A54" s="502"/>
      <c r="B54" s="503"/>
      <c r="C54" s="503"/>
      <c r="D54" s="503"/>
      <c r="E54" s="503"/>
      <c r="F54" s="503"/>
      <c r="G54" s="503"/>
      <c r="H54" s="503"/>
      <c r="I54" s="503"/>
    </row>
    <row r="55">
      <c r="A55" s="502"/>
      <c r="B55" s="503"/>
      <c r="C55" s="503"/>
      <c r="D55" s="503"/>
      <c r="E55" s="503"/>
      <c r="F55" s="503"/>
      <c r="G55" s="503"/>
      <c r="H55" s="503"/>
      <c r="I55" s="503"/>
    </row>
    <row r="56">
      <c r="A56" s="502"/>
      <c r="B56" s="503"/>
      <c r="C56" s="503"/>
      <c r="D56" s="503"/>
      <c r="E56" s="503"/>
      <c r="F56" s="503"/>
      <c r="G56" s="503"/>
      <c r="H56" s="503"/>
      <c r="I56" s="503"/>
    </row>
    <row r="57">
      <c r="A57" s="502"/>
      <c r="B57" s="503"/>
      <c r="C57" s="503"/>
      <c r="D57" s="503"/>
      <c r="E57" s="503"/>
      <c r="F57" s="503"/>
      <c r="G57" s="503"/>
      <c r="H57" s="503"/>
      <c r="I57" s="503"/>
    </row>
    <row r="58">
      <c r="A58" s="502"/>
      <c r="B58" s="503"/>
      <c r="C58" s="503"/>
      <c r="D58" s="503"/>
      <c r="E58" s="503"/>
      <c r="F58" s="503"/>
      <c r="G58" s="503"/>
      <c r="H58" s="503"/>
      <c r="I58" s="503"/>
    </row>
    <row r="59">
      <c r="A59" s="502"/>
      <c r="B59" s="503"/>
      <c r="C59" s="503"/>
      <c r="D59" s="503"/>
      <c r="E59" s="503"/>
      <c r="F59" s="503"/>
      <c r="G59" s="503"/>
      <c r="H59" s="503"/>
      <c r="I59" s="503"/>
    </row>
    <row r="60">
      <c r="A60" s="502"/>
      <c r="B60" s="503"/>
      <c r="C60" s="503"/>
      <c r="D60" s="503"/>
      <c r="E60" s="503"/>
      <c r="F60" s="503"/>
      <c r="G60" s="503"/>
      <c r="H60" s="503"/>
      <c r="I60" s="503"/>
    </row>
    <row r="61">
      <c r="A61" s="502"/>
      <c r="B61" s="503"/>
      <c r="C61" s="503"/>
      <c r="D61" s="503"/>
      <c r="E61" s="503"/>
      <c r="F61" s="503"/>
      <c r="G61" s="503"/>
      <c r="H61" s="503"/>
      <c r="I61" s="503"/>
    </row>
    <row r="62">
      <c r="A62" s="502"/>
      <c r="B62" s="503"/>
      <c r="C62" s="503"/>
      <c r="D62" s="503"/>
      <c r="E62" s="503"/>
      <c r="F62" s="503"/>
      <c r="G62" s="503"/>
      <c r="H62" s="503"/>
      <c r="I62" s="503"/>
    </row>
    <row r="63">
      <c r="A63" s="502"/>
      <c r="B63" s="503"/>
      <c r="C63" s="503"/>
      <c r="D63" s="503"/>
      <c r="E63" s="503"/>
      <c r="F63" s="503"/>
      <c r="G63" s="503"/>
      <c r="H63" s="503"/>
      <c r="I63" s="503"/>
    </row>
    <row r="64">
      <c r="A64" s="502"/>
      <c r="B64" s="503"/>
      <c r="C64" s="503"/>
      <c r="D64" s="503"/>
      <c r="E64" s="503"/>
      <c r="F64" s="503"/>
      <c r="G64" s="503"/>
      <c r="H64" s="503"/>
      <c r="I64" s="503"/>
    </row>
    <row r="65">
      <c r="A65" s="502"/>
      <c r="B65" s="503"/>
      <c r="C65" s="503"/>
      <c r="D65" s="503"/>
      <c r="E65" s="503"/>
      <c r="F65" s="503"/>
      <c r="G65" s="503"/>
      <c r="H65" s="503"/>
      <c r="I65" s="503"/>
    </row>
    <row r="66">
      <c r="A66" s="502"/>
      <c r="B66" s="503"/>
      <c r="C66" s="503"/>
      <c r="D66" s="503"/>
      <c r="E66" s="503"/>
      <c r="F66" s="503"/>
      <c r="G66" s="503"/>
      <c r="H66" s="503"/>
      <c r="I66" s="503"/>
    </row>
    <row r="67">
      <c r="A67" s="502"/>
      <c r="B67" s="503"/>
      <c r="C67" s="503"/>
      <c r="D67" s="503"/>
      <c r="E67" s="503"/>
      <c r="F67" s="503"/>
      <c r="G67" s="503"/>
      <c r="H67" s="503"/>
      <c r="I67" s="503"/>
    </row>
    <row r="68">
      <c r="A68" s="502"/>
      <c r="B68" s="503"/>
      <c r="C68" s="503"/>
      <c r="D68" s="503"/>
      <c r="E68" s="503"/>
      <c r="F68" s="503"/>
      <c r="G68" s="503"/>
      <c r="H68" s="503"/>
      <c r="I68" s="503"/>
    </row>
    <row r="69">
      <c r="A69" s="502"/>
      <c r="B69" s="503"/>
      <c r="C69" s="503"/>
      <c r="D69" s="503"/>
      <c r="E69" s="503"/>
      <c r="F69" s="503"/>
      <c r="G69" s="503"/>
      <c r="H69" s="503"/>
      <c r="I69" s="503"/>
    </row>
    <row r="70">
      <c r="A70" s="502"/>
      <c r="B70" s="503"/>
      <c r="C70" s="503"/>
      <c r="D70" s="503"/>
      <c r="E70" s="503"/>
      <c r="F70" s="503"/>
      <c r="G70" s="503"/>
      <c r="H70" s="503"/>
      <c r="I70" s="503"/>
    </row>
    <row r="71">
      <c r="A71" s="502"/>
      <c r="B71" s="503"/>
      <c r="C71" s="503"/>
      <c r="D71" s="503"/>
      <c r="E71" s="503"/>
      <c r="F71" s="503"/>
      <c r="G71" s="503"/>
      <c r="H71" s="503"/>
      <c r="I71" s="503"/>
    </row>
    <row r="72">
      <c r="A72" s="502"/>
      <c r="B72" s="503"/>
      <c r="C72" s="503"/>
      <c r="D72" s="503"/>
      <c r="E72" s="503"/>
      <c r="F72" s="503"/>
      <c r="G72" s="503"/>
      <c r="H72" s="503"/>
      <c r="I72" s="503"/>
    </row>
    <row r="73">
      <c r="A73" s="502"/>
      <c r="B73" s="503"/>
      <c r="C73" s="503"/>
      <c r="D73" s="503"/>
      <c r="E73" s="503"/>
      <c r="F73" s="503"/>
      <c r="G73" s="503"/>
      <c r="H73" s="503"/>
      <c r="I73" s="503"/>
    </row>
    <row r="74">
      <c r="A74" s="502"/>
      <c r="B74" s="503"/>
      <c r="C74" s="503"/>
      <c r="D74" s="503"/>
      <c r="E74" s="503"/>
      <c r="F74" s="503"/>
      <c r="G74" s="503"/>
      <c r="H74" s="503"/>
      <c r="I74" s="503"/>
    </row>
    <row r="75">
      <c r="A75" s="502"/>
      <c r="B75" s="503"/>
      <c r="C75" s="503"/>
      <c r="D75" s="503"/>
      <c r="E75" s="503"/>
      <c r="F75" s="503"/>
      <c r="G75" s="503"/>
      <c r="H75" s="503"/>
      <c r="I75" s="503"/>
    </row>
    <row r="76">
      <c r="A76" s="502"/>
      <c r="B76" s="503"/>
      <c r="C76" s="503"/>
      <c r="D76" s="503"/>
      <c r="E76" s="503"/>
      <c r="F76" s="503"/>
      <c r="G76" s="503"/>
      <c r="H76" s="503"/>
      <c r="I76" s="503"/>
    </row>
    <row r="77">
      <c r="A77" s="502"/>
      <c r="B77" s="503"/>
      <c r="C77" s="503"/>
      <c r="D77" s="503"/>
      <c r="E77" s="503"/>
      <c r="F77" s="503"/>
      <c r="G77" s="503"/>
      <c r="H77" s="503"/>
      <c r="I77" s="503"/>
    </row>
    <row r="78">
      <c r="A78" s="502"/>
      <c r="B78" s="503"/>
      <c r="C78" s="503"/>
      <c r="D78" s="503"/>
      <c r="E78" s="503"/>
      <c r="F78" s="503"/>
      <c r="G78" s="503"/>
      <c r="H78" s="503"/>
      <c r="I78" s="503"/>
    </row>
    <row r="79">
      <c r="A79" s="502"/>
      <c r="B79" s="503"/>
      <c r="C79" s="503"/>
      <c r="D79" s="503"/>
      <c r="E79" s="503"/>
      <c r="F79" s="503"/>
      <c r="G79" s="503"/>
      <c r="H79" s="503"/>
      <c r="I79" s="503"/>
    </row>
    <row r="80">
      <c r="A80" s="502"/>
      <c r="B80" s="503"/>
      <c r="C80" s="503"/>
      <c r="D80" s="503"/>
      <c r="E80" s="503"/>
      <c r="F80" s="503"/>
      <c r="G80" s="503"/>
      <c r="H80" s="503"/>
      <c r="I80" s="503"/>
    </row>
    <row r="81">
      <c r="A81" s="502"/>
      <c r="B81" s="503"/>
      <c r="C81" s="503"/>
      <c r="D81" s="503"/>
      <c r="E81" s="503"/>
      <c r="F81" s="503"/>
      <c r="G81" s="503"/>
      <c r="H81" s="503"/>
      <c r="I81" s="503"/>
    </row>
    <row r="82">
      <c r="A82" s="502"/>
      <c r="B82" s="503"/>
      <c r="C82" s="503"/>
      <c r="D82" s="503"/>
      <c r="E82" s="503"/>
      <c r="F82" s="503"/>
      <c r="G82" s="503"/>
      <c r="H82" s="503"/>
      <c r="I82" s="503"/>
    </row>
    <row r="83">
      <c r="A83" s="502"/>
      <c r="B83" s="503"/>
      <c r="C83" s="503"/>
      <c r="D83" s="503"/>
      <c r="E83" s="503"/>
      <c r="F83" s="503"/>
      <c r="G83" s="503"/>
      <c r="H83" s="503"/>
      <c r="I83" s="503"/>
    </row>
    <row r="84">
      <c r="A84" s="502"/>
      <c r="B84" s="503"/>
      <c r="C84" s="503"/>
      <c r="D84" s="503"/>
      <c r="E84" s="503"/>
      <c r="F84" s="503"/>
      <c r="G84" s="503"/>
      <c r="H84" s="503"/>
      <c r="I84" s="503"/>
    </row>
    <row r="85">
      <c r="A85" s="502"/>
      <c r="B85" s="503"/>
      <c r="C85" s="503"/>
      <c r="D85" s="503"/>
      <c r="E85" s="503"/>
      <c r="F85" s="503"/>
      <c r="G85" s="503"/>
      <c r="H85" s="503"/>
      <c r="I85" s="503"/>
    </row>
    <row r="86">
      <c r="A86" s="502"/>
      <c r="B86" s="503"/>
      <c r="C86" s="503"/>
      <c r="D86" s="503"/>
      <c r="E86" s="503"/>
      <c r="F86" s="503"/>
      <c r="G86" s="503"/>
      <c r="H86" s="503"/>
      <c r="I86" s="503"/>
    </row>
    <row r="87">
      <c r="A87" s="502"/>
      <c r="B87" s="503"/>
      <c r="C87" s="503"/>
      <c r="D87" s="503"/>
      <c r="E87" s="503"/>
      <c r="F87" s="503"/>
      <c r="G87" s="503"/>
      <c r="H87" s="503"/>
      <c r="I87" s="503"/>
    </row>
    <row r="88">
      <c r="A88" s="502"/>
      <c r="B88" s="503"/>
      <c r="C88" s="503"/>
      <c r="D88" s="503"/>
      <c r="E88" s="503"/>
      <c r="F88" s="503"/>
      <c r="G88" s="503"/>
      <c r="H88" s="503"/>
      <c r="I88" s="503"/>
    </row>
    <row r="89">
      <c r="A89" s="502"/>
      <c r="B89" s="503"/>
      <c r="C89" s="503"/>
      <c r="D89" s="503"/>
      <c r="E89" s="503"/>
      <c r="F89" s="503"/>
      <c r="G89" s="503"/>
      <c r="H89" s="503"/>
      <c r="I89" s="503"/>
    </row>
    <row r="90">
      <c r="A90" s="502"/>
      <c r="B90" s="503"/>
      <c r="C90" s="503"/>
      <c r="D90" s="503"/>
      <c r="E90" s="503"/>
      <c r="F90" s="503"/>
      <c r="G90" s="503"/>
      <c r="H90" s="503"/>
      <c r="I90" s="503"/>
    </row>
    <row r="91">
      <c r="A91" s="502"/>
      <c r="B91" s="503"/>
      <c r="C91" s="503"/>
      <c r="D91" s="503"/>
      <c r="E91" s="503"/>
      <c r="F91" s="503"/>
      <c r="G91" s="503"/>
      <c r="H91" s="503"/>
      <c r="I91" s="503"/>
    </row>
    <row r="92">
      <c r="A92" s="502"/>
      <c r="B92" s="503"/>
      <c r="C92" s="503"/>
      <c r="D92" s="503"/>
      <c r="E92" s="503"/>
      <c r="F92" s="503"/>
      <c r="G92" s="503"/>
      <c r="H92" s="503"/>
      <c r="I92" s="503"/>
    </row>
    <row r="93">
      <c r="A93" s="502"/>
      <c r="B93" s="503"/>
      <c r="C93" s="503"/>
      <c r="D93" s="503"/>
      <c r="E93" s="503"/>
      <c r="F93" s="503"/>
      <c r="G93" s="503"/>
      <c r="H93" s="503"/>
      <c r="I93" s="503"/>
    </row>
    <row r="94">
      <c r="A94" s="502"/>
      <c r="B94" s="503"/>
      <c r="C94" s="503"/>
      <c r="D94" s="503"/>
      <c r="E94" s="503"/>
      <c r="F94" s="503"/>
      <c r="G94" s="503"/>
      <c r="H94" s="503"/>
      <c r="I94" s="503"/>
    </row>
    <row r="95">
      <c r="A95" s="502"/>
      <c r="B95" s="503"/>
      <c r="C95" s="503"/>
      <c r="D95" s="503"/>
      <c r="E95" s="503"/>
      <c r="F95" s="503"/>
      <c r="G95" s="503"/>
      <c r="H95" s="503"/>
      <c r="I95" s="503"/>
    </row>
    <row r="96">
      <c r="A96" s="502"/>
      <c r="B96" s="503"/>
      <c r="C96" s="503"/>
      <c r="D96" s="503"/>
      <c r="E96" s="503"/>
      <c r="F96" s="503"/>
      <c r="G96" s="503"/>
      <c r="H96" s="503"/>
      <c r="I96" s="503"/>
    </row>
    <row r="97">
      <c r="A97" s="502"/>
      <c r="B97" s="503"/>
      <c r="C97" s="503"/>
      <c r="D97" s="503"/>
      <c r="E97" s="503"/>
      <c r="F97" s="503"/>
      <c r="G97" s="503"/>
      <c r="H97" s="503"/>
      <c r="I97" s="503"/>
    </row>
    <row r="98">
      <c r="A98" s="502"/>
      <c r="B98" s="503"/>
      <c r="C98" s="503"/>
      <c r="D98" s="503"/>
      <c r="E98" s="503"/>
      <c r="F98" s="503"/>
      <c r="G98" s="503"/>
      <c r="H98" s="503"/>
      <c r="I98" s="503"/>
    </row>
    <row r="99">
      <c r="A99" s="502"/>
      <c r="B99" s="503"/>
      <c r="C99" s="503"/>
      <c r="D99" s="503"/>
      <c r="E99" s="503"/>
      <c r="F99" s="503"/>
      <c r="G99" s="503"/>
      <c r="H99" s="503"/>
      <c r="I99" s="503"/>
    </row>
    <row r="100">
      <c r="A100" s="502"/>
      <c r="B100" s="503"/>
      <c r="C100" s="503"/>
      <c r="D100" s="503"/>
      <c r="E100" s="503"/>
      <c r="F100" s="503"/>
      <c r="G100" s="503"/>
      <c r="H100" s="503"/>
      <c r="I100" s="503"/>
    </row>
    <row r="101">
      <c r="A101" s="502"/>
      <c r="B101" s="503"/>
      <c r="C101" s="503"/>
      <c r="D101" s="503"/>
      <c r="E101" s="503"/>
      <c r="F101" s="503"/>
      <c r="G101" s="503"/>
      <c r="H101" s="503"/>
      <c r="I101" s="503"/>
    </row>
    <row r="102">
      <c r="A102" s="502"/>
      <c r="B102" s="503"/>
      <c r="C102" s="503"/>
      <c r="D102" s="503"/>
      <c r="E102" s="503"/>
      <c r="F102" s="503"/>
      <c r="G102" s="503"/>
      <c r="H102" s="503"/>
      <c r="I102" s="503"/>
    </row>
    <row r="103">
      <c r="A103" s="502"/>
      <c r="B103" s="503"/>
      <c r="C103" s="503"/>
      <c r="D103" s="503"/>
      <c r="E103" s="503"/>
      <c r="F103" s="503"/>
      <c r="G103" s="503"/>
      <c r="H103" s="503"/>
      <c r="I103" s="503"/>
    </row>
    <row r="104">
      <c r="A104" s="502"/>
      <c r="B104" s="503"/>
      <c r="C104" s="503"/>
      <c r="D104" s="503"/>
      <c r="E104" s="503"/>
      <c r="F104" s="503"/>
      <c r="G104" s="503"/>
      <c r="H104" s="503"/>
      <c r="I104" s="503"/>
    </row>
    <row r="105">
      <c r="A105" s="502"/>
      <c r="B105" s="503"/>
      <c r="C105" s="503"/>
      <c r="D105" s="503"/>
      <c r="E105" s="503"/>
      <c r="F105" s="503"/>
      <c r="G105" s="503"/>
      <c r="H105" s="503"/>
      <c r="I105" s="503"/>
    </row>
    <row r="106">
      <c r="A106" s="502"/>
      <c r="B106" s="503"/>
      <c r="C106" s="503"/>
      <c r="D106" s="503"/>
      <c r="E106" s="503"/>
      <c r="F106" s="503"/>
      <c r="G106" s="503"/>
      <c r="H106" s="503"/>
      <c r="I106" s="503"/>
    </row>
    <row r="107">
      <c r="A107" s="502"/>
      <c r="B107" s="503"/>
      <c r="C107" s="503"/>
      <c r="D107" s="503"/>
      <c r="E107" s="503"/>
      <c r="F107" s="503"/>
      <c r="G107" s="503"/>
      <c r="H107" s="503"/>
      <c r="I107" s="503"/>
    </row>
    <row r="108">
      <c r="A108" s="502"/>
      <c r="B108" s="503"/>
      <c r="C108" s="503"/>
      <c r="D108" s="503"/>
      <c r="E108" s="503"/>
      <c r="F108" s="503"/>
      <c r="G108" s="503"/>
      <c r="H108" s="503"/>
      <c r="I108" s="503"/>
    </row>
    <row r="109">
      <c r="A109" s="502"/>
      <c r="B109" s="503"/>
      <c r="C109" s="503"/>
      <c r="D109" s="503"/>
      <c r="E109" s="503"/>
      <c r="F109" s="503"/>
      <c r="G109" s="503"/>
      <c r="H109" s="503"/>
      <c r="I109" s="503"/>
    </row>
    <row r="110">
      <c r="A110" s="502"/>
      <c r="B110" s="503"/>
      <c r="C110" s="503"/>
      <c r="D110" s="503"/>
      <c r="E110" s="503"/>
      <c r="F110" s="503"/>
      <c r="G110" s="503"/>
      <c r="H110" s="503"/>
      <c r="I110" s="503"/>
    </row>
    <row r="111">
      <c r="A111" s="502"/>
      <c r="B111" s="503"/>
      <c r="C111" s="503"/>
      <c r="D111" s="503"/>
      <c r="E111" s="503"/>
      <c r="F111" s="503"/>
      <c r="G111" s="503"/>
      <c r="H111" s="503"/>
      <c r="I111" s="503"/>
    </row>
    <row r="112">
      <c r="A112" s="502"/>
      <c r="B112" s="503"/>
      <c r="C112" s="503"/>
      <c r="D112" s="503"/>
      <c r="E112" s="503"/>
      <c r="F112" s="503"/>
      <c r="G112" s="503"/>
      <c r="H112" s="503"/>
      <c r="I112" s="503"/>
    </row>
    <row r="113">
      <c r="A113" s="502"/>
      <c r="B113" s="503"/>
      <c r="C113" s="503"/>
      <c r="D113" s="503"/>
      <c r="E113" s="503"/>
      <c r="F113" s="503"/>
      <c r="G113" s="503"/>
      <c r="H113" s="503"/>
      <c r="I113" s="503"/>
    </row>
    <row r="114">
      <c r="A114" s="502"/>
      <c r="B114" s="503"/>
      <c r="C114" s="503"/>
      <c r="D114" s="503"/>
      <c r="E114" s="503"/>
      <c r="F114" s="503"/>
      <c r="G114" s="503"/>
      <c r="H114" s="503"/>
      <c r="I114" s="503"/>
    </row>
    <row r="115">
      <c r="A115" s="502"/>
      <c r="B115" s="503"/>
      <c r="C115" s="503"/>
      <c r="D115" s="503"/>
      <c r="E115" s="503"/>
      <c r="F115" s="503"/>
      <c r="G115" s="503"/>
      <c r="H115" s="503"/>
      <c r="I115" s="503"/>
    </row>
    <row r="116">
      <c r="A116" s="502"/>
      <c r="B116" s="503"/>
      <c r="C116" s="503"/>
      <c r="D116" s="503"/>
      <c r="E116" s="503"/>
      <c r="F116" s="503"/>
      <c r="G116" s="503"/>
      <c r="H116" s="503"/>
      <c r="I116" s="503"/>
    </row>
    <row r="117">
      <c r="A117" s="502"/>
      <c r="B117" s="503"/>
      <c r="C117" s="503"/>
      <c r="D117" s="503"/>
      <c r="E117" s="503"/>
      <c r="F117" s="503"/>
      <c r="G117" s="503"/>
      <c r="H117" s="503"/>
      <c r="I117" s="503"/>
    </row>
    <row r="118">
      <c r="A118" s="502"/>
      <c r="B118" s="503"/>
      <c r="C118" s="503"/>
      <c r="D118" s="503"/>
      <c r="E118" s="503"/>
      <c r="F118" s="503"/>
      <c r="G118" s="503"/>
      <c r="H118" s="503"/>
      <c r="I118" s="503"/>
    </row>
    <row r="119">
      <c r="A119" s="502"/>
      <c r="B119" s="503"/>
      <c r="C119" s="503"/>
      <c r="D119" s="503"/>
      <c r="E119" s="503"/>
      <c r="F119" s="503"/>
      <c r="G119" s="503"/>
      <c r="H119" s="503"/>
      <c r="I119" s="503"/>
    </row>
    <row r="120">
      <c r="A120" s="502"/>
      <c r="B120" s="503"/>
      <c r="C120" s="503"/>
      <c r="D120" s="503"/>
      <c r="E120" s="503"/>
      <c r="F120" s="503"/>
      <c r="G120" s="503"/>
      <c r="H120" s="503"/>
      <c r="I120" s="503"/>
    </row>
    <row r="121">
      <c r="A121" s="502"/>
      <c r="B121" s="503"/>
      <c r="C121" s="503"/>
      <c r="D121" s="503"/>
      <c r="E121" s="503"/>
      <c r="F121" s="503"/>
      <c r="G121" s="503"/>
      <c r="H121" s="503"/>
      <c r="I121" s="503"/>
    </row>
    <row r="122">
      <c r="A122" s="502"/>
      <c r="B122" s="503"/>
      <c r="C122" s="503"/>
      <c r="D122" s="503"/>
      <c r="E122" s="503"/>
      <c r="F122" s="503"/>
      <c r="G122" s="503"/>
      <c r="H122" s="503"/>
      <c r="I122" s="503"/>
    </row>
    <row r="123">
      <c r="A123" s="502"/>
      <c r="B123" s="503"/>
      <c r="C123" s="503"/>
      <c r="D123" s="503"/>
      <c r="E123" s="503"/>
      <c r="F123" s="503"/>
      <c r="G123" s="503"/>
      <c r="H123" s="503"/>
      <c r="I123" s="503"/>
    </row>
    <row r="124">
      <c r="A124" s="502"/>
      <c r="B124" s="503"/>
      <c r="C124" s="503"/>
      <c r="D124" s="503"/>
      <c r="E124" s="503"/>
      <c r="F124" s="503"/>
      <c r="G124" s="503"/>
      <c r="H124" s="503"/>
      <c r="I124" s="503"/>
    </row>
    <row r="125">
      <c r="A125" s="502"/>
      <c r="B125" s="503"/>
      <c r="C125" s="503"/>
      <c r="D125" s="503"/>
      <c r="E125" s="503"/>
      <c r="F125" s="503"/>
      <c r="G125" s="503"/>
      <c r="H125" s="503"/>
      <c r="I125" s="503"/>
    </row>
    <row r="126">
      <c r="A126" s="502"/>
      <c r="B126" s="503"/>
      <c r="C126" s="503"/>
      <c r="D126" s="503"/>
      <c r="E126" s="503"/>
      <c r="F126" s="503"/>
      <c r="G126" s="503"/>
      <c r="H126" s="503"/>
      <c r="I126" s="503"/>
    </row>
    <row r="127">
      <c r="A127" s="502"/>
      <c r="B127" s="503"/>
      <c r="C127" s="503"/>
      <c r="D127" s="503"/>
      <c r="E127" s="503"/>
      <c r="F127" s="503"/>
      <c r="G127" s="503"/>
      <c r="H127" s="503"/>
      <c r="I127" s="503"/>
    </row>
    <row r="128">
      <c r="A128" s="502"/>
      <c r="B128" s="503"/>
      <c r="C128" s="503"/>
      <c r="D128" s="503"/>
      <c r="E128" s="503"/>
      <c r="F128" s="503"/>
      <c r="G128" s="503"/>
      <c r="H128" s="503"/>
      <c r="I128" s="503"/>
    </row>
    <row r="129">
      <c r="A129" s="502"/>
      <c r="B129" s="503"/>
      <c r="C129" s="503"/>
      <c r="D129" s="503"/>
      <c r="E129" s="503"/>
      <c r="F129" s="503"/>
      <c r="G129" s="503"/>
      <c r="H129" s="503"/>
      <c r="I129" s="503"/>
    </row>
    <row r="130">
      <c r="A130" s="502"/>
      <c r="B130" s="503"/>
      <c r="C130" s="503"/>
      <c r="D130" s="503"/>
      <c r="E130" s="503"/>
      <c r="F130" s="503"/>
      <c r="G130" s="503"/>
      <c r="H130" s="503"/>
      <c r="I130" s="503"/>
    </row>
    <row r="131">
      <c r="A131" s="502"/>
      <c r="B131" s="503"/>
      <c r="C131" s="503"/>
      <c r="D131" s="503"/>
      <c r="E131" s="503"/>
      <c r="F131" s="503"/>
      <c r="G131" s="503"/>
      <c r="H131" s="503"/>
      <c r="I131" s="503"/>
    </row>
    <row r="132">
      <c r="A132" s="502"/>
      <c r="B132" s="503"/>
      <c r="C132" s="503"/>
      <c r="D132" s="503"/>
      <c r="E132" s="503"/>
      <c r="F132" s="503"/>
      <c r="G132" s="503"/>
      <c r="H132" s="503"/>
      <c r="I132" s="503"/>
    </row>
    <row r="133">
      <c r="A133" s="502"/>
      <c r="B133" s="503"/>
      <c r="C133" s="503"/>
      <c r="D133" s="503"/>
      <c r="E133" s="503"/>
      <c r="F133" s="503"/>
      <c r="G133" s="503"/>
      <c r="H133" s="503"/>
      <c r="I133" s="503"/>
    </row>
    <row r="134">
      <c r="A134" s="502"/>
      <c r="B134" s="503"/>
      <c r="C134" s="503"/>
      <c r="D134" s="503"/>
      <c r="E134" s="503"/>
      <c r="F134" s="503"/>
      <c r="G134" s="503"/>
      <c r="H134" s="503"/>
      <c r="I134" s="503"/>
    </row>
    <row r="135">
      <c r="A135" s="502"/>
      <c r="B135" s="503"/>
      <c r="C135" s="503"/>
      <c r="D135" s="503"/>
      <c r="E135" s="503"/>
      <c r="F135" s="503"/>
      <c r="G135" s="503"/>
      <c r="H135" s="503"/>
      <c r="I135" s="503"/>
    </row>
    <row r="136">
      <c r="A136" s="502"/>
      <c r="B136" s="503"/>
      <c r="C136" s="503"/>
      <c r="D136" s="503"/>
      <c r="E136" s="503"/>
      <c r="F136" s="503"/>
      <c r="G136" s="503"/>
      <c r="H136" s="503"/>
      <c r="I136" s="503"/>
    </row>
    <row r="137">
      <c r="A137" s="502"/>
      <c r="B137" s="503"/>
      <c r="C137" s="503"/>
      <c r="D137" s="503"/>
      <c r="E137" s="503"/>
      <c r="F137" s="503"/>
      <c r="G137" s="503"/>
      <c r="H137" s="503"/>
      <c r="I137" s="503"/>
    </row>
    <row r="138">
      <c r="A138" s="502"/>
      <c r="B138" s="503"/>
      <c r="C138" s="503"/>
      <c r="D138" s="503"/>
      <c r="E138" s="503"/>
      <c r="F138" s="503"/>
      <c r="G138" s="503"/>
      <c r="H138" s="503"/>
      <c r="I138" s="503"/>
    </row>
    <row r="139">
      <c r="A139" s="502"/>
      <c r="B139" s="503"/>
      <c r="C139" s="503"/>
      <c r="D139" s="503"/>
      <c r="E139" s="503"/>
      <c r="F139" s="503"/>
      <c r="G139" s="503"/>
      <c r="H139" s="503"/>
      <c r="I139" s="503"/>
    </row>
    <row r="140">
      <c r="A140" s="502"/>
      <c r="B140" s="503"/>
      <c r="C140" s="503"/>
      <c r="D140" s="503"/>
      <c r="E140" s="503"/>
      <c r="F140" s="503"/>
      <c r="G140" s="503"/>
      <c r="H140" s="503"/>
      <c r="I140" s="503"/>
    </row>
    <row r="141">
      <c r="A141" s="502"/>
      <c r="B141" s="503"/>
      <c r="C141" s="503"/>
      <c r="D141" s="503"/>
      <c r="E141" s="503"/>
      <c r="F141" s="503"/>
      <c r="G141" s="503"/>
      <c r="H141" s="503"/>
      <c r="I141" s="503"/>
    </row>
    <row r="142">
      <c r="A142" s="502"/>
      <c r="B142" s="503"/>
      <c r="C142" s="503"/>
      <c r="D142" s="503"/>
      <c r="E142" s="503"/>
      <c r="F142" s="503"/>
      <c r="G142" s="503"/>
      <c r="H142" s="503"/>
      <c r="I142" s="503"/>
    </row>
    <row r="143">
      <c r="A143" s="502"/>
      <c r="B143" s="503"/>
      <c r="C143" s="503"/>
      <c r="D143" s="503"/>
      <c r="E143" s="503"/>
      <c r="F143" s="503"/>
      <c r="G143" s="503"/>
      <c r="H143" s="503"/>
      <c r="I143" s="503"/>
    </row>
    <row r="144">
      <c r="A144" s="502"/>
      <c r="B144" s="503"/>
      <c r="C144" s="503"/>
      <c r="D144" s="503"/>
      <c r="E144" s="503"/>
      <c r="F144" s="503"/>
      <c r="G144" s="503"/>
      <c r="H144" s="503"/>
      <c r="I144" s="503"/>
    </row>
    <row r="145">
      <c r="A145" s="502"/>
      <c r="B145" s="503"/>
      <c r="C145" s="503"/>
      <c r="D145" s="503"/>
      <c r="E145" s="503"/>
      <c r="F145" s="503"/>
      <c r="G145" s="503"/>
      <c r="H145" s="503"/>
      <c r="I145" s="503"/>
    </row>
    <row r="146">
      <c r="A146" s="502"/>
      <c r="B146" s="503"/>
      <c r="C146" s="503"/>
      <c r="D146" s="503"/>
      <c r="E146" s="503"/>
      <c r="F146" s="503"/>
      <c r="G146" s="503"/>
      <c r="H146" s="503"/>
      <c r="I146" s="503"/>
    </row>
    <row r="147">
      <c r="A147" s="502"/>
      <c r="B147" s="503"/>
      <c r="C147" s="503"/>
      <c r="D147" s="503"/>
      <c r="E147" s="503"/>
      <c r="F147" s="503"/>
      <c r="G147" s="503"/>
      <c r="H147" s="503"/>
      <c r="I147" s="503"/>
    </row>
    <row r="148">
      <c r="A148" s="502"/>
      <c r="B148" s="503"/>
      <c r="C148" s="503"/>
      <c r="D148" s="503"/>
      <c r="E148" s="503"/>
      <c r="F148" s="503"/>
      <c r="G148" s="503"/>
      <c r="H148" s="503"/>
      <c r="I148" s="503"/>
    </row>
    <row r="149">
      <c r="A149" s="502"/>
      <c r="B149" s="503"/>
      <c r="C149" s="503"/>
      <c r="D149" s="503"/>
      <c r="E149" s="503"/>
      <c r="F149" s="503"/>
      <c r="G149" s="503"/>
      <c r="H149" s="503"/>
      <c r="I149" s="503"/>
    </row>
    <row r="150">
      <c r="A150" s="502"/>
      <c r="B150" s="503"/>
      <c r="C150" s="503"/>
      <c r="D150" s="503"/>
      <c r="E150" s="503"/>
      <c r="F150" s="503"/>
      <c r="G150" s="503"/>
      <c r="H150" s="503"/>
      <c r="I150" s="503"/>
    </row>
    <row r="151">
      <c r="A151" s="502"/>
      <c r="B151" s="503"/>
      <c r="C151" s="503"/>
      <c r="D151" s="503"/>
      <c r="E151" s="503"/>
      <c r="F151" s="503"/>
      <c r="G151" s="503"/>
      <c r="H151" s="503"/>
      <c r="I151" s="503"/>
    </row>
    <row r="152">
      <c r="A152" s="502"/>
      <c r="B152" s="503"/>
      <c r="C152" s="503"/>
      <c r="D152" s="503"/>
      <c r="E152" s="503"/>
      <c r="F152" s="503"/>
      <c r="G152" s="503"/>
      <c r="H152" s="503"/>
      <c r="I152" s="503"/>
    </row>
    <row r="153">
      <c r="A153" s="502"/>
      <c r="B153" s="503"/>
      <c r="C153" s="503"/>
      <c r="D153" s="503"/>
      <c r="E153" s="503"/>
      <c r="F153" s="503"/>
      <c r="G153" s="503"/>
      <c r="H153" s="503"/>
      <c r="I153" s="503"/>
    </row>
    <row r="154">
      <c r="A154" s="502"/>
      <c r="B154" s="503"/>
      <c r="C154" s="503"/>
      <c r="D154" s="503"/>
      <c r="E154" s="503"/>
      <c r="F154" s="503"/>
      <c r="G154" s="503"/>
      <c r="H154" s="503"/>
      <c r="I154" s="503"/>
    </row>
    <row r="155">
      <c r="A155" s="502"/>
      <c r="B155" s="503"/>
      <c r="C155" s="503"/>
      <c r="D155" s="503"/>
      <c r="E155" s="503"/>
      <c r="F155" s="503"/>
      <c r="G155" s="503"/>
      <c r="H155" s="503"/>
      <c r="I155" s="503"/>
    </row>
    <row r="156">
      <c r="A156" s="502"/>
      <c r="B156" s="503"/>
      <c r="C156" s="503"/>
      <c r="D156" s="503"/>
      <c r="E156" s="503"/>
      <c r="F156" s="503"/>
      <c r="G156" s="503"/>
      <c r="H156" s="503"/>
      <c r="I156" s="503"/>
    </row>
    <row r="157">
      <c r="A157" s="502"/>
      <c r="B157" s="503"/>
      <c r="C157" s="503"/>
      <c r="D157" s="503"/>
      <c r="E157" s="503"/>
      <c r="F157" s="503"/>
      <c r="G157" s="503"/>
      <c r="H157" s="503"/>
      <c r="I157" s="503"/>
    </row>
    <row r="158">
      <c r="A158" s="502"/>
      <c r="B158" s="503"/>
      <c r="C158" s="503"/>
      <c r="D158" s="503"/>
      <c r="E158" s="503"/>
      <c r="F158" s="503"/>
      <c r="G158" s="503"/>
      <c r="H158" s="503"/>
      <c r="I158" s="503"/>
    </row>
    <row r="159">
      <c r="A159" s="502"/>
      <c r="B159" s="503"/>
      <c r="C159" s="503"/>
      <c r="D159" s="503"/>
      <c r="E159" s="503"/>
      <c r="F159" s="503"/>
      <c r="G159" s="503"/>
      <c r="H159" s="503"/>
      <c r="I159" s="503"/>
    </row>
    <row r="160">
      <c r="A160" s="502"/>
      <c r="B160" s="503"/>
      <c r="C160" s="503"/>
      <c r="D160" s="503"/>
      <c r="E160" s="503"/>
      <c r="F160" s="503"/>
      <c r="G160" s="503"/>
      <c r="H160" s="503"/>
      <c r="I160" s="503"/>
    </row>
    <row r="161">
      <c r="A161" s="502"/>
      <c r="B161" s="503"/>
      <c r="C161" s="503"/>
      <c r="D161" s="503"/>
      <c r="E161" s="503"/>
      <c r="F161" s="503"/>
      <c r="G161" s="503"/>
      <c r="H161" s="503"/>
      <c r="I161" s="503"/>
    </row>
    <row r="162">
      <c r="A162" s="502"/>
      <c r="B162" s="503"/>
      <c r="C162" s="503"/>
      <c r="D162" s="503"/>
      <c r="E162" s="503"/>
      <c r="F162" s="503"/>
      <c r="G162" s="503"/>
      <c r="H162" s="503"/>
      <c r="I162" s="503"/>
    </row>
    <row r="163">
      <c r="A163" s="502"/>
      <c r="B163" s="503"/>
      <c r="C163" s="503"/>
      <c r="D163" s="503"/>
      <c r="E163" s="503"/>
      <c r="F163" s="503"/>
      <c r="G163" s="503"/>
      <c r="H163" s="503"/>
      <c r="I163" s="503"/>
    </row>
    <row r="164">
      <c r="A164" s="502"/>
      <c r="B164" s="503"/>
      <c r="C164" s="503"/>
      <c r="D164" s="503"/>
      <c r="E164" s="503"/>
      <c r="F164" s="503"/>
      <c r="G164" s="503"/>
      <c r="H164" s="503"/>
      <c r="I164" s="503"/>
    </row>
    <row r="165">
      <c r="A165" s="502"/>
      <c r="B165" s="503"/>
      <c r="C165" s="503"/>
      <c r="D165" s="503"/>
      <c r="E165" s="503"/>
      <c r="F165" s="503"/>
      <c r="G165" s="503"/>
      <c r="H165" s="503"/>
      <c r="I165" s="503"/>
    </row>
    <row r="166">
      <c r="A166" s="502"/>
      <c r="B166" s="503"/>
      <c r="C166" s="503"/>
      <c r="D166" s="503"/>
      <c r="E166" s="503"/>
      <c r="F166" s="503"/>
      <c r="G166" s="503"/>
      <c r="H166" s="503"/>
      <c r="I166" s="503"/>
    </row>
    <row r="167">
      <c r="A167" s="502"/>
      <c r="B167" s="503"/>
      <c r="C167" s="503"/>
      <c r="D167" s="503"/>
      <c r="E167" s="503"/>
      <c r="F167" s="503"/>
      <c r="G167" s="503"/>
      <c r="H167" s="503"/>
      <c r="I167" s="503"/>
    </row>
    <row r="168">
      <c r="A168" s="502"/>
      <c r="B168" s="503"/>
      <c r="C168" s="503"/>
      <c r="D168" s="503"/>
      <c r="E168" s="503"/>
      <c r="F168" s="503"/>
      <c r="G168" s="503"/>
      <c r="H168" s="503"/>
      <c r="I168" s="503"/>
    </row>
    <row r="169">
      <c r="A169" s="502"/>
      <c r="B169" s="503"/>
      <c r="C169" s="503"/>
      <c r="D169" s="503"/>
      <c r="E169" s="503"/>
      <c r="F169" s="503"/>
      <c r="G169" s="503"/>
      <c r="H169" s="503"/>
      <c r="I169" s="503"/>
    </row>
    <row r="170">
      <c r="A170" s="502"/>
      <c r="B170" s="503"/>
      <c r="C170" s="503"/>
      <c r="D170" s="503"/>
      <c r="E170" s="503"/>
      <c r="F170" s="503"/>
      <c r="G170" s="503"/>
      <c r="H170" s="503"/>
      <c r="I170" s="503"/>
    </row>
    <row r="171">
      <c r="A171" s="502"/>
      <c r="B171" s="503"/>
      <c r="C171" s="503"/>
      <c r="D171" s="503"/>
      <c r="E171" s="503"/>
      <c r="F171" s="503"/>
      <c r="G171" s="503"/>
      <c r="H171" s="503"/>
      <c r="I171" s="503"/>
    </row>
    <row r="172">
      <c r="A172" s="502"/>
      <c r="B172" s="503"/>
      <c r="C172" s="503"/>
      <c r="D172" s="503"/>
      <c r="E172" s="503"/>
      <c r="F172" s="503"/>
      <c r="G172" s="503"/>
      <c r="H172" s="503"/>
      <c r="I172" s="503"/>
    </row>
    <row r="173">
      <c r="A173" s="502"/>
      <c r="B173" s="503"/>
      <c r="C173" s="503"/>
      <c r="D173" s="503"/>
      <c r="E173" s="503"/>
      <c r="F173" s="503"/>
      <c r="G173" s="503"/>
      <c r="H173" s="503"/>
      <c r="I173" s="503"/>
    </row>
    <row r="174">
      <c r="A174" s="502"/>
      <c r="B174" s="503"/>
      <c r="C174" s="503"/>
      <c r="D174" s="503"/>
      <c r="E174" s="503"/>
      <c r="F174" s="503"/>
      <c r="G174" s="503"/>
      <c r="H174" s="503"/>
      <c r="I174" s="503"/>
    </row>
    <row r="175">
      <c r="A175" s="502"/>
      <c r="B175" s="503"/>
      <c r="C175" s="503"/>
      <c r="D175" s="503"/>
      <c r="E175" s="503"/>
      <c r="F175" s="503"/>
      <c r="G175" s="503"/>
      <c r="H175" s="503"/>
      <c r="I175" s="503"/>
    </row>
    <row r="176">
      <c r="A176" s="502"/>
      <c r="B176" s="503"/>
      <c r="C176" s="503"/>
      <c r="D176" s="503"/>
      <c r="E176" s="503"/>
      <c r="F176" s="503"/>
      <c r="G176" s="503"/>
      <c r="H176" s="503"/>
      <c r="I176" s="503"/>
    </row>
    <row r="177">
      <c r="A177" s="502"/>
      <c r="B177" s="503"/>
      <c r="C177" s="503"/>
      <c r="D177" s="503"/>
      <c r="E177" s="503"/>
      <c r="F177" s="503"/>
      <c r="G177" s="503"/>
      <c r="H177" s="503"/>
      <c r="I177" s="503"/>
    </row>
    <row r="178">
      <c r="A178" s="502"/>
      <c r="B178" s="503"/>
      <c r="C178" s="503"/>
      <c r="D178" s="503"/>
      <c r="E178" s="503"/>
      <c r="F178" s="503"/>
      <c r="G178" s="503"/>
      <c r="H178" s="503"/>
      <c r="I178" s="503"/>
    </row>
    <row r="179">
      <c r="A179" s="502"/>
      <c r="B179" s="503"/>
      <c r="C179" s="503"/>
      <c r="D179" s="503"/>
      <c r="E179" s="503"/>
      <c r="F179" s="503"/>
      <c r="G179" s="503"/>
      <c r="H179" s="503"/>
      <c r="I179" s="503"/>
    </row>
    <row r="180">
      <c r="A180" s="502"/>
      <c r="B180" s="503"/>
      <c r="C180" s="503"/>
      <c r="D180" s="503"/>
      <c r="E180" s="503"/>
      <c r="F180" s="503"/>
      <c r="G180" s="503"/>
      <c r="H180" s="503"/>
      <c r="I180" s="503"/>
    </row>
    <row r="181">
      <c r="A181" s="502"/>
      <c r="B181" s="503"/>
      <c r="C181" s="503"/>
      <c r="D181" s="503"/>
      <c r="E181" s="503"/>
      <c r="F181" s="503"/>
      <c r="G181" s="503"/>
      <c r="H181" s="503"/>
      <c r="I181" s="503"/>
    </row>
    <row r="182">
      <c r="A182" s="502"/>
      <c r="B182" s="503"/>
      <c r="C182" s="503"/>
      <c r="D182" s="503"/>
      <c r="E182" s="503"/>
      <c r="F182" s="503"/>
      <c r="G182" s="503"/>
      <c r="H182" s="503"/>
      <c r="I182" s="503"/>
    </row>
    <row r="183">
      <c r="A183" s="502"/>
      <c r="B183" s="503"/>
      <c r="C183" s="503"/>
      <c r="D183" s="503"/>
      <c r="E183" s="503"/>
      <c r="F183" s="503"/>
      <c r="G183" s="503"/>
      <c r="H183" s="503"/>
      <c r="I183" s="503"/>
    </row>
    <row r="184">
      <c r="A184" s="502"/>
      <c r="B184" s="503"/>
      <c r="C184" s="503"/>
      <c r="D184" s="503"/>
      <c r="E184" s="503"/>
      <c r="F184" s="503"/>
      <c r="G184" s="503"/>
      <c r="H184" s="503"/>
      <c r="I184" s="503"/>
    </row>
    <row r="185">
      <c r="A185" s="502"/>
      <c r="B185" s="503"/>
      <c r="C185" s="503"/>
      <c r="D185" s="503"/>
      <c r="E185" s="503"/>
      <c r="F185" s="503"/>
      <c r="G185" s="503"/>
      <c r="H185" s="503"/>
      <c r="I185" s="503"/>
    </row>
    <row r="186">
      <c r="A186" s="502"/>
      <c r="B186" s="503"/>
      <c r="C186" s="503"/>
      <c r="D186" s="503"/>
      <c r="E186" s="503"/>
      <c r="F186" s="503"/>
      <c r="G186" s="503"/>
      <c r="H186" s="503"/>
      <c r="I186" s="503"/>
    </row>
    <row r="187">
      <c r="A187" s="502"/>
      <c r="B187" s="503"/>
      <c r="C187" s="503"/>
      <c r="D187" s="503"/>
      <c r="E187" s="503"/>
      <c r="F187" s="503"/>
      <c r="G187" s="503"/>
      <c r="H187" s="503"/>
      <c r="I187" s="503"/>
    </row>
    <row r="188">
      <c r="A188" s="502"/>
      <c r="B188" s="503"/>
      <c r="C188" s="503"/>
      <c r="D188" s="503"/>
      <c r="E188" s="503"/>
      <c r="F188" s="503"/>
      <c r="G188" s="503"/>
      <c r="H188" s="503"/>
      <c r="I188" s="503"/>
    </row>
    <row r="189">
      <c r="A189" s="502"/>
      <c r="B189" s="503"/>
      <c r="C189" s="503"/>
      <c r="D189" s="503"/>
      <c r="E189" s="503"/>
      <c r="F189" s="503"/>
      <c r="G189" s="503"/>
      <c r="H189" s="503"/>
      <c r="I189" s="503"/>
    </row>
    <row r="190">
      <c r="A190" s="502"/>
      <c r="B190" s="503"/>
      <c r="C190" s="503"/>
      <c r="D190" s="503"/>
      <c r="E190" s="503"/>
      <c r="F190" s="503"/>
      <c r="G190" s="503"/>
      <c r="H190" s="503"/>
      <c r="I190" s="503"/>
    </row>
    <row r="191">
      <c r="A191" s="502"/>
      <c r="B191" s="503"/>
      <c r="C191" s="503"/>
      <c r="D191" s="503"/>
      <c r="E191" s="503"/>
      <c r="F191" s="503"/>
      <c r="G191" s="503"/>
      <c r="H191" s="503"/>
      <c r="I191" s="503"/>
    </row>
    <row r="192">
      <c r="A192" s="502"/>
      <c r="B192" s="503"/>
      <c r="C192" s="503"/>
      <c r="D192" s="503"/>
      <c r="E192" s="503"/>
      <c r="F192" s="503"/>
      <c r="G192" s="503"/>
      <c r="H192" s="503"/>
      <c r="I192" s="503"/>
    </row>
    <row r="193">
      <c r="A193" s="502"/>
      <c r="B193" s="503"/>
      <c r="C193" s="503"/>
      <c r="D193" s="503"/>
      <c r="E193" s="503"/>
      <c r="F193" s="503"/>
      <c r="G193" s="503"/>
      <c r="H193" s="503"/>
      <c r="I193" s="503"/>
    </row>
    <row r="194">
      <c r="A194" s="502"/>
      <c r="B194" s="503"/>
      <c r="C194" s="503"/>
      <c r="D194" s="503"/>
      <c r="E194" s="503"/>
      <c r="F194" s="503"/>
      <c r="G194" s="503"/>
      <c r="H194" s="503"/>
      <c r="I194" s="503"/>
    </row>
    <row r="195">
      <c r="A195" s="502"/>
      <c r="B195" s="503"/>
      <c r="C195" s="503"/>
      <c r="D195" s="503"/>
      <c r="E195" s="503"/>
      <c r="F195" s="503"/>
      <c r="G195" s="503"/>
      <c r="H195" s="503"/>
      <c r="I195" s="503"/>
    </row>
    <row r="196">
      <c r="A196" s="502"/>
      <c r="B196" s="503"/>
      <c r="C196" s="503"/>
      <c r="D196" s="503"/>
      <c r="E196" s="503"/>
      <c r="F196" s="503"/>
      <c r="G196" s="503"/>
      <c r="H196" s="503"/>
      <c r="I196" s="503"/>
    </row>
    <row r="197">
      <c r="A197" s="502"/>
      <c r="B197" s="503"/>
      <c r="C197" s="503"/>
      <c r="D197" s="503"/>
      <c r="E197" s="503"/>
      <c r="F197" s="503"/>
      <c r="G197" s="503"/>
      <c r="H197" s="503"/>
      <c r="I197" s="503"/>
    </row>
    <row r="198">
      <c r="A198" s="502"/>
      <c r="B198" s="503"/>
      <c r="C198" s="503"/>
      <c r="D198" s="503"/>
      <c r="E198" s="503"/>
      <c r="F198" s="503"/>
      <c r="G198" s="503"/>
      <c r="H198" s="503"/>
      <c r="I198" s="503"/>
    </row>
    <row r="199">
      <c r="A199" s="502"/>
      <c r="B199" s="503"/>
      <c r="C199" s="503"/>
      <c r="D199" s="503"/>
      <c r="E199" s="503"/>
      <c r="F199" s="503"/>
      <c r="G199" s="503"/>
      <c r="H199" s="503"/>
      <c r="I199" s="503"/>
    </row>
    <row r="200">
      <c r="A200" s="502"/>
      <c r="B200" s="503"/>
      <c r="C200" s="503"/>
      <c r="D200" s="503"/>
      <c r="E200" s="503"/>
      <c r="F200" s="503"/>
      <c r="G200" s="503"/>
      <c r="H200" s="503"/>
      <c r="I200" s="503"/>
    </row>
    <row r="201">
      <c r="A201" s="502"/>
      <c r="B201" s="503"/>
      <c r="C201" s="503"/>
      <c r="D201" s="503"/>
      <c r="E201" s="503"/>
      <c r="F201" s="503"/>
      <c r="G201" s="503"/>
      <c r="H201" s="503"/>
      <c r="I201" s="503"/>
    </row>
    <row r="202">
      <c r="A202" s="502"/>
      <c r="B202" s="503"/>
      <c r="C202" s="503"/>
      <c r="D202" s="503"/>
      <c r="E202" s="503"/>
      <c r="F202" s="503"/>
      <c r="G202" s="503"/>
      <c r="H202" s="503"/>
      <c r="I202" s="503"/>
    </row>
    <row r="203">
      <c r="A203" s="502"/>
      <c r="B203" s="503"/>
      <c r="C203" s="503"/>
      <c r="D203" s="503"/>
      <c r="E203" s="503"/>
      <c r="F203" s="503"/>
      <c r="G203" s="503"/>
      <c r="H203" s="503"/>
      <c r="I203" s="503"/>
    </row>
    <row r="204">
      <c r="A204" s="502"/>
      <c r="B204" s="503"/>
      <c r="C204" s="503"/>
      <c r="D204" s="503"/>
      <c r="E204" s="503"/>
      <c r="F204" s="503"/>
      <c r="G204" s="503"/>
      <c r="H204" s="503"/>
      <c r="I204" s="503"/>
    </row>
    <row r="205">
      <c r="A205" s="502"/>
      <c r="B205" s="503"/>
      <c r="C205" s="503"/>
      <c r="D205" s="503"/>
      <c r="E205" s="503"/>
      <c r="F205" s="503"/>
      <c r="G205" s="503"/>
      <c r="H205" s="503"/>
      <c r="I205" s="503"/>
    </row>
    <row r="206">
      <c r="A206" s="502"/>
      <c r="B206" s="503"/>
      <c r="C206" s="503"/>
      <c r="D206" s="503"/>
      <c r="E206" s="503"/>
      <c r="F206" s="503"/>
      <c r="G206" s="503"/>
      <c r="H206" s="503"/>
      <c r="I206" s="503"/>
    </row>
    <row r="207">
      <c r="A207" s="502"/>
      <c r="B207" s="503"/>
      <c r="C207" s="503"/>
      <c r="D207" s="503"/>
      <c r="E207" s="503"/>
      <c r="F207" s="503"/>
      <c r="G207" s="503"/>
      <c r="H207" s="503"/>
      <c r="I207" s="503"/>
    </row>
    <row r="208">
      <c r="A208" s="502"/>
      <c r="B208" s="503"/>
      <c r="C208" s="503"/>
      <c r="D208" s="503"/>
      <c r="E208" s="503"/>
      <c r="F208" s="503"/>
      <c r="G208" s="503"/>
      <c r="H208" s="503"/>
      <c r="I208" s="503"/>
    </row>
    <row r="209">
      <c r="A209" s="502"/>
      <c r="B209" s="503"/>
      <c r="C209" s="503"/>
      <c r="D209" s="503"/>
      <c r="E209" s="503"/>
      <c r="F209" s="503"/>
      <c r="G209" s="503"/>
      <c r="H209" s="503"/>
      <c r="I209" s="503"/>
    </row>
    <row r="210">
      <c r="A210" s="502"/>
      <c r="B210" s="503"/>
      <c r="C210" s="503"/>
      <c r="D210" s="503"/>
      <c r="E210" s="503"/>
      <c r="F210" s="503"/>
      <c r="G210" s="503"/>
      <c r="H210" s="503"/>
      <c r="I210" s="503"/>
    </row>
    <row r="211">
      <c r="A211" s="502"/>
      <c r="B211" s="503"/>
      <c r="C211" s="503"/>
      <c r="D211" s="503"/>
      <c r="E211" s="503"/>
      <c r="F211" s="503"/>
      <c r="G211" s="503"/>
      <c r="H211" s="503"/>
      <c r="I211" s="503"/>
    </row>
    <row r="212">
      <c r="A212" s="502"/>
      <c r="B212" s="503"/>
      <c r="C212" s="503"/>
      <c r="D212" s="503"/>
      <c r="E212" s="503"/>
      <c r="F212" s="503"/>
      <c r="G212" s="503"/>
      <c r="H212" s="503"/>
      <c r="I212" s="503"/>
    </row>
    <row r="213">
      <c r="A213" s="502"/>
      <c r="B213" s="503"/>
      <c r="C213" s="503"/>
      <c r="D213" s="503"/>
      <c r="E213" s="503"/>
      <c r="F213" s="503"/>
      <c r="G213" s="503"/>
      <c r="H213" s="503"/>
      <c r="I213" s="503"/>
    </row>
    <row r="214">
      <c r="A214" s="502"/>
      <c r="B214" s="503"/>
      <c r="C214" s="503"/>
      <c r="D214" s="503"/>
      <c r="E214" s="503"/>
      <c r="F214" s="503"/>
      <c r="G214" s="503"/>
      <c r="H214" s="503"/>
      <c r="I214" s="503"/>
    </row>
    <row r="215">
      <c r="A215" s="502"/>
      <c r="B215" s="503"/>
      <c r="C215" s="503"/>
      <c r="D215" s="503"/>
      <c r="E215" s="503"/>
      <c r="F215" s="503"/>
      <c r="G215" s="503"/>
      <c r="H215" s="503"/>
      <c r="I215" s="503"/>
    </row>
    <row r="216">
      <c r="A216" s="502"/>
      <c r="B216" s="503"/>
      <c r="C216" s="503"/>
      <c r="D216" s="503"/>
      <c r="E216" s="503"/>
      <c r="F216" s="503"/>
      <c r="G216" s="503"/>
      <c r="H216" s="503"/>
      <c r="I216" s="503"/>
    </row>
    <row r="217">
      <c r="A217" s="502"/>
      <c r="B217" s="503"/>
      <c r="C217" s="503"/>
      <c r="D217" s="503"/>
      <c r="E217" s="503"/>
      <c r="F217" s="503"/>
      <c r="G217" s="503"/>
      <c r="H217" s="503"/>
      <c r="I217" s="503"/>
    </row>
    <row r="218">
      <c r="A218" s="502"/>
      <c r="B218" s="503"/>
      <c r="C218" s="503"/>
      <c r="D218" s="503"/>
      <c r="E218" s="503"/>
      <c r="F218" s="503"/>
      <c r="G218" s="503"/>
      <c r="H218" s="503"/>
      <c r="I218" s="503"/>
    </row>
    <row r="219">
      <c r="A219" s="502"/>
      <c r="B219" s="503"/>
      <c r="C219" s="503"/>
      <c r="D219" s="503"/>
      <c r="E219" s="503"/>
      <c r="F219" s="503"/>
      <c r="G219" s="503"/>
      <c r="H219" s="503"/>
      <c r="I219" s="503"/>
    </row>
    <row r="220">
      <c r="A220" s="502"/>
      <c r="B220" s="503"/>
      <c r="C220" s="503"/>
      <c r="D220" s="503"/>
      <c r="E220" s="503"/>
      <c r="F220" s="503"/>
      <c r="G220" s="503"/>
      <c r="H220" s="503"/>
      <c r="I220" s="503"/>
    </row>
    <row r="221">
      <c r="A221" s="502"/>
      <c r="B221" s="503"/>
      <c r="C221" s="503"/>
      <c r="D221" s="503"/>
      <c r="E221" s="503"/>
      <c r="F221" s="503"/>
      <c r="G221" s="503"/>
      <c r="H221" s="503"/>
      <c r="I221" s="503"/>
    </row>
    <row r="222">
      <c r="A222" s="502"/>
      <c r="B222" s="503"/>
      <c r="C222" s="503"/>
      <c r="D222" s="503"/>
      <c r="E222" s="503"/>
      <c r="F222" s="503"/>
      <c r="G222" s="503"/>
      <c r="H222" s="503"/>
      <c r="I222" s="503"/>
    </row>
    <row r="223">
      <c r="A223" s="502"/>
      <c r="B223" s="503"/>
      <c r="C223" s="503"/>
      <c r="D223" s="503"/>
      <c r="E223" s="503"/>
      <c r="F223" s="503"/>
      <c r="G223" s="503"/>
      <c r="H223" s="503"/>
      <c r="I223" s="503"/>
    </row>
    <row r="224">
      <c r="A224" s="502"/>
      <c r="B224" s="503"/>
      <c r="C224" s="503"/>
      <c r="D224" s="503"/>
      <c r="E224" s="503"/>
      <c r="F224" s="503"/>
      <c r="G224" s="503"/>
      <c r="H224" s="503"/>
      <c r="I224" s="503"/>
    </row>
    <row r="225">
      <c r="A225" s="502"/>
      <c r="B225" s="503"/>
      <c r="C225" s="503"/>
      <c r="D225" s="503"/>
      <c r="E225" s="503"/>
      <c r="F225" s="503"/>
      <c r="G225" s="503"/>
      <c r="H225" s="503"/>
      <c r="I225" s="503"/>
    </row>
    <row r="226">
      <c r="A226" s="502"/>
      <c r="B226" s="503"/>
      <c r="C226" s="503"/>
      <c r="D226" s="503"/>
      <c r="E226" s="503"/>
      <c r="F226" s="503"/>
      <c r="G226" s="503"/>
      <c r="H226" s="503"/>
      <c r="I226" s="503"/>
    </row>
    <row r="227">
      <c r="A227" s="502"/>
      <c r="B227" s="503"/>
      <c r="C227" s="503"/>
      <c r="D227" s="503"/>
      <c r="E227" s="503"/>
      <c r="F227" s="503"/>
      <c r="G227" s="503"/>
      <c r="H227" s="503"/>
      <c r="I227" s="503"/>
    </row>
    <row r="228">
      <c r="A228" s="502"/>
      <c r="B228" s="503"/>
      <c r="C228" s="503"/>
      <c r="D228" s="503"/>
      <c r="E228" s="503"/>
      <c r="F228" s="503"/>
      <c r="G228" s="503"/>
      <c r="H228" s="503"/>
      <c r="I228" s="503"/>
    </row>
    <row r="229">
      <c r="A229" s="502"/>
      <c r="B229" s="503"/>
      <c r="C229" s="503"/>
      <c r="D229" s="503"/>
      <c r="E229" s="503"/>
      <c r="F229" s="503"/>
      <c r="G229" s="503"/>
      <c r="H229" s="503"/>
      <c r="I229" s="503"/>
    </row>
    <row r="230">
      <c r="A230" s="502"/>
      <c r="B230" s="503"/>
      <c r="C230" s="503"/>
      <c r="D230" s="503"/>
      <c r="E230" s="503"/>
      <c r="F230" s="503"/>
      <c r="G230" s="503"/>
      <c r="H230" s="503"/>
      <c r="I230" s="503"/>
    </row>
    <row r="231">
      <c r="A231" s="502"/>
      <c r="B231" s="503"/>
      <c r="C231" s="503"/>
      <c r="D231" s="503"/>
      <c r="E231" s="503"/>
      <c r="F231" s="503"/>
      <c r="G231" s="503"/>
      <c r="H231" s="503"/>
      <c r="I231" s="503"/>
    </row>
    <row r="232">
      <c r="A232" s="502"/>
      <c r="B232" s="503"/>
      <c r="C232" s="503"/>
      <c r="D232" s="503"/>
      <c r="E232" s="503"/>
      <c r="F232" s="503"/>
      <c r="G232" s="503"/>
      <c r="H232" s="503"/>
      <c r="I232" s="503"/>
    </row>
    <row r="233">
      <c r="A233" s="502"/>
      <c r="B233" s="503"/>
      <c r="C233" s="503"/>
      <c r="D233" s="503"/>
      <c r="E233" s="503"/>
      <c r="F233" s="503"/>
      <c r="G233" s="503"/>
      <c r="H233" s="503"/>
      <c r="I233" s="503"/>
    </row>
    <row r="234">
      <c r="A234" s="502"/>
      <c r="B234" s="503"/>
      <c r="C234" s="503"/>
      <c r="D234" s="503"/>
      <c r="E234" s="503"/>
      <c r="F234" s="503"/>
      <c r="G234" s="503"/>
      <c r="H234" s="503"/>
      <c r="I234" s="503"/>
    </row>
    <row r="235">
      <c r="A235" s="502"/>
      <c r="B235" s="503"/>
      <c r="C235" s="503"/>
      <c r="D235" s="503"/>
      <c r="E235" s="503"/>
      <c r="F235" s="503"/>
      <c r="G235" s="503"/>
      <c r="H235" s="503"/>
      <c r="I235" s="503"/>
    </row>
    <row r="236">
      <c r="A236" s="502"/>
      <c r="B236" s="503"/>
      <c r="C236" s="503"/>
      <c r="D236" s="503"/>
      <c r="E236" s="503"/>
      <c r="F236" s="503"/>
      <c r="G236" s="503"/>
      <c r="H236" s="503"/>
      <c r="I236" s="503"/>
    </row>
    <row r="237">
      <c r="A237" s="502"/>
      <c r="B237" s="503"/>
      <c r="C237" s="503"/>
      <c r="D237" s="503"/>
      <c r="E237" s="503"/>
      <c r="F237" s="503"/>
      <c r="G237" s="503"/>
      <c r="H237" s="503"/>
      <c r="I237" s="503"/>
    </row>
    <row r="238">
      <c r="A238" s="502"/>
      <c r="B238" s="503"/>
      <c r="C238" s="503"/>
      <c r="D238" s="503"/>
      <c r="E238" s="503"/>
      <c r="F238" s="503"/>
      <c r="G238" s="503"/>
      <c r="H238" s="503"/>
      <c r="I238" s="503"/>
    </row>
    <row r="239">
      <c r="A239" s="502"/>
      <c r="B239" s="503"/>
      <c r="C239" s="503"/>
      <c r="D239" s="503"/>
      <c r="E239" s="503"/>
      <c r="F239" s="503"/>
      <c r="G239" s="503"/>
      <c r="H239" s="503"/>
      <c r="I239" s="503"/>
    </row>
    <row r="240">
      <c r="A240" s="502"/>
      <c r="B240" s="503"/>
      <c r="C240" s="503"/>
      <c r="D240" s="503"/>
      <c r="E240" s="503"/>
      <c r="F240" s="503"/>
      <c r="G240" s="503"/>
      <c r="H240" s="503"/>
      <c r="I240" s="503"/>
    </row>
    <row r="241">
      <c r="A241" s="502"/>
      <c r="B241" s="503"/>
      <c r="C241" s="503"/>
      <c r="D241" s="503"/>
      <c r="E241" s="503"/>
      <c r="F241" s="503"/>
      <c r="G241" s="503"/>
      <c r="H241" s="503"/>
      <c r="I241" s="503"/>
    </row>
    <row r="242">
      <c r="A242" s="502"/>
      <c r="B242" s="503"/>
      <c r="C242" s="503"/>
      <c r="D242" s="503"/>
      <c r="E242" s="503"/>
      <c r="F242" s="503"/>
      <c r="G242" s="503"/>
      <c r="H242" s="503"/>
      <c r="I242" s="503"/>
    </row>
    <row r="243">
      <c r="A243" s="502"/>
      <c r="B243" s="503"/>
      <c r="C243" s="503"/>
      <c r="D243" s="503"/>
      <c r="E243" s="503"/>
      <c r="F243" s="503"/>
      <c r="G243" s="503"/>
      <c r="H243" s="503"/>
      <c r="I243" s="503"/>
    </row>
    <row r="244">
      <c r="A244" s="502"/>
      <c r="B244" s="503"/>
      <c r="C244" s="503"/>
      <c r="D244" s="503"/>
      <c r="E244" s="503"/>
      <c r="F244" s="503"/>
      <c r="G244" s="503"/>
      <c r="H244" s="503"/>
      <c r="I244" s="503"/>
    </row>
    <row r="245">
      <c r="A245" s="502"/>
      <c r="B245" s="503"/>
      <c r="C245" s="503"/>
      <c r="D245" s="503"/>
      <c r="E245" s="503"/>
      <c r="F245" s="503"/>
      <c r="G245" s="503"/>
      <c r="H245" s="503"/>
      <c r="I245" s="503"/>
    </row>
    <row r="246">
      <c r="A246" s="502"/>
      <c r="B246" s="503"/>
      <c r="C246" s="503"/>
      <c r="D246" s="503"/>
      <c r="E246" s="503"/>
      <c r="F246" s="503"/>
      <c r="G246" s="503"/>
      <c r="H246" s="503"/>
      <c r="I246" s="503"/>
    </row>
    <row r="247">
      <c r="A247" s="502"/>
      <c r="B247" s="503"/>
      <c r="C247" s="503"/>
      <c r="D247" s="503"/>
      <c r="E247" s="503"/>
      <c r="F247" s="503"/>
      <c r="G247" s="503"/>
      <c r="H247" s="503"/>
      <c r="I247" s="503"/>
    </row>
    <row r="248">
      <c r="A248" s="502"/>
      <c r="B248" s="503"/>
      <c r="C248" s="503"/>
      <c r="D248" s="503"/>
      <c r="E248" s="503"/>
      <c r="F248" s="503"/>
      <c r="G248" s="503"/>
      <c r="H248" s="503"/>
      <c r="I248" s="503"/>
    </row>
    <row r="249">
      <c r="A249" s="502"/>
      <c r="B249" s="503"/>
      <c r="C249" s="503"/>
      <c r="D249" s="503"/>
      <c r="E249" s="503"/>
      <c r="F249" s="503"/>
      <c r="G249" s="503"/>
      <c r="H249" s="503"/>
      <c r="I249" s="503"/>
    </row>
    <row r="250">
      <c r="A250" s="502"/>
      <c r="B250" s="503"/>
      <c r="C250" s="503"/>
      <c r="D250" s="503"/>
      <c r="E250" s="503"/>
      <c r="F250" s="503"/>
      <c r="G250" s="503"/>
      <c r="H250" s="503"/>
      <c r="I250" s="503"/>
    </row>
    <row r="251">
      <c r="A251" s="502"/>
      <c r="B251" s="503"/>
      <c r="C251" s="503"/>
      <c r="D251" s="503"/>
      <c r="E251" s="503"/>
      <c r="F251" s="503"/>
      <c r="G251" s="503"/>
      <c r="H251" s="503"/>
      <c r="I251" s="503"/>
    </row>
    <row r="252">
      <c r="A252" s="502"/>
      <c r="B252" s="503"/>
      <c r="C252" s="503"/>
      <c r="D252" s="503"/>
      <c r="E252" s="503"/>
      <c r="F252" s="503"/>
      <c r="G252" s="503"/>
      <c r="H252" s="503"/>
      <c r="I252" s="503"/>
    </row>
    <row r="253">
      <c r="A253" s="502"/>
      <c r="B253" s="503"/>
      <c r="C253" s="503"/>
      <c r="D253" s="503"/>
      <c r="E253" s="503"/>
      <c r="F253" s="503"/>
      <c r="G253" s="503"/>
      <c r="H253" s="503"/>
      <c r="I253" s="503"/>
    </row>
    <row r="254">
      <c r="A254" s="502"/>
      <c r="B254" s="503"/>
      <c r="C254" s="503"/>
      <c r="D254" s="503"/>
      <c r="E254" s="503"/>
      <c r="F254" s="503"/>
      <c r="G254" s="503"/>
      <c r="H254" s="503"/>
      <c r="I254" s="503"/>
    </row>
    <row r="255">
      <c r="A255" s="502"/>
      <c r="B255" s="503"/>
      <c r="C255" s="503"/>
      <c r="D255" s="503"/>
      <c r="E255" s="503"/>
      <c r="F255" s="503"/>
      <c r="G255" s="503"/>
      <c r="H255" s="503"/>
      <c r="I255" s="503"/>
    </row>
    <row r="256">
      <c r="A256" s="502"/>
      <c r="B256" s="503"/>
      <c r="C256" s="503"/>
      <c r="D256" s="503"/>
      <c r="E256" s="503"/>
      <c r="F256" s="503"/>
      <c r="G256" s="503"/>
      <c r="H256" s="503"/>
      <c r="I256" s="503"/>
    </row>
    <row r="257">
      <c r="A257" s="502"/>
      <c r="B257" s="503"/>
      <c r="C257" s="503"/>
      <c r="D257" s="503"/>
      <c r="E257" s="503"/>
      <c r="F257" s="503"/>
      <c r="G257" s="503"/>
      <c r="H257" s="503"/>
      <c r="I257" s="503"/>
    </row>
    <row r="258">
      <c r="A258" s="502"/>
      <c r="B258" s="503"/>
      <c r="C258" s="503"/>
      <c r="D258" s="503"/>
      <c r="E258" s="503"/>
      <c r="F258" s="503"/>
      <c r="G258" s="503"/>
      <c r="H258" s="503"/>
      <c r="I258" s="503"/>
    </row>
    <row r="259">
      <c r="A259" s="502"/>
      <c r="B259" s="503"/>
      <c r="C259" s="503"/>
      <c r="D259" s="503"/>
      <c r="E259" s="503"/>
      <c r="F259" s="503"/>
      <c r="G259" s="503"/>
      <c r="H259" s="503"/>
      <c r="I259" s="503"/>
    </row>
    <row r="260">
      <c r="A260" s="502"/>
      <c r="B260" s="503"/>
      <c r="C260" s="503"/>
      <c r="D260" s="503"/>
      <c r="E260" s="503"/>
      <c r="F260" s="503"/>
      <c r="G260" s="503"/>
      <c r="H260" s="503"/>
      <c r="I260" s="503"/>
    </row>
    <row r="261">
      <c r="A261" s="502"/>
      <c r="B261" s="503"/>
      <c r="C261" s="503"/>
      <c r="D261" s="503"/>
      <c r="E261" s="503"/>
      <c r="F261" s="503"/>
      <c r="G261" s="503"/>
      <c r="H261" s="503"/>
      <c r="I261" s="503"/>
    </row>
    <row r="262">
      <c r="A262" s="502"/>
      <c r="B262" s="503"/>
      <c r="C262" s="503"/>
      <c r="D262" s="503"/>
      <c r="E262" s="503"/>
      <c r="F262" s="503"/>
      <c r="G262" s="503"/>
      <c r="H262" s="503"/>
      <c r="I262" s="503"/>
    </row>
    <row r="263">
      <c r="A263" s="502"/>
      <c r="B263" s="503"/>
      <c r="C263" s="503"/>
      <c r="D263" s="503"/>
      <c r="E263" s="503"/>
      <c r="F263" s="503"/>
      <c r="G263" s="503"/>
      <c r="H263" s="503"/>
      <c r="I263" s="503"/>
    </row>
    <row r="264">
      <c r="A264" s="502"/>
      <c r="B264" s="503"/>
      <c r="C264" s="503"/>
      <c r="D264" s="503"/>
      <c r="E264" s="503"/>
      <c r="F264" s="503"/>
      <c r="G264" s="503"/>
      <c r="H264" s="503"/>
      <c r="I264" s="503"/>
    </row>
    <row r="265">
      <c r="A265" s="502"/>
      <c r="B265" s="503"/>
      <c r="C265" s="503"/>
      <c r="D265" s="503"/>
      <c r="E265" s="503"/>
      <c r="F265" s="503"/>
      <c r="G265" s="503"/>
      <c r="H265" s="503"/>
      <c r="I265" s="503"/>
    </row>
    <row r="266">
      <c r="A266" s="502"/>
      <c r="B266" s="503"/>
      <c r="C266" s="503"/>
      <c r="D266" s="503"/>
      <c r="E266" s="503"/>
      <c r="F266" s="503"/>
      <c r="G266" s="503"/>
      <c r="H266" s="503"/>
      <c r="I266" s="503"/>
    </row>
    <row r="267">
      <c r="A267" s="502"/>
      <c r="B267" s="503"/>
      <c r="C267" s="503"/>
      <c r="D267" s="503"/>
      <c r="E267" s="503"/>
      <c r="F267" s="503"/>
      <c r="G267" s="503"/>
      <c r="H267" s="503"/>
      <c r="I267" s="503"/>
    </row>
    <row r="268">
      <c r="A268" s="502"/>
      <c r="B268" s="503"/>
      <c r="C268" s="503"/>
      <c r="D268" s="503"/>
      <c r="E268" s="503"/>
      <c r="F268" s="503"/>
      <c r="G268" s="503"/>
      <c r="H268" s="503"/>
      <c r="I268" s="503"/>
    </row>
    <row r="269">
      <c r="A269" s="502"/>
      <c r="B269" s="503"/>
      <c r="C269" s="503"/>
      <c r="D269" s="503"/>
      <c r="E269" s="503"/>
      <c r="F269" s="503"/>
      <c r="G269" s="503"/>
      <c r="H269" s="503"/>
      <c r="I269" s="503"/>
    </row>
    <row r="270">
      <c r="A270" s="502"/>
      <c r="B270" s="503"/>
      <c r="C270" s="503"/>
      <c r="D270" s="503"/>
      <c r="E270" s="503"/>
      <c r="F270" s="503"/>
      <c r="G270" s="503"/>
      <c r="H270" s="503"/>
      <c r="I270" s="503"/>
    </row>
    <row r="271">
      <c r="A271" s="502"/>
      <c r="B271" s="503"/>
      <c r="C271" s="503"/>
      <c r="D271" s="503"/>
      <c r="E271" s="503"/>
      <c r="F271" s="503"/>
      <c r="G271" s="503"/>
      <c r="H271" s="503"/>
      <c r="I271" s="503"/>
    </row>
    <row r="272">
      <c r="A272" s="502"/>
      <c r="B272" s="503"/>
      <c r="C272" s="503"/>
      <c r="D272" s="503"/>
      <c r="E272" s="503"/>
      <c r="F272" s="503"/>
      <c r="G272" s="503"/>
      <c r="H272" s="503"/>
      <c r="I272" s="503"/>
    </row>
    <row r="273">
      <c r="A273" s="502"/>
      <c r="B273" s="503"/>
      <c r="C273" s="503"/>
      <c r="D273" s="503"/>
      <c r="E273" s="503"/>
      <c r="F273" s="503"/>
      <c r="G273" s="503"/>
      <c r="H273" s="503"/>
      <c r="I273" s="503"/>
    </row>
    <row r="274">
      <c r="A274" s="502"/>
      <c r="B274" s="503"/>
      <c r="C274" s="503"/>
      <c r="D274" s="503"/>
      <c r="E274" s="503"/>
      <c r="F274" s="503"/>
      <c r="G274" s="503"/>
      <c r="H274" s="503"/>
      <c r="I274" s="503"/>
    </row>
    <row r="275">
      <c r="A275" s="502"/>
      <c r="B275" s="503"/>
      <c r="C275" s="503"/>
      <c r="D275" s="503"/>
      <c r="E275" s="503"/>
      <c r="F275" s="503"/>
      <c r="G275" s="503"/>
      <c r="H275" s="503"/>
      <c r="I275" s="503"/>
    </row>
    <row r="276">
      <c r="A276" s="502"/>
      <c r="B276" s="503"/>
      <c r="C276" s="503"/>
      <c r="D276" s="503"/>
      <c r="E276" s="503"/>
      <c r="F276" s="503"/>
      <c r="G276" s="503"/>
      <c r="H276" s="503"/>
      <c r="I276" s="503"/>
    </row>
    <row r="277">
      <c r="A277" s="502"/>
      <c r="B277" s="503"/>
      <c r="C277" s="503"/>
      <c r="D277" s="503"/>
      <c r="E277" s="503"/>
      <c r="F277" s="503"/>
      <c r="G277" s="503"/>
      <c r="H277" s="503"/>
      <c r="I277" s="503"/>
    </row>
    <row r="278">
      <c r="A278" s="502"/>
      <c r="B278" s="503"/>
      <c r="C278" s="503"/>
      <c r="D278" s="503"/>
      <c r="E278" s="503"/>
      <c r="F278" s="503"/>
      <c r="G278" s="503"/>
      <c r="H278" s="503"/>
      <c r="I278" s="503"/>
    </row>
    <row r="279">
      <c r="A279" s="502"/>
      <c r="B279" s="503"/>
      <c r="C279" s="503"/>
      <c r="D279" s="503"/>
      <c r="E279" s="503"/>
      <c r="F279" s="503"/>
      <c r="G279" s="503"/>
      <c r="H279" s="503"/>
      <c r="I279" s="503"/>
    </row>
    <row r="280">
      <c r="A280" s="502"/>
      <c r="B280" s="503"/>
      <c r="C280" s="503"/>
      <c r="D280" s="503"/>
      <c r="E280" s="503"/>
      <c r="F280" s="503"/>
      <c r="G280" s="503"/>
      <c r="H280" s="503"/>
      <c r="I280" s="503"/>
    </row>
    <row r="281">
      <c r="A281" s="502"/>
      <c r="B281" s="503"/>
      <c r="C281" s="503"/>
      <c r="D281" s="503"/>
      <c r="E281" s="503"/>
      <c r="F281" s="503"/>
      <c r="G281" s="503"/>
      <c r="H281" s="503"/>
      <c r="I281" s="503"/>
    </row>
    <row r="282">
      <c r="A282" s="502"/>
      <c r="B282" s="503"/>
      <c r="C282" s="503"/>
      <c r="D282" s="503"/>
      <c r="E282" s="503"/>
      <c r="F282" s="503"/>
      <c r="G282" s="503"/>
      <c r="H282" s="503"/>
      <c r="I282" s="503"/>
    </row>
    <row r="283">
      <c r="A283" s="502"/>
      <c r="B283" s="503"/>
      <c r="C283" s="503"/>
      <c r="D283" s="503"/>
      <c r="E283" s="503"/>
      <c r="F283" s="503"/>
      <c r="G283" s="503"/>
      <c r="H283" s="503"/>
      <c r="I283" s="503"/>
    </row>
    <row r="284">
      <c r="A284" s="502"/>
      <c r="B284" s="503"/>
      <c r="C284" s="503"/>
      <c r="D284" s="503"/>
      <c r="E284" s="503"/>
      <c r="F284" s="503"/>
      <c r="G284" s="503"/>
      <c r="H284" s="503"/>
      <c r="I284" s="503"/>
    </row>
    <row r="285">
      <c r="A285" s="502"/>
      <c r="B285" s="503"/>
      <c r="C285" s="503"/>
      <c r="D285" s="503"/>
      <c r="E285" s="503"/>
      <c r="F285" s="503"/>
      <c r="G285" s="503"/>
      <c r="H285" s="503"/>
      <c r="I285" s="503"/>
    </row>
    <row r="286">
      <c r="A286" s="502"/>
      <c r="B286" s="503"/>
      <c r="C286" s="503"/>
      <c r="D286" s="503"/>
      <c r="E286" s="503"/>
      <c r="F286" s="503"/>
      <c r="G286" s="503"/>
      <c r="H286" s="503"/>
      <c r="I286" s="503"/>
    </row>
    <row r="287">
      <c r="A287" s="502"/>
      <c r="B287" s="503"/>
      <c r="C287" s="503"/>
      <c r="D287" s="503"/>
      <c r="E287" s="503"/>
      <c r="F287" s="503"/>
      <c r="G287" s="503"/>
      <c r="H287" s="503"/>
      <c r="I287" s="503"/>
    </row>
    <row r="288">
      <c r="A288" s="502"/>
      <c r="B288" s="503"/>
      <c r="C288" s="503"/>
      <c r="D288" s="503"/>
      <c r="E288" s="503"/>
      <c r="F288" s="503"/>
      <c r="G288" s="503"/>
      <c r="H288" s="503"/>
      <c r="I288" s="503"/>
    </row>
    <row r="289">
      <c r="A289" s="502"/>
      <c r="B289" s="503"/>
      <c r="C289" s="503"/>
      <c r="D289" s="503"/>
      <c r="E289" s="503"/>
      <c r="F289" s="503"/>
      <c r="G289" s="503"/>
      <c r="H289" s="503"/>
      <c r="I289" s="503"/>
    </row>
    <row r="290">
      <c r="A290" s="502"/>
      <c r="B290" s="503"/>
      <c r="C290" s="503"/>
      <c r="D290" s="503"/>
      <c r="E290" s="503"/>
      <c r="F290" s="503"/>
      <c r="G290" s="503"/>
      <c r="H290" s="503"/>
      <c r="I290" s="503"/>
    </row>
    <row r="291">
      <c r="A291" s="502"/>
      <c r="B291" s="503"/>
      <c r="C291" s="503"/>
      <c r="D291" s="503"/>
      <c r="E291" s="503"/>
      <c r="F291" s="503"/>
      <c r="G291" s="503"/>
      <c r="H291" s="503"/>
      <c r="I291" s="503"/>
    </row>
    <row r="292">
      <c r="A292" s="502"/>
      <c r="B292" s="503"/>
      <c r="C292" s="503"/>
      <c r="D292" s="503"/>
      <c r="E292" s="503"/>
      <c r="F292" s="503"/>
      <c r="G292" s="503"/>
      <c r="H292" s="503"/>
      <c r="I292" s="503"/>
    </row>
    <row r="293">
      <c r="A293" s="502"/>
      <c r="B293" s="503"/>
      <c r="C293" s="503"/>
      <c r="D293" s="503"/>
      <c r="E293" s="503"/>
      <c r="F293" s="503"/>
      <c r="G293" s="503"/>
      <c r="H293" s="503"/>
      <c r="I293" s="503"/>
    </row>
    <row r="294">
      <c r="A294" s="502"/>
      <c r="B294" s="503"/>
      <c r="C294" s="503"/>
      <c r="D294" s="503"/>
      <c r="E294" s="503"/>
      <c r="F294" s="503"/>
      <c r="G294" s="503"/>
      <c r="H294" s="503"/>
      <c r="I294" s="503"/>
    </row>
    <row r="295">
      <c r="A295" s="502"/>
      <c r="B295" s="503"/>
      <c r="C295" s="503"/>
      <c r="D295" s="503"/>
      <c r="E295" s="503"/>
      <c r="F295" s="503"/>
      <c r="G295" s="503"/>
      <c r="H295" s="503"/>
      <c r="I295" s="503"/>
    </row>
    <row r="296">
      <c r="A296" s="502"/>
      <c r="B296" s="503"/>
      <c r="C296" s="503"/>
      <c r="D296" s="503"/>
      <c r="E296" s="503"/>
      <c r="F296" s="503"/>
      <c r="G296" s="503"/>
      <c r="H296" s="503"/>
      <c r="I296" s="503"/>
    </row>
    <row r="297">
      <c r="A297" s="502"/>
      <c r="B297" s="503"/>
      <c r="C297" s="503"/>
      <c r="D297" s="503"/>
      <c r="E297" s="503"/>
      <c r="F297" s="503"/>
      <c r="G297" s="503"/>
      <c r="H297" s="503"/>
      <c r="I297" s="503"/>
    </row>
    <row r="298">
      <c r="A298" s="502"/>
      <c r="B298" s="503"/>
      <c r="C298" s="503"/>
      <c r="D298" s="503"/>
      <c r="E298" s="503"/>
      <c r="F298" s="503"/>
      <c r="G298" s="503"/>
      <c r="H298" s="503"/>
      <c r="I298" s="503"/>
    </row>
    <row r="299">
      <c r="A299" s="502"/>
      <c r="B299" s="503"/>
      <c r="C299" s="503"/>
      <c r="D299" s="503"/>
      <c r="E299" s="503"/>
      <c r="F299" s="503"/>
      <c r="G299" s="503"/>
      <c r="H299" s="503"/>
      <c r="I299" s="503"/>
    </row>
    <row r="300">
      <c r="A300" s="502"/>
      <c r="B300" s="503"/>
      <c r="C300" s="503"/>
      <c r="D300" s="503"/>
      <c r="E300" s="503"/>
      <c r="F300" s="503"/>
      <c r="G300" s="503"/>
      <c r="H300" s="503"/>
      <c r="I300" s="503"/>
    </row>
    <row r="301">
      <c r="A301" s="502"/>
      <c r="B301" s="503"/>
      <c r="C301" s="503"/>
      <c r="D301" s="503"/>
      <c r="E301" s="503"/>
      <c r="F301" s="503"/>
      <c r="G301" s="503"/>
      <c r="H301" s="503"/>
      <c r="I301" s="503"/>
    </row>
    <row r="302">
      <c r="A302" s="502"/>
      <c r="B302" s="503"/>
      <c r="C302" s="503"/>
      <c r="D302" s="503"/>
      <c r="E302" s="503"/>
      <c r="F302" s="503"/>
      <c r="G302" s="503"/>
      <c r="H302" s="503"/>
      <c r="I302" s="503"/>
    </row>
    <row r="303">
      <c r="A303" s="502"/>
      <c r="B303" s="503"/>
      <c r="C303" s="503"/>
      <c r="D303" s="503"/>
      <c r="E303" s="503"/>
      <c r="F303" s="503"/>
      <c r="G303" s="503"/>
      <c r="H303" s="503"/>
      <c r="I303" s="503"/>
    </row>
    <row r="304">
      <c r="A304" s="502"/>
      <c r="B304" s="503"/>
      <c r="C304" s="503"/>
      <c r="D304" s="503"/>
      <c r="E304" s="503"/>
      <c r="F304" s="503"/>
      <c r="G304" s="503"/>
      <c r="H304" s="503"/>
      <c r="I304" s="503"/>
    </row>
    <row r="305">
      <c r="A305" s="502"/>
      <c r="B305" s="503"/>
      <c r="C305" s="503"/>
      <c r="D305" s="503"/>
      <c r="E305" s="503"/>
      <c r="F305" s="503"/>
      <c r="G305" s="503"/>
      <c r="H305" s="503"/>
      <c r="I305" s="503"/>
    </row>
    <row r="306">
      <c r="A306" s="502"/>
      <c r="B306" s="503"/>
      <c r="C306" s="503"/>
      <c r="D306" s="503"/>
      <c r="E306" s="503"/>
      <c r="F306" s="503"/>
      <c r="G306" s="503"/>
      <c r="H306" s="503"/>
      <c r="I306" s="503"/>
    </row>
    <row r="307">
      <c r="A307" s="502"/>
      <c r="B307" s="503"/>
      <c r="C307" s="503"/>
      <c r="D307" s="503"/>
      <c r="E307" s="503"/>
      <c r="F307" s="503"/>
      <c r="G307" s="503"/>
      <c r="H307" s="503"/>
      <c r="I307" s="503"/>
    </row>
    <row r="308">
      <c r="A308" s="502"/>
      <c r="B308" s="503"/>
      <c r="C308" s="503"/>
      <c r="D308" s="503"/>
      <c r="E308" s="503"/>
      <c r="F308" s="503"/>
      <c r="G308" s="503"/>
      <c r="H308" s="503"/>
      <c r="I308" s="503"/>
    </row>
    <row r="309">
      <c r="A309" s="502"/>
      <c r="B309" s="503"/>
      <c r="C309" s="503"/>
      <c r="D309" s="503"/>
      <c r="E309" s="503"/>
      <c r="F309" s="503"/>
      <c r="G309" s="503"/>
      <c r="H309" s="503"/>
      <c r="I309" s="503"/>
    </row>
    <row r="310">
      <c r="A310" s="502"/>
      <c r="B310" s="503"/>
      <c r="C310" s="503"/>
      <c r="D310" s="503"/>
      <c r="E310" s="503"/>
      <c r="F310" s="503"/>
      <c r="G310" s="503"/>
      <c r="H310" s="503"/>
      <c r="I310" s="503"/>
    </row>
    <row r="311">
      <c r="A311" s="502"/>
      <c r="B311" s="503"/>
      <c r="C311" s="503"/>
      <c r="D311" s="503"/>
      <c r="E311" s="503"/>
      <c r="F311" s="503"/>
      <c r="G311" s="503"/>
      <c r="H311" s="503"/>
      <c r="I311" s="503"/>
    </row>
    <row r="312">
      <c r="A312" s="502"/>
      <c r="B312" s="503"/>
      <c r="C312" s="503"/>
      <c r="D312" s="503"/>
      <c r="E312" s="503"/>
      <c r="F312" s="503"/>
      <c r="G312" s="503"/>
      <c r="H312" s="503"/>
      <c r="I312" s="503"/>
    </row>
    <row r="313">
      <c r="A313" s="502"/>
      <c r="B313" s="503"/>
      <c r="C313" s="503"/>
      <c r="D313" s="503"/>
      <c r="E313" s="503"/>
      <c r="F313" s="503"/>
      <c r="G313" s="503"/>
      <c r="H313" s="503"/>
      <c r="I313" s="503"/>
    </row>
    <row r="314">
      <c r="A314" s="502"/>
      <c r="B314" s="503"/>
      <c r="C314" s="503"/>
      <c r="D314" s="503"/>
      <c r="E314" s="503"/>
      <c r="F314" s="503"/>
      <c r="G314" s="503"/>
      <c r="H314" s="503"/>
      <c r="I314" s="503"/>
    </row>
    <row r="315">
      <c r="A315" s="502"/>
      <c r="B315" s="503"/>
      <c r="C315" s="503"/>
      <c r="D315" s="503"/>
      <c r="E315" s="503"/>
      <c r="F315" s="503"/>
      <c r="G315" s="503"/>
      <c r="H315" s="503"/>
      <c r="I315" s="503"/>
    </row>
    <row r="316">
      <c r="A316" s="502"/>
      <c r="B316" s="503"/>
      <c r="C316" s="503"/>
      <c r="D316" s="503"/>
      <c r="E316" s="503"/>
      <c r="F316" s="503"/>
      <c r="G316" s="503"/>
      <c r="H316" s="503"/>
      <c r="I316" s="503"/>
    </row>
    <row r="317">
      <c r="A317" s="502"/>
      <c r="B317" s="503"/>
      <c r="C317" s="503"/>
      <c r="D317" s="503"/>
      <c r="E317" s="503"/>
      <c r="F317" s="503"/>
      <c r="G317" s="503"/>
      <c r="H317" s="503"/>
      <c r="I317" s="503"/>
    </row>
    <row r="318">
      <c r="A318" s="502"/>
      <c r="B318" s="503"/>
      <c r="C318" s="503"/>
      <c r="D318" s="503"/>
      <c r="E318" s="503"/>
      <c r="F318" s="503"/>
      <c r="G318" s="503"/>
      <c r="H318" s="503"/>
      <c r="I318" s="503"/>
    </row>
    <row r="319">
      <c r="A319" s="502"/>
      <c r="B319" s="503"/>
      <c r="C319" s="503"/>
      <c r="D319" s="503"/>
      <c r="E319" s="503"/>
      <c r="F319" s="503"/>
      <c r="G319" s="503"/>
      <c r="H319" s="503"/>
      <c r="I319" s="503"/>
    </row>
    <row r="320">
      <c r="A320" s="502"/>
      <c r="B320" s="503"/>
      <c r="C320" s="503"/>
      <c r="D320" s="503"/>
      <c r="E320" s="503"/>
      <c r="F320" s="503"/>
      <c r="G320" s="503"/>
      <c r="H320" s="503"/>
      <c r="I320" s="503"/>
    </row>
    <row r="321">
      <c r="A321" s="502"/>
      <c r="B321" s="503"/>
      <c r="C321" s="503"/>
      <c r="D321" s="503"/>
      <c r="E321" s="503"/>
      <c r="F321" s="503"/>
      <c r="G321" s="503"/>
      <c r="H321" s="503"/>
      <c r="I321" s="503"/>
    </row>
    <row r="322">
      <c r="A322" s="502"/>
      <c r="B322" s="503"/>
      <c r="C322" s="503"/>
      <c r="D322" s="503"/>
      <c r="E322" s="503"/>
      <c r="F322" s="503"/>
      <c r="G322" s="503"/>
      <c r="H322" s="503"/>
      <c r="I322" s="503"/>
    </row>
    <row r="323">
      <c r="A323" s="502"/>
      <c r="B323" s="503"/>
      <c r="C323" s="503"/>
      <c r="D323" s="503"/>
      <c r="E323" s="503"/>
      <c r="F323" s="503"/>
      <c r="G323" s="503"/>
      <c r="H323" s="503"/>
      <c r="I323" s="503"/>
    </row>
    <row r="324">
      <c r="A324" s="502"/>
      <c r="B324" s="503"/>
      <c r="C324" s="503"/>
      <c r="D324" s="503"/>
      <c r="E324" s="503"/>
      <c r="F324" s="503"/>
      <c r="G324" s="503"/>
      <c r="H324" s="503"/>
      <c r="I324" s="503"/>
    </row>
    <row r="325">
      <c r="A325" s="502"/>
      <c r="B325" s="503"/>
      <c r="C325" s="503"/>
      <c r="D325" s="503"/>
      <c r="E325" s="503"/>
      <c r="F325" s="503"/>
      <c r="G325" s="503"/>
      <c r="H325" s="503"/>
      <c r="I325" s="503"/>
    </row>
    <row r="326">
      <c r="A326" s="502"/>
      <c r="B326" s="503"/>
      <c r="C326" s="503"/>
      <c r="D326" s="503"/>
      <c r="E326" s="503"/>
      <c r="F326" s="503"/>
      <c r="G326" s="503"/>
      <c r="H326" s="503"/>
      <c r="I326" s="503"/>
    </row>
    <row r="327">
      <c r="A327" s="502"/>
      <c r="B327" s="503"/>
      <c r="C327" s="503"/>
      <c r="D327" s="503"/>
      <c r="E327" s="503"/>
      <c r="F327" s="503"/>
      <c r="G327" s="503"/>
      <c r="H327" s="503"/>
      <c r="I327" s="503"/>
    </row>
    <row r="328">
      <c r="A328" s="502"/>
      <c r="B328" s="503"/>
      <c r="C328" s="503"/>
      <c r="D328" s="503"/>
      <c r="E328" s="503"/>
      <c r="F328" s="503"/>
      <c r="G328" s="503"/>
      <c r="H328" s="503"/>
      <c r="I328" s="503"/>
    </row>
    <row r="329">
      <c r="A329" s="502"/>
      <c r="B329" s="503"/>
      <c r="C329" s="503"/>
      <c r="D329" s="503"/>
      <c r="E329" s="503"/>
      <c r="F329" s="503"/>
      <c r="G329" s="503"/>
      <c r="H329" s="503"/>
      <c r="I329" s="503"/>
    </row>
    <row r="330">
      <c r="A330" s="502"/>
      <c r="B330" s="503"/>
      <c r="C330" s="503"/>
      <c r="D330" s="503"/>
      <c r="E330" s="503"/>
      <c r="F330" s="503"/>
      <c r="G330" s="503"/>
      <c r="H330" s="503"/>
      <c r="I330" s="503"/>
    </row>
    <row r="331">
      <c r="A331" s="502"/>
      <c r="B331" s="503"/>
      <c r="C331" s="503"/>
      <c r="D331" s="503"/>
      <c r="E331" s="503"/>
      <c r="F331" s="503"/>
      <c r="G331" s="503"/>
      <c r="H331" s="503"/>
      <c r="I331" s="503"/>
    </row>
    <row r="332">
      <c r="A332" s="502"/>
      <c r="B332" s="503"/>
      <c r="C332" s="503"/>
      <c r="D332" s="503"/>
      <c r="E332" s="503"/>
      <c r="F332" s="503"/>
      <c r="G332" s="503"/>
      <c r="H332" s="503"/>
      <c r="I332" s="503"/>
    </row>
    <row r="333">
      <c r="A333" s="502"/>
      <c r="B333" s="503"/>
      <c r="C333" s="503"/>
      <c r="D333" s="503"/>
      <c r="E333" s="503"/>
      <c r="F333" s="503"/>
      <c r="G333" s="503"/>
      <c r="H333" s="503"/>
      <c r="I333" s="503"/>
    </row>
    <row r="334">
      <c r="A334" s="502"/>
      <c r="B334" s="503"/>
      <c r="C334" s="503"/>
      <c r="D334" s="503"/>
      <c r="E334" s="503"/>
      <c r="F334" s="503"/>
      <c r="G334" s="503"/>
      <c r="H334" s="503"/>
      <c r="I334" s="503"/>
    </row>
    <row r="335">
      <c r="A335" s="502"/>
      <c r="B335" s="503"/>
      <c r="C335" s="503"/>
      <c r="D335" s="503"/>
      <c r="E335" s="503"/>
      <c r="F335" s="503"/>
      <c r="G335" s="503"/>
      <c r="H335" s="503"/>
      <c r="I335" s="503"/>
    </row>
    <row r="336">
      <c r="A336" s="502"/>
      <c r="B336" s="503"/>
      <c r="C336" s="503"/>
      <c r="D336" s="503"/>
      <c r="E336" s="503"/>
      <c r="F336" s="503"/>
      <c r="G336" s="503"/>
      <c r="H336" s="503"/>
      <c r="I336" s="503"/>
    </row>
    <row r="337">
      <c r="A337" s="502"/>
      <c r="B337" s="503"/>
      <c r="C337" s="503"/>
      <c r="D337" s="503"/>
      <c r="E337" s="503"/>
      <c r="F337" s="503"/>
      <c r="G337" s="503"/>
      <c r="H337" s="503"/>
      <c r="I337" s="503"/>
    </row>
    <row r="338">
      <c r="A338" s="502"/>
      <c r="B338" s="503"/>
      <c r="C338" s="503"/>
      <c r="D338" s="503"/>
      <c r="E338" s="503"/>
      <c r="F338" s="503"/>
      <c r="G338" s="503"/>
      <c r="H338" s="503"/>
      <c r="I338" s="503"/>
    </row>
    <row r="339">
      <c r="A339" s="502"/>
      <c r="B339" s="503"/>
      <c r="C339" s="503"/>
      <c r="D339" s="503"/>
      <c r="E339" s="503"/>
      <c r="F339" s="503"/>
      <c r="G339" s="503"/>
      <c r="H339" s="503"/>
      <c r="I339" s="503"/>
    </row>
    <row r="340">
      <c r="A340" s="502"/>
      <c r="B340" s="503"/>
      <c r="C340" s="503"/>
      <c r="D340" s="503"/>
      <c r="E340" s="503"/>
      <c r="F340" s="503"/>
      <c r="G340" s="503"/>
      <c r="H340" s="503"/>
      <c r="I340" s="503"/>
    </row>
    <row r="341">
      <c r="A341" s="502"/>
      <c r="B341" s="503"/>
      <c r="C341" s="503"/>
      <c r="D341" s="503"/>
      <c r="E341" s="503"/>
      <c r="F341" s="503"/>
      <c r="G341" s="503"/>
      <c r="H341" s="503"/>
      <c r="I341" s="503"/>
    </row>
    <row r="342">
      <c r="A342" s="502"/>
      <c r="B342" s="503"/>
      <c r="C342" s="503"/>
      <c r="D342" s="503"/>
      <c r="E342" s="503"/>
      <c r="F342" s="503"/>
      <c r="G342" s="503"/>
      <c r="H342" s="503"/>
      <c r="I342" s="503"/>
    </row>
    <row r="343">
      <c r="A343" s="502"/>
      <c r="B343" s="503"/>
      <c r="C343" s="503"/>
      <c r="D343" s="503"/>
      <c r="E343" s="503"/>
      <c r="F343" s="503"/>
      <c r="G343" s="503"/>
      <c r="H343" s="503"/>
      <c r="I343" s="503"/>
    </row>
    <row r="344">
      <c r="A344" s="502"/>
      <c r="B344" s="503"/>
      <c r="C344" s="503"/>
      <c r="D344" s="503"/>
      <c r="E344" s="503"/>
      <c r="F344" s="503"/>
      <c r="G344" s="503"/>
      <c r="H344" s="503"/>
      <c r="I344" s="503"/>
    </row>
    <row r="345">
      <c r="A345" s="502"/>
      <c r="B345" s="503"/>
      <c r="C345" s="503"/>
      <c r="D345" s="503"/>
      <c r="E345" s="503"/>
      <c r="F345" s="503"/>
      <c r="G345" s="503"/>
      <c r="H345" s="503"/>
      <c r="I345" s="503"/>
    </row>
    <row r="346">
      <c r="A346" s="502"/>
      <c r="B346" s="503"/>
      <c r="C346" s="503"/>
      <c r="D346" s="503"/>
      <c r="E346" s="503"/>
      <c r="F346" s="503"/>
      <c r="G346" s="503"/>
      <c r="H346" s="503"/>
      <c r="I346" s="503"/>
    </row>
    <row r="347">
      <c r="A347" s="502"/>
      <c r="B347" s="503"/>
      <c r="C347" s="503"/>
      <c r="D347" s="503"/>
      <c r="E347" s="503"/>
      <c r="F347" s="503"/>
      <c r="G347" s="503"/>
      <c r="H347" s="503"/>
      <c r="I347" s="503"/>
    </row>
    <row r="348">
      <c r="A348" s="502"/>
      <c r="B348" s="503"/>
      <c r="C348" s="503"/>
      <c r="D348" s="503"/>
      <c r="E348" s="503"/>
      <c r="F348" s="503"/>
      <c r="G348" s="503"/>
      <c r="H348" s="503"/>
      <c r="I348" s="503"/>
    </row>
    <row r="349">
      <c r="A349" s="502"/>
      <c r="B349" s="503"/>
      <c r="C349" s="503"/>
      <c r="D349" s="503"/>
      <c r="E349" s="503"/>
      <c r="F349" s="503"/>
      <c r="G349" s="503"/>
      <c r="H349" s="503"/>
      <c r="I349" s="503"/>
    </row>
    <row r="350">
      <c r="A350" s="502"/>
      <c r="B350" s="503"/>
      <c r="C350" s="503"/>
      <c r="D350" s="503"/>
      <c r="E350" s="503"/>
      <c r="F350" s="503"/>
      <c r="G350" s="503"/>
      <c r="H350" s="503"/>
      <c r="I350" s="503"/>
    </row>
    <row r="351">
      <c r="A351" s="502"/>
      <c r="B351" s="503"/>
      <c r="C351" s="503"/>
      <c r="D351" s="503"/>
      <c r="E351" s="503"/>
      <c r="F351" s="503"/>
      <c r="G351" s="503"/>
      <c r="H351" s="503"/>
      <c r="I351" s="503"/>
    </row>
    <row r="352">
      <c r="A352" s="502"/>
      <c r="B352" s="503"/>
      <c r="C352" s="503"/>
      <c r="D352" s="503"/>
      <c r="E352" s="503"/>
      <c r="F352" s="503"/>
      <c r="G352" s="503"/>
      <c r="H352" s="503"/>
      <c r="I352" s="503"/>
    </row>
    <row r="353">
      <c r="A353" s="502"/>
      <c r="B353" s="503"/>
      <c r="C353" s="503"/>
      <c r="D353" s="503"/>
      <c r="E353" s="503"/>
      <c r="F353" s="503"/>
      <c r="G353" s="503"/>
      <c r="H353" s="503"/>
      <c r="I353" s="503"/>
    </row>
    <row r="354">
      <c r="A354" s="502"/>
      <c r="B354" s="503"/>
      <c r="C354" s="503"/>
      <c r="D354" s="503"/>
      <c r="E354" s="503"/>
      <c r="F354" s="503"/>
      <c r="G354" s="503"/>
      <c r="H354" s="503"/>
      <c r="I354" s="503"/>
    </row>
    <row r="355">
      <c r="A355" s="502"/>
      <c r="B355" s="503"/>
      <c r="C355" s="503"/>
      <c r="D355" s="503"/>
      <c r="E355" s="503"/>
      <c r="F355" s="503"/>
      <c r="G355" s="503"/>
      <c r="H355" s="503"/>
      <c r="I355" s="503"/>
    </row>
    <row r="356">
      <c r="A356" s="502"/>
      <c r="B356" s="503"/>
      <c r="C356" s="503"/>
      <c r="D356" s="503"/>
      <c r="E356" s="503"/>
      <c r="F356" s="503"/>
      <c r="G356" s="503"/>
      <c r="H356" s="503"/>
      <c r="I356" s="503"/>
    </row>
    <row r="357">
      <c r="A357" s="502"/>
      <c r="B357" s="503"/>
      <c r="C357" s="503"/>
      <c r="D357" s="503"/>
      <c r="E357" s="503"/>
      <c r="F357" s="503"/>
      <c r="G357" s="503"/>
      <c r="H357" s="503"/>
      <c r="I357" s="503"/>
    </row>
    <row r="358">
      <c r="A358" s="502"/>
      <c r="B358" s="503"/>
      <c r="C358" s="503"/>
      <c r="D358" s="503"/>
      <c r="E358" s="503"/>
      <c r="F358" s="503"/>
      <c r="G358" s="503"/>
      <c r="H358" s="503"/>
      <c r="I358" s="503"/>
    </row>
    <row r="359">
      <c r="A359" s="502"/>
      <c r="B359" s="503"/>
      <c r="C359" s="503"/>
      <c r="D359" s="503"/>
      <c r="E359" s="503"/>
      <c r="F359" s="503"/>
      <c r="G359" s="503"/>
      <c r="H359" s="503"/>
      <c r="I359" s="503"/>
    </row>
    <row r="360">
      <c r="A360" s="502"/>
      <c r="B360" s="503"/>
      <c r="C360" s="503"/>
      <c r="D360" s="503"/>
      <c r="E360" s="503"/>
      <c r="F360" s="503"/>
      <c r="G360" s="503"/>
      <c r="H360" s="503"/>
      <c r="I360" s="503"/>
    </row>
    <row r="361">
      <c r="A361" s="502"/>
      <c r="B361" s="503"/>
      <c r="C361" s="503"/>
      <c r="D361" s="503"/>
      <c r="E361" s="503"/>
      <c r="F361" s="503"/>
      <c r="G361" s="503"/>
      <c r="H361" s="503"/>
      <c r="I361" s="503"/>
    </row>
    <row r="362">
      <c r="A362" s="502"/>
      <c r="B362" s="503"/>
      <c r="C362" s="503"/>
      <c r="D362" s="503"/>
      <c r="E362" s="503"/>
      <c r="F362" s="503"/>
      <c r="G362" s="503"/>
      <c r="H362" s="503"/>
      <c r="I362" s="503"/>
    </row>
    <row r="363">
      <c r="A363" s="502"/>
      <c r="B363" s="503"/>
      <c r="C363" s="503"/>
      <c r="D363" s="503"/>
      <c r="E363" s="503"/>
      <c r="F363" s="503"/>
      <c r="G363" s="503"/>
      <c r="H363" s="503"/>
      <c r="I363" s="503"/>
    </row>
    <row r="364">
      <c r="A364" s="502"/>
      <c r="B364" s="503"/>
      <c r="C364" s="503"/>
      <c r="D364" s="503"/>
      <c r="E364" s="503"/>
      <c r="F364" s="503"/>
      <c r="G364" s="503"/>
      <c r="H364" s="503"/>
      <c r="I364" s="503"/>
    </row>
    <row r="365">
      <c r="A365" s="502"/>
      <c r="B365" s="503"/>
      <c r="C365" s="503"/>
      <c r="D365" s="503"/>
      <c r="E365" s="503"/>
      <c r="F365" s="503"/>
      <c r="G365" s="503"/>
      <c r="H365" s="503"/>
      <c r="I365" s="503"/>
    </row>
    <row r="366">
      <c r="A366" s="502"/>
      <c r="B366" s="503"/>
      <c r="C366" s="503"/>
      <c r="D366" s="503"/>
      <c r="E366" s="503"/>
      <c r="F366" s="503"/>
      <c r="G366" s="503"/>
      <c r="H366" s="503"/>
      <c r="I366" s="503"/>
    </row>
    <row r="367">
      <c r="A367" s="502"/>
      <c r="B367" s="503"/>
      <c r="C367" s="503"/>
      <c r="D367" s="503"/>
      <c r="E367" s="503"/>
      <c r="F367" s="503"/>
      <c r="G367" s="503"/>
      <c r="H367" s="503"/>
      <c r="I367" s="503"/>
    </row>
    <row r="368">
      <c r="A368" s="502"/>
      <c r="B368" s="503"/>
      <c r="C368" s="503"/>
      <c r="D368" s="503"/>
      <c r="E368" s="503"/>
      <c r="F368" s="503"/>
      <c r="G368" s="503"/>
      <c r="H368" s="503"/>
      <c r="I368" s="503"/>
    </row>
    <row r="369">
      <c r="A369" s="502"/>
      <c r="B369" s="503"/>
      <c r="C369" s="503"/>
      <c r="D369" s="503"/>
      <c r="E369" s="503"/>
      <c r="F369" s="503"/>
      <c r="G369" s="503"/>
      <c r="H369" s="503"/>
      <c r="I369" s="503"/>
    </row>
    <row r="370">
      <c r="A370" s="502"/>
      <c r="B370" s="503"/>
      <c r="C370" s="503"/>
      <c r="D370" s="503"/>
      <c r="E370" s="503"/>
      <c r="F370" s="503"/>
      <c r="G370" s="503"/>
      <c r="H370" s="503"/>
      <c r="I370" s="503"/>
    </row>
    <row r="371">
      <c r="A371" s="502"/>
      <c r="B371" s="503"/>
      <c r="C371" s="503"/>
      <c r="D371" s="503"/>
      <c r="E371" s="503"/>
      <c r="F371" s="503"/>
      <c r="G371" s="503"/>
      <c r="H371" s="503"/>
      <c r="I371" s="503"/>
    </row>
    <row r="372">
      <c r="A372" s="502"/>
      <c r="B372" s="503"/>
      <c r="C372" s="503"/>
      <c r="D372" s="503"/>
      <c r="E372" s="503"/>
      <c r="F372" s="503"/>
      <c r="G372" s="503"/>
      <c r="H372" s="503"/>
      <c r="I372" s="503"/>
    </row>
    <row r="373">
      <c r="A373" s="502"/>
      <c r="B373" s="503"/>
      <c r="C373" s="503"/>
      <c r="D373" s="503"/>
      <c r="E373" s="503"/>
      <c r="F373" s="503"/>
      <c r="G373" s="503"/>
      <c r="H373" s="503"/>
      <c r="I373" s="503"/>
    </row>
    <row r="374">
      <c r="A374" s="502"/>
      <c r="B374" s="503"/>
      <c r="C374" s="503"/>
      <c r="D374" s="503"/>
      <c r="E374" s="503"/>
      <c r="F374" s="503"/>
      <c r="G374" s="503"/>
      <c r="H374" s="503"/>
      <c r="I374" s="503"/>
    </row>
    <row r="375">
      <c r="A375" s="502"/>
      <c r="B375" s="503"/>
      <c r="C375" s="503"/>
      <c r="D375" s="503"/>
      <c r="E375" s="503"/>
      <c r="F375" s="503"/>
      <c r="G375" s="503"/>
      <c r="H375" s="503"/>
      <c r="I375" s="503"/>
    </row>
    <row r="376">
      <c r="A376" s="502"/>
      <c r="B376" s="503"/>
      <c r="C376" s="503"/>
      <c r="D376" s="503"/>
      <c r="E376" s="503"/>
      <c r="F376" s="503"/>
      <c r="G376" s="503"/>
      <c r="H376" s="503"/>
      <c r="I376" s="503"/>
    </row>
    <row r="377">
      <c r="A377" s="502"/>
      <c r="B377" s="503"/>
      <c r="C377" s="503"/>
      <c r="D377" s="503"/>
      <c r="E377" s="503"/>
      <c r="F377" s="503"/>
      <c r="G377" s="503"/>
      <c r="H377" s="503"/>
      <c r="I377" s="503"/>
    </row>
    <row r="378">
      <c r="A378" s="502"/>
      <c r="B378" s="503"/>
      <c r="C378" s="503"/>
      <c r="D378" s="503"/>
      <c r="E378" s="503"/>
      <c r="F378" s="503"/>
      <c r="G378" s="503"/>
      <c r="H378" s="503"/>
      <c r="I378" s="503"/>
    </row>
    <row r="379">
      <c r="A379" s="502"/>
      <c r="B379" s="503"/>
      <c r="C379" s="503"/>
      <c r="D379" s="503"/>
      <c r="E379" s="503"/>
      <c r="F379" s="503"/>
      <c r="G379" s="503"/>
      <c r="H379" s="503"/>
      <c r="I379" s="503"/>
    </row>
    <row r="380">
      <c r="A380" s="502"/>
      <c r="B380" s="503"/>
      <c r="C380" s="503"/>
      <c r="D380" s="503"/>
      <c r="E380" s="503"/>
      <c r="F380" s="503"/>
      <c r="G380" s="503"/>
      <c r="H380" s="503"/>
      <c r="I380" s="503"/>
    </row>
    <row r="381">
      <c r="A381" s="502"/>
      <c r="B381" s="503"/>
      <c r="C381" s="503"/>
      <c r="D381" s="503"/>
      <c r="E381" s="503"/>
      <c r="F381" s="503"/>
      <c r="G381" s="503"/>
      <c r="H381" s="503"/>
      <c r="I381" s="503"/>
    </row>
    <row r="382">
      <c r="A382" s="502"/>
      <c r="B382" s="503"/>
      <c r="C382" s="503"/>
      <c r="D382" s="503"/>
      <c r="E382" s="503"/>
      <c r="F382" s="503"/>
      <c r="G382" s="503"/>
      <c r="H382" s="503"/>
      <c r="I382" s="503"/>
    </row>
    <row r="383">
      <c r="A383" s="502"/>
      <c r="B383" s="503"/>
      <c r="C383" s="503"/>
      <c r="D383" s="503"/>
      <c r="E383" s="503"/>
      <c r="F383" s="503"/>
      <c r="G383" s="503"/>
      <c r="H383" s="503"/>
      <c r="I383" s="503"/>
    </row>
    <row r="384">
      <c r="A384" s="502"/>
      <c r="B384" s="503"/>
      <c r="C384" s="503"/>
      <c r="D384" s="503"/>
      <c r="E384" s="503"/>
      <c r="F384" s="503"/>
      <c r="G384" s="503"/>
      <c r="H384" s="503"/>
      <c r="I384" s="503"/>
    </row>
    <row r="385">
      <c r="A385" s="502"/>
      <c r="B385" s="503"/>
      <c r="C385" s="503"/>
      <c r="D385" s="503"/>
      <c r="E385" s="503"/>
      <c r="F385" s="503"/>
      <c r="G385" s="503"/>
      <c r="H385" s="503"/>
      <c r="I385" s="503"/>
    </row>
    <row r="386">
      <c r="A386" s="502"/>
      <c r="B386" s="503"/>
      <c r="C386" s="503"/>
      <c r="D386" s="503"/>
      <c r="E386" s="503"/>
      <c r="F386" s="503"/>
      <c r="G386" s="503"/>
      <c r="H386" s="503"/>
      <c r="I386" s="503"/>
    </row>
    <row r="387">
      <c r="A387" s="502"/>
      <c r="B387" s="503"/>
      <c r="C387" s="503"/>
      <c r="D387" s="503"/>
      <c r="E387" s="503"/>
      <c r="F387" s="503"/>
      <c r="G387" s="503"/>
      <c r="H387" s="503"/>
      <c r="I387" s="503"/>
    </row>
    <row r="388">
      <c r="A388" s="502"/>
      <c r="B388" s="503"/>
      <c r="C388" s="503"/>
      <c r="D388" s="503"/>
      <c r="E388" s="503"/>
      <c r="F388" s="503"/>
      <c r="G388" s="503"/>
      <c r="H388" s="503"/>
      <c r="I388" s="503"/>
    </row>
    <row r="389">
      <c r="A389" s="502"/>
      <c r="B389" s="503"/>
      <c r="C389" s="503"/>
      <c r="D389" s="503"/>
      <c r="E389" s="503"/>
      <c r="F389" s="503"/>
      <c r="G389" s="503"/>
      <c r="H389" s="503"/>
      <c r="I389" s="503"/>
    </row>
    <row r="390">
      <c r="A390" s="502"/>
      <c r="B390" s="503"/>
      <c r="C390" s="503"/>
      <c r="D390" s="503"/>
      <c r="E390" s="503"/>
      <c r="F390" s="503"/>
      <c r="G390" s="503"/>
      <c r="H390" s="503"/>
      <c r="I390" s="503"/>
    </row>
    <row r="391">
      <c r="A391" s="502"/>
      <c r="B391" s="503"/>
      <c r="C391" s="503"/>
      <c r="D391" s="503"/>
      <c r="E391" s="503"/>
      <c r="F391" s="503"/>
      <c r="G391" s="503"/>
      <c r="H391" s="503"/>
      <c r="I391" s="503"/>
    </row>
    <row r="392">
      <c r="A392" s="502"/>
      <c r="B392" s="503"/>
      <c r="C392" s="503"/>
      <c r="D392" s="503"/>
      <c r="E392" s="503"/>
      <c r="F392" s="503"/>
      <c r="G392" s="503"/>
      <c r="H392" s="503"/>
      <c r="I392" s="503"/>
    </row>
    <row r="393">
      <c r="A393" s="502"/>
      <c r="B393" s="503"/>
      <c r="C393" s="503"/>
      <c r="D393" s="503"/>
      <c r="E393" s="503"/>
      <c r="F393" s="503"/>
      <c r="G393" s="503"/>
      <c r="H393" s="503"/>
      <c r="I393" s="503"/>
    </row>
    <row r="394">
      <c r="A394" s="502"/>
      <c r="B394" s="503"/>
      <c r="C394" s="503"/>
      <c r="D394" s="503"/>
      <c r="E394" s="503"/>
      <c r="F394" s="503"/>
      <c r="G394" s="503"/>
      <c r="H394" s="503"/>
      <c r="I394" s="503"/>
    </row>
    <row r="395">
      <c r="A395" s="502"/>
      <c r="B395" s="503"/>
      <c r="C395" s="503"/>
      <c r="D395" s="503"/>
      <c r="E395" s="503"/>
      <c r="F395" s="503"/>
      <c r="G395" s="503"/>
      <c r="H395" s="503"/>
      <c r="I395" s="503"/>
    </row>
    <row r="396">
      <c r="A396" s="502"/>
      <c r="B396" s="503"/>
      <c r="C396" s="503"/>
      <c r="D396" s="503"/>
      <c r="E396" s="503"/>
      <c r="F396" s="503"/>
      <c r="G396" s="503"/>
      <c r="H396" s="503"/>
      <c r="I396" s="503"/>
    </row>
    <row r="397">
      <c r="A397" s="502"/>
      <c r="B397" s="503"/>
      <c r="C397" s="503"/>
      <c r="D397" s="503"/>
      <c r="E397" s="503"/>
      <c r="F397" s="503"/>
      <c r="G397" s="503"/>
      <c r="H397" s="503"/>
      <c r="I397" s="503"/>
    </row>
    <row r="398">
      <c r="A398" s="502"/>
      <c r="B398" s="503"/>
      <c r="C398" s="503"/>
      <c r="D398" s="503"/>
      <c r="E398" s="503"/>
      <c r="F398" s="503"/>
      <c r="G398" s="503"/>
      <c r="H398" s="503"/>
      <c r="I398" s="503"/>
    </row>
    <row r="399">
      <c r="A399" s="502"/>
      <c r="B399" s="503"/>
      <c r="C399" s="503"/>
      <c r="D399" s="503"/>
      <c r="E399" s="503"/>
      <c r="F399" s="503"/>
      <c r="G399" s="503"/>
      <c r="H399" s="503"/>
      <c r="I399" s="503"/>
    </row>
    <row r="400">
      <c r="A400" s="502"/>
      <c r="B400" s="503"/>
      <c r="C400" s="503"/>
      <c r="D400" s="503"/>
      <c r="E400" s="503"/>
      <c r="F400" s="503"/>
      <c r="G400" s="503"/>
      <c r="H400" s="503"/>
      <c r="I400" s="503"/>
    </row>
    <row r="401">
      <c r="A401" s="502"/>
      <c r="B401" s="503"/>
      <c r="C401" s="503"/>
      <c r="D401" s="503"/>
      <c r="E401" s="503"/>
      <c r="F401" s="503"/>
      <c r="G401" s="503"/>
      <c r="H401" s="503"/>
      <c r="I401" s="503"/>
    </row>
    <row r="402">
      <c r="A402" s="502"/>
      <c r="B402" s="503"/>
      <c r="C402" s="503"/>
      <c r="D402" s="503"/>
      <c r="E402" s="503"/>
      <c r="F402" s="503"/>
      <c r="G402" s="503"/>
      <c r="H402" s="503"/>
      <c r="I402" s="503"/>
    </row>
    <row r="403">
      <c r="A403" s="502"/>
      <c r="B403" s="503"/>
      <c r="C403" s="503"/>
      <c r="D403" s="503"/>
      <c r="E403" s="503"/>
      <c r="F403" s="503"/>
      <c r="G403" s="503"/>
      <c r="H403" s="503"/>
      <c r="I403" s="503"/>
    </row>
    <row r="404">
      <c r="A404" s="502"/>
      <c r="B404" s="503"/>
      <c r="C404" s="503"/>
      <c r="D404" s="503"/>
      <c r="E404" s="503"/>
      <c r="F404" s="503"/>
      <c r="G404" s="503"/>
      <c r="H404" s="503"/>
      <c r="I404" s="503"/>
    </row>
    <row r="405">
      <c r="A405" s="502"/>
      <c r="B405" s="503"/>
      <c r="C405" s="503"/>
      <c r="D405" s="503"/>
      <c r="E405" s="503"/>
      <c r="F405" s="503"/>
      <c r="G405" s="503"/>
      <c r="H405" s="503"/>
      <c r="I405" s="503"/>
    </row>
    <row r="406">
      <c r="A406" s="502"/>
      <c r="B406" s="503"/>
      <c r="C406" s="503"/>
      <c r="D406" s="503"/>
      <c r="E406" s="503"/>
      <c r="F406" s="503"/>
      <c r="G406" s="503"/>
      <c r="H406" s="503"/>
      <c r="I406" s="503"/>
    </row>
    <row r="407">
      <c r="A407" s="502"/>
      <c r="B407" s="503"/>
      <c r="C407" s="503"/>
      <c r="D407" s="503"/>
      <c r="E407" s="503"/>
      <c r="F407" s="503"/>
      <c r="G407" s="503"/>
      <c r="H407" s="503"/>
      <c r="I407" s="503"/>
    </row>
    <row r="408">
      <c r="A408" s="502"/>
      <c r="B408" s="503"/>
      <c r="C408" s="503"/>
      <c r="D408" s="503"/>
      <c r="E408" s="503"/>
      <c r="F408" s="503"/>
      <c r="G408" s="503"/>
      <c r="H408" s="503"/>
      <c r="I408" s="503"/>
    </row>
    <row r="409">
      <c r="A409" s="502"/>
      <c r="B409" s="503"/>
      <c r="C409" s="503"/>
      <c r="D409" s="503"/>
      <c r="E409" s="503"/>
      <c r="F409" s="503"/>
      <c r="G409" s="503"/>
      <c r="H409" s="503"/>
      <c r="I409" s="503"/>
    </row>
    <row r="410">
      <c r="A410" s="502"/>
      <c r="B410" s="503"/>
      <c r="C410" s="503"/>
      <c r="D410" s="503"/>
      <c r="E410" s="503"/>
      <c r="F410" s="503"/>
      <c r="G410" s="503"/>
      <c r="H410" s="503"/>
      <c r="I410" s="503"/>
    </row>
    <row r="411">
      <c r="A411" s="502"/>
      <c r="B411" s="503"/>
      <c r="C411" s="503"/>
      <c r="D411" s="503"/>
      <c r="E411" s="503"/>
      <c r="F411" s="503"/>
      <c r="G411" s="503"/>
      <c r="H411" s="503"/>
      <c r="I411" s="503"/>
    </row>
    <row r="412">
      <c r="A412" s="502"/>
      <c r="B412" s="503"/>
      <c r="C412" s="503"/>
      <c r="D412" s="503"/>
      <c r="E412" s="503"/>
      <c r="F412" s="503"/>
      <c r="G412" s="503"/>
      <c r="H412" s="503"/>
      <c r="I412" s="503"/>
    </row>
    <row r="413">
      <c r="A413" s="502"/>
      <c r="B413" s="503"/>
      <c r="C413" s="503"/>
      <c r="D413" s="503"/>
      <c r="E413" s="503"/>
      <c r="F413" s="503"/>
      <c r="G413" s="503"/>
      <c r="H413" s="503"/>
      <c r="I413" s="503"/>
    </row>
    <row r="414">
      <c r="A414" s="502"/>
      <c r="B414" s="503"/>
      <c r="C414" s="503"/>
      <c r="D414" s="503"/>
      <c r="E414" s="503"/>
      <c r="F414" s="503"/>
      <c r="G414" s="503"/>
      <c r="H414" s="503"/>
      <c r="I414" s="503"/>
    </row>
    <row r="415">
      <c r="A415" s="502"/>
      <c r="B415" s="503"/>
      <c r="C415" s="503"/>
      <c r="D415" s="503"/>
      <c r="E415" s="503"/>
      <c r="F415" s="503"/>
      <c r="G415" s="503"/>
      <c r="H415" s="503"/>
      <c r="I415" s="503"/>
    </row>
    <row r="416">
      <c r="A416" s="502"/>
      <c r="B416" s="503"/>
      <c r="C416" s="503"/>
      <c r="D416" s="503"/>
      <c r="E416" s="503"/>
      <c r="F416" s="503"/>
      <c r="G416" s="503"/>
      <c r="H416" s="503"/>
      <c r="I416" s="503"/>
    </row>
    <row r="417">
      <c r="A417" s="502"/>
      <c r="B417" s="503"/>
      <c r="C417" s="503"/>
      <c r="D417" s="503"/>
      <c r="E417" s="503"/>
      <c r="F417" s="503"/>
      <c r="G417" s="503"/>
      <c r="H417" s="503"/>
      <c r="I417" s="503"/>
    </row>
    <row r="418">
      <c r="A418" s="502"/>
      <c r="B418" s="503"/>
      <c r="C418" s="503"/>
      <c r="D418" s="503"/>
      <c r="E418" s="503"/>
      <c r="F418" s="503"/>
      <c r="G418" s="503"/>
      <c r="H418" s="503"/>
      <c r="I418" s="503"/>
    </row>
    <row r="419">
      <c r="A419" s="502"/>
      <c r="B419" s="503"/>
      <c r="C419" s="503"/>
      <c r="D419" s="503"/>
      <c r="E419" s="503"/>
      <c r="F419" s="503"/>
      <c r="G419" s="503"/>
      <c r="H419" s="503"/>
      <c r="I419" s="503"/>
    </row>
    <row r="420">
      <c r="A420" s="502"/>
      <c r="B420" s="503"/>
      <c r="C420" s="503"/>
      <c r="D420" s="503"/>
      <c r="E420" s="503"/>
      <c r="F420" s="503"/>
      <c r="G420" s="503"/>
      <c r="H420" s="503"/>
      <c r="I420" s="503"/>
    </row>
    <row r="421">
      <c r="A421" s="502"/>
      <c r="B421" s="503"/>
      <c r="C421" s="503"/>
      <c r="D421" s="503"/>
      <c r="E421" s="503"/>
      <c r="F421" s="503"/>
      <c r="G421" s="503"/>
      <c r="H421" s="503"/>
      <c r="I421" s="503"/>
    </row>
    <row r="422">
      <c r="A422" s="502"/>
      <c r="B422" s="503"/>
      <c r="C422" s="503"/>
      <c r="D422" s="503"/>
      <c r="E422" s="503"/>
      <c r="F422" s="503"/>
      <c r="G422" s="503"/>
      <c r="H422" s="503"/>
      <c r="I422" s="503"/>
    </row>
    <row r="423">
      <c r="A423" s="502"/>
      <c r="B423" s="503"/>
      <c r="C423" s="503"/>
      <c r="D423" s="503"/>
      <c r="E423" s="503"/>
      <c r="F423" s="503"/>
      <c r="G423" s="503"/>
      <c r="H423" s="503"/>
      <c r="I423" s="503"/>
    </row>
    <row r="424">
      <c r="A424" s="502"/>
      <c r="B424" s="503"/>
      <c r="C424" s="503"/>
      <c r="D424" s="503"/>
      <c r="E424" s="503"/>
      <c r="F424" s="503"/>
      <c r="G424" s="503"/>
      <c r="H424" s="503"/>
      <c r="I424" s="503"/>
    </row>
    <row r="425">
      <c r="A425" s="502"/>
      <c r="B425" s="503"/>
      <c r="C425" s="503"/>
      <c r="D425" s="503"/>
      <c r="E425" s="503"/>
      <c r="F425" s="503"/>
      <c r="G425" s="503"/>
      <c r="H425" s="503"/>
      <c r="I425" s="503"/>
    </row>
    <row r="426">
      <c r="A426" s="502"/>
      <c r="B426" s="503"/>
      <c r="C426" s="503"/>
      <c r="D426" s="503"/>
      <c r="E426" s="503"/>
      <c r="F426" s="503"/>
      <c r="G426" s="503"/>
      <c r="H426" s="503"/>
      <c r="I426" s="503"/>
    </row>
    <row r="427">
      <c r="A427" s="502"/>
      <c r="B427" s="503"/>
      <c r="C427" s="503"/>
      <c r="D427" s="503"/>
      <c r="E427" s="503"/>
      <c r="F427" s="503"/>
      <c r="G427" s="503"/>
      <c r="H427" s="503"/>
      <c r="I427" s="503"/>
    </row>
    <row r="428">
      <c r="A428" s="502"/>
      <c r="B428" s="503"/>
      <c r="C428" s="503"/>
      <c r="D428" s="503"/>
      <c r="E428" s="503"/>
      <c r="F428" s="503"/>
      <c r="G428" s="503"/>
      <c r="H428" s="503"/>
      <c r="I428" s="503"/>
    </row>
    <row r="429">
      <c r="A429" s="502"/>
      <c r="B429" s="503"/>
      <c r="C429" s="503"/>
      <c r="D429" s="503"/>
      <c r="E429" s="503"/>
      <c r="F429" s="503"/>
      <c r="G429" s="503"/>
      <c r="H429" s="503"/>
      <c r="I429" s="503"/>
    </row>
    <row r="430">
      <c r="A430" s="502"/>
      <c r="B430" s="503"/>
      <c r="C430" s="503"/>
      <c r="D430" s="503"/>
      <c r="E430" s="503"/>
      <c r="F430" s="503"/>
      <c r="G430" s="503"/>
      <c r="H430" s="503"/>
      <c r="I430" s="503"/>
    </row>
    <row r="431">
      <c r="A431" s="502"/>
      <c r="B431" s="503"/>
      <c r="C431" s="503"/>
      <c r="D431" s="503"/>
      <c r="E431" s="503"/>
      <c r="F431" s="503"/>
      <c r="G431" s="503"/>
      <c r="H431" s="503"/>
      <c r="I431" s="503"/>
    </row>
    <row r="432">
      <c r="A432" s="502"/>
      <c r="B432" s="503"/>
      <c r="C432" s="503"/>
      <c r="D432" s="503"/>
      <c r="E432" s="503"/>
      <c r="F432" s="503"/>
      <c r="G432" s="503"/>
      <c r="H432" s="503"/>
      <c r="I432" s="503"/>
    </row>
    <row r="433">
      <c r="A433" s="502"/>
      <c r="B433" s="503"/>
      <c r="C433" s="503"/>
      <c r="D433" s="503"/>
      <c r="E433" s="503"/>
      <c r="F433" s="503"/>
      <c r="G433" s="503"/>
      <c r="H433" s="503"/>
      <c r="I433" s="503"/>
    </row>
    <row r="434">
      <c r="A434" s="502"/>
      <c r="B434" s="503"/>
      <c r="C434" s="503"/>
      <c r="D434" s="503"/>
      <c r="E434" s="503"/>
      <c r="F434" s="503"/>
      <c r="G434" s="503"/>
      <c r="H434" s="503"/>
      <c r="I434" s="503"/>
    </row>
    <row r="435">
      <c r="A435" s="502"/>
      <c r="B435" s="503"/>
      <c r="C435" s="503"/>
      <c r="D435" s="503"/>
      <c r="E435" s="503"/>
      <c r="F435" s="503"/>
      <c r="G435" s="503"/>
      <c r="H435" s="503"/>
      <c r="I435" s="503"/>
    </row>
    <row r="436">
      <c r="A436" s="502"/>
      <c r="B436" s="503"/>
      <c r="C436" s="503"/>
      <c r="D436" s="503"/>
      <c r="E436" s="503"/>
      <c r="F436" s="503"/>
      <c r="G436" s="503"/>
      <c r="H436" s="503"/>
      <c r="I436" s="503"/>
    </row>
    <row r="437">
      <c r="A437" s="502"/>
      <c r="B437" s="503"/>
      <c r="C437" s="503"/>
      <c r="D437" s="503"/>
      <c r="E437" s="503"/>
      <c r="F437" s="503"/>
      <c r="G437" s="503"/>
      <c r="H437" s="503"/>
      <c r="I437" s="503"/>
    </row>
    <row r="438">
      <c r="A438" s="502"/>
      <c r="B438" s="503"/>
      <c r="C438" s="503"/>
      <c r="D438" s="503"/>
      <c r="E438" s="503"/>
      <c r="F438" s="503"/>
      <c r="G438" s="503"/>
      <c r="H438" s="503"/>
      <c r="I438" s="503"/>
    </row>
    <row r="439">
      <c r="A439" s="502"/>
      <c r="B439" s="503"/>
      <c r="C439" s="503"/>
      <c r="D439" s="503"/>
      <c r="E439" s="503"/>
      <c r="F439" s="503"/>
      <c r="G439" s="503"/>
      <c r="H439" s="503"/>
      <c r="I439" s="503"/>
    </row>
    <row r="440">
      <c r="A440" s="502"/>
      <c r="B440" s="503"/>
      <c r="C440" s="503"/>
      <c r="D440" s="503"/>
      <c r="E440" s="503"/>
      <c r="F440" s="503"/>
      <c r="G440" s="503"/>
      <c r="H440" s="503"/>
      <c r="I440" s="503"/>
    </row>
    <row r="441">
      <c r="A441" s="502"/>
      <c r="B441" s="503"/>
      <c r="C441" s="503"/>
      <c r="D441" s="503"/>
      <c r="E441" s="503"/>
      <c r="F441" s="503"/>
      <c r="G441" s="503"/>
      <c r="H441" s="503"/>
      <c r="I441" s="503"/>
    </row>
    <row r="442">
      <c r="A442" s="502"/>
      <c r="B442" s="503"/>
      <c r="C442" s="503"/>
      <c r="D442" s="503"/>
      <c r="E442" s="503"/>
      <c r="F442" s="503"/>
      <c r="G442" s="503"/>
      <c r="H442" s="503"/>
      <c r="I442" s="503"/>
    </row>
    <row r="443">
      <c r="A443" s="502"/>
      <c r="B443" s="503"/>
      <c r="C443" s="503"/>
      <c r="D443" s="503"/>
      <c r="E443" s="503"/>
      <c r="F443" s="503"/>
      <c r="G443" s="503"/>
      <c r="H443" s="503"/>
      <c r="I443" s="503"/>
    </row>
    <row r="444">
      <c r="A444" s="502"/>
      <c r="B444" s="503"/>
      <c r="C444" s="503"/>
      <c r="D444" s="503"/>
      <c r="E444" s="503"/>
      <c r="F444" s="503"/>
      <c r="G444" s="503"/>
      <c r="H444" s="503"/>
      <c r="I444" s="503"/>
    </row>
    <row r="445">
      <c r="A445" s="502"/>
      <c r="B445" s="503"/>
      <c r="C445" s="503"/>
      <c r="D445" s="503"/>
      <c r="E445" s="503"/>
      <c r="F445" s="503"/>
      <c r="G445" s="503"/>
      <c r="H445" s="503"/>
      <c r="I445" s="503"/>
    </row>
    <row r="446">
      <c r="A446" s="502"/>
      <c r="B446" s="503"/>
      <c r="C446" s="503"/>
      <c r="D446" s="503"/>
      <c r="E446" s="503"/>
      <c r="F446" s="503"/>
      <c r="G446" s="503"/>
      <c r="H446" s="503"/>
      <c r="I446" s="503"/>
    </row>
    <row r="447">
      <c r="A447" s="502"/>
      <c r="B447" s="503"/>
      <c r="C447" s="503"/>
      <c r="D447" s="503"/>
      <c r="E447" s="503"/>
      <c r="F447" s="503"/>
      <c r="G447" s="503"/>
      <c r="H447" s="503"/>
      <c r="I447" s="503"/>
    </row>
    <row r="448">
      <c r="A448" s="502"/>
      <c r="B448" s="503"/>
      <c r="C448" s="503"/>
      <c r="D448" s="503"/>
      <c r="E448" s="503"/>
      <c r="F448" s="503"/>
      <c r="G448" s="503"/>
      <c r="H448" s="503"/>
      <c r="I448" s="503"/>
    </row>
    <row r="449">
      <c r="A449" s="502"/>
      <c r="B449" s="503"/>
      <c r="C449" s="503"/>
      <c r="D449" s="503"/>
      <c r="E449" s="503"/>
      <c r="F449" s="503"/>
      <c r="G449" s="503"/>
      <c r="H449" s="503"/>
      <c r="I449" s="503"/>
    </row>
    <row r="450">
      <c r="A450" s="502"/>
      <c r="B450" s="503"/>
      <c r="C450" s="503"/>
      <c r="D450" s="503"/>
      <c r="E450" s="503"/>
      <c r="F450" s="503"/>
      <c r="G450" s="503"/>
      <c r="H450" s="503"/>
      <c r="I450" s="503"/>
    </row>
    <row r="451">
      <c r="A451" s="502"/>
      <c r="B451" s="503"/>
      <c r="C451" s="503"/>
      <c r="D451" s="503"/>
      <c r="E451" s="503"/>
      <c r="F451" s="503"/>
      <c r="G451" s="503"/>
      <c r="H451" s="503"/>
      <c r="I451" s="503"/>
    </row>
    <row r="452">
      <c r="A452" s="502"/>
      <c r="B452" s="503"/>
      <c r="C452" s="503"/>
      <c r="D452" s="503"/>
      <c r="E452" s="503"/>
      <c r="F452" s="503"/>
      <c r="G452" s="503"/>
      <c r="H452" s="503"/>
      <c r="I452" s="503"/>
    </row>
    <row r="453">
      <c r="A453" s="502"/>
      <c r="B453" s="503"/>
      <c r="C453" s="503"/>
      <c r="D453" s="503"/>
      <c r="E453" s="503"/>
      <c r="F453" s="503"/>
      <c r="G453" s="503"/>
      <c r="H453" s="503"/>
      <c r="I453" s="503"/>
    </row>
    <row r="454">
      <c r="A454" s="502"/>
      <c r="B454" s="503"/>
      <c r="C454" s="503"/>
      <c r="D454" s="503"/>
      <c r="E454" s="503"/>
      <c r="F454" s="503"/>
      <c r="G454" s="503"/>
      <c r="H454" s="503"/>
      <c r="I454" s="503"/>
    </row>
    <row r="455">
      <c r="A455" s="502"/>
      <c r="B455" s="503"/>
      <c r="C455" s="503"/>
      <c r="D455" s="503"/>
      <c r="E455" s="503"/>
      <c r="F455" s="503"/>
      <c r="G455" s="503"/>
      <c r="H455" s="503"/>
      <c r="I455" s="503"/>
    </row>
    <row r="456">
      <c r="A456" s="502"/>
      <c r="B456" s="503"/>
      <c r="C456" s="503"/>
      <c r="D456" s="503"/>
      <c r="E456" s="503"/>
      <c r="F456" s="503"/>
      <c r="G456" s="503"/>
      <c r="H456" s="503"/>
      <c r="I456" s="503"/>
    </row>
    <row r="457">
      <c r="A457" s="502"/>
      <c r="B457" s="503"/>
      <c r="C457" s="503"/>
      <c r="D457" s="503"/>
      <c r="E457" s="503"/>
      <c r="F457" s="503"/>
      <c r="G457" s="503"/>
      <c r="H457" s="503"/>
      <c r="I457" s="503"/>
    </row>
    <row r="458">
      <c r="A458" s="502"/>
      <c r="B458" s="503"/>
      <c r="C458" s="503"/>
      <c r="D458" s="503"/>
      <c r="E458" s="503"/>
      <c r="F458" s="503"/>
      <c r="G458" s="503"/>
      <c r="H458" s="503"/>
      <c r="I458" s="503"/>
    </row>
    <row r="459">
      <c r="A459" s="502"/>
      <c r="B459" s="503"/>
      <c r="C459" s="503"/>
      <c r="D459" s="503"/>
      <c r="E459" s="503"/>
      <c r="F459" s="503"/>
      <c r="G459" s="503"/>
      <c r="H459" s="503"/>
      <c r="I459" s="503"/>
    </row>
    <row r="460">
      <c r="A460" s="502"/>
      <c r="B460" s="503"/>
      <c r="C460" s="503"/>
      <c r="D460" s="503"/>
      <c r="E460" s="503"/>
      <c r="F460" s="503"/>
      <c r="G460" s="503"/>
      <c r="H460" s="503"/>
      <c r="I460" s="503"/>
    </row>
    <row r="461">
      <c r="A461" s="502"/>
      <c r="B461" s="503"/>
      <c r="C461" s="503"/>
      <c r="D461" s="503"/>
      <c r="E461" s="503"/>
      <c r="F461" s="503"/>
      <c r="G461" s="503"/>
      <c r="H461" s="503"/>
      <c r="I461" s="503"/>
    </row>
    <row r="462">
      <c r="A462" s="502"/>
      <c r="B462" s="503"/>
      <c r="C462" s="503"/>
      <c r="D462" s="503"/>
      <c r="E462" s="503"/>
      <c r="F462" s="503"/>
      <c r="G462" s="503"/>
      <c r="H462" s="503"/>
      <c r="I462" s="503"/>
    </row>
    <row r="463">
      <c r="A463" s="502"/>
      <c r="B463" s="503"/>
      <c r="C463" s="503"/>
      <c r="D463" s="503"/>
      <c r="E463" s="503"/>
      <c r="F463" s="503"/>
      <c r="G463" s="503"/>
      <c r="H463" s="503"/>
      <c r="I463" s="503"/>
    </row>
    <row r="464">
      <c r="A464" s="502"/>
      <c r="B464" s="503"/>
      <c r="C464" s="503"/>
      <c r="D464" s="503"/>
      <c r="E464" s="503"/>
      <c r="F464" s="503"/>
      <c r="G464" s="503"/>
      <c r="H464" s="503"/>
      <c r="I464" s="503"/>
    </row>
    <row r="465">
      <c r="A465" s="502"/>
      <c r="B465" s="503"/>
      <c r="C465" s="503"/>
      <c r="D465" s="503"/>
      <c r="E465" s="503"/>
      <c r="F465" s="503"/>
      <c r="G465" s="503"/>
      <c r="H465" s="503"/>
      <c r="I465" s="503"/>
    </row>
    <row r="466">
      <c r="A466" s="502"/>
      <c r="B466" s="503"/>
      <c r="C466" s="503"/>
      <c r="D466" s="503"/>
      <c r="E466" s="503"/>
      <c r="F466" s="503"/>
      <c r="G466" s="503"/>
      <c r="H466" s="503"/>
      <c r="I466" s="503"/>
    </row>
    <row r="467">
      <c r="A467" s="502"/>
      <c r="B467" s="503"/>
      <c r="C467" s="503"/>
      <c r="D467" s="503"/>
      <c r="E467" s="503"/>
      <c r="F467" s="503"/>
      <c r="G467" s="503"/>
      <c r="H467" s="503"/>
      <c r="I467" s="503"/>
    </row>
    <row r="468">
      <c r="A468" s="502"/>
      <c r="B468" s="503"/>
      <c r="C468" s="503"/>
      <c r="D468" s="503"/>
      <c r="E468" s="503"/>
      <c r="F468" s="503"/>
      <c r="G468" s="503"/>
      <c r="H468" s="503"/>
      <c r="I468" s="503"/>
    </row>
    <row r="469">
      <c r="A469" s="502"/>
      <c r="B469" s="503"/>
      <c r="C469" s="503"/>
      <c r="D469" s="503"/>
      <c r="E469" s="503"/>
      <c r="F469" s="503"/>
      <c r="G469" s="503"/>
      <c r="H469" s="503"/>
      <c r="I469" s="503"/>
    </row>
    <row r="470">
      <c r="A470" s="502"/>
      <c r="B470" s="503"/>
      <c r="C470" s="503"/>
      <c r="D470" s="503"/>
      <c r="E470" s="503"/>
      <c r="F470" s="503"/>
      <c r="G470" s="503"/>
      <c r="H470" s="503"/>
      <c r="I470" s="503"/>
    </row>
    <row r="471">
      <c r="A471" s="502"/>
      <c r="B471" s="503"/>
      <c r="C471" s="503"/>
      <c r="D471" s="503"/>
      <c r="E471" s="503"/>
      <c r="F471" s="503"/>
      <c r="G471" s="503"/>
      <c r="H471" s="503"/>
      <c r="I471" s="503"/>
    </row>
    <row r="472">
      <c r="A472" s="502"/>
      <c r="B472" s="503"/>
      <c r="C472" s="503"/>
      <c r="D472" s="503"/>
      <c r="E472" s="503"/>
      <c r="F472" s="503"/>
      <c r="G472" s="503"/>
      <c r="H472" s="503"/>
      <c r="I472" s="503"/>
    </row>
    <row r="473">
      <c r="A473" s="502"/>
      <c r="B473" s="503"/>
      <c r="C473" s="503"/>
      <c r="D473" s="503"/>
      <c r="E473" s="503"/>
      <c r="F473" s="503"/>
      <c r="G473" s="503"/>
      <c r="H473" s="503"/>
      <c r="I473" s="503"/>
    </row>
    <row r="474">
      <c r="A474" s="502"/>
      <c r="B474" s="503"/>
      <c r="C474" s="503"/>
      <c r="D474" s="503"/>
      <c r="E474" s="503"/>
      <c r="F474" s="503"/>
      <c r="G474" s="503"/>
      <c r="H474" s="503"/>
      <c r="I474" s="503"/>
    </row>
    <row r="475">
      <c r="A475" s="502"/>
      <c r="B475" s="503"/>
      <c r="C475" s="503"/>
      <c r="D475" s="503"/>
      <c r="E475" s="503"/>
      <c r="F475" s="503"/>
      <c r="G475" s="503"/>
      <c r="H475" s="503"/>
      <c r="I475" s="503"/>
    </row>
    <row r="476">
      <c r="A476" s="502"/>
      <c r="B476" s="503"/>
      <c r="C476" s="503"/>
      <c r="D476" s="503"/>
      <c r="E476" s="503"/>
      <c r="F476" s="503"/>
      <c r="G476" s="503"/>
      <c r="H476" s="503"/>
      <c r="I476" s="503"/>
    </row>
    <row r="477">
      <c r="A477" s="502"/>
      <c r="B477" s="503"/>
      <c r="C477" s="503"/>
      <c r="D477" s="503"/>
      <c r="E477" s="503"/>
      <c r="F477" s="503"/>
      <c r="G477" s="503"/>
      <c r="H477" s="503"/>
      <c r="I477" s="503"/>
    </row>
    <row r="478">
      <c r="A478" s="502"/>
      <c r="B478" s="503"/>
      <c r="C478" s="503"/>
      <c r="D478" s="503"/>
      <c r="E478" s="503"/>
      <c r="F478" s="503"/>
      <c r="G478" s="503"/>
      <c r="H478" s="503"/>
      <c r="I478" s="503"/>
    </row>
    <row r="479">
      <c r="A479" s="502"/>
      <c r="B479" s="503"/>
      <c r="C479" s="503"/>
      <c r="D479" s="503"/>
      <c r="E479" s="503"/>
      <c r="F479" s="503"/>
      <c r="G479" s="503"/>
      <c r="H479" s="503"/>
      <c r="I479" s="503"/>
    </row>
    <row r="480">
      <c r="A480" s="502"/>
      <c r="B480" s="503"/>
      <c r="C480" s="503"/>
      <c r="D480" s="503"/>
      <c r="E480" s="503"/>
      <c r="F480" s="503"/>
      <c r="G480" s="503"/>
      <c r="H480" s="503"/>
      <c r="I480" s="503"/>
    </row>
    <row r="481">
      <c r="A481" s="502"/>
      <c r="B481" s="503"/>
      <c r="C481" s="503"/>
      <c r="D481" s="503"/>
      <c r="E481" s="503"/>
      <c r="F481" s="503"/>
      <c r="G481" s="503"/>
      <c r="H481" s="503"/>
      <c r="I481" s="503"/>
    </row>
    <row r="482">
      <c r="A482" s="502"/>
      <c r="B482" s="503"/>
      <c r="C482" s="503"/>
      <c r="D482" s="503"/>
      <c r="E482" s="503"/>
      <c r="F482" s="503"/>
      <c r="G482" s="503"/>
      <c r="H482" s="503"/>
      <c r="I482" s="503"/>
    </row>
    <row r="483">
      <c r="A483" s="502"/>
      <c r="B483" s="503"/>
      <c r="C483" s="503"/>
      <c r="D483" s="503"/>
      <c r="E483" s="503"/>
      <c r="F483" s="503"/>
      <c r="G483" s="503"/>
      <c r="H483" s="503"/>
      <c r="I483" s="503"/>
    </row>
    <row r="484">
      <c r="A484" s="502"/>
      <c r="B484" s="503"/>
      <c r="C484" s="503"/>
      <c r="D484" s="503"/>
      <c r="E484" s="503"/>
      <c r="F484" s="503"/>
      <c r="G484" s="503"/>
      <c r="H484" s="503"/>
      <c r="I484" s="503"/>
    </row>
    <row r="485">
      <c r="A485" s="502"/>
      <c r="B485" s="503"/>
      <c r="C485" s="503"/>
      <c r="D485" s="503"/>
      <c r="E485" s="503"/>
      <c r="F485" s="503"/>
      <c r="G485" s="503"/>
      <c r="H485" s="503"/>
      <c r="I485" s="503"/>
    </row>
    <row r="486">
      <c r="A486" s="502"/>
      <c r="B486" s="503"/>
      <c r="C486" s="503"/>
      <c r="D486" s="503"/>
      <c r="E486" s="503"/>
      <c r="F486" s="503"/>
      <c r="G486" s="503"/>
      <c r="H486" s="503"/>
      <c r="I486" s="503"/>
    </row>
    <row r="487">
      <c r="A487" s="502"/>
      <c r="B487" s="503"/>
      <c r="C487" s="503"/>
      <c r="D487" s="503"/>
      <c r="E487" s="503"/>
      <c r="F487" s="503"/>
      <c r="G487" s="503"/>
      <c r="H487" s="503"/>
      <c r="I487" s="503"/>
    </row>
    <row r="488">
      <c r="A488" s="502"/>
      <c r="B488" s="503"/>
      <c r="C488" s="503"/>
      <c r="D488" s="503"/>
      <c r="E488" s="503"/>
      <c r="F488" s="503"/>
      <c r="G488" s="503"/>
      <c r="H488" s="503"/>
      <c r="I488" s="503"/>
    </row>
    <row r="489">
      <c r="A489" s="502"/>
      <c r="B489" s="503"/>
      <c r="C489" s="503"/>
      <c r="D489" s="503"/>
      <c r="E489" s="503"/>
      <c r="F489" s="503"/>
      <c r="G489" s="503"/>
      <c r="H489" s="503"/>
      <c r="I489" s="503"/>
    </row>
    <row r="490">
      <c r="A490" s="502"/>
      <c r="B490" s="503"/>
      <c r="C490" s="503"/>
      <c r="D490" s="503"/>
      <c r="E490" s="503"/>
      <c r="F490" s="503"/>
      <c r="G490" s="503"/>
      <c r="H490" s="503"/>
      <c r="I490" s="503"/>
    </row>
    <row r="491">
      <c r="A491" s="502"/>
      <c r="B491" s="503"/>
      <c r="C491" s="503"/>
      <c r="D491" s="503"/>
      <c r="E491" s="503"/>
      <c r="F491" s="503"/>
      <c r="G491" s="503"/>
      <c r="H491" s="503"/>
      <c r="I491" s="503"/>
    </row>
    <row r="492">
      <c r="A492" s="502"/>
      <c r="B492" s="503"/>
      <c r="C492" s="503"/>
      <c r="D492" s="503"/>
      <c r="E492" s="503"/>
      <c r="F492" s="503"/>
      <c r="G492" s="503"/>
      <c r="H492" s="503"/>
      <c r="I492" s="503"/>
    </row>
    <row r="493">
      <c r="A493" s="502"/>
      <c r="B493" s="503"/>
      <c r="C493" s="503"/>
      <c r="D493" s="503"/>
      <c r="E493" s="503"/>
      <c r="F493" s="503"/>
      <c r="G493" s="503"/>
      <c r="H493" s="503"/>
      <c r="I493" s="503"/>
    </row>
    <row r="494">
      <c r="A494" s="502"/>
      <c r="B494" s="503"/>
      <c r="C494" s="503"/>
      <c r="D494" s="503"/>
      <c r="E494" s="503"/>
      <c r="F494" s="503"/>
      <c r="G494" s="503"/>
      <c r="H494" s="503"/>
      <c r="I494" s="503"/>
    </row>
    <row r="495">
      <c r="A495" s="502"/>
      <c r="B495" s="503"/>
      <c r="C495" s="503"/>
      <c r="D495" s="503"/>
      <c r="E495" s="503"/>
      <c r="F495" s="503"/>
      <c r="G495" s="503"/>
      <c r="H495" s="503"/>
      <c r="I495" s="503"/>
    </row>
    <row r="496">
      <c r="A496" s="502"/>
      <c r="B496" s="503"/>
      <c r="C496" s="503"/>
      <c r="D496" s="503"/>
      <c r="E496" s="503"/>
      <c r="F496" s="503"/>
      <c r="G496" s="503"/>
      <c r="H496" s="503"/>
      <c r="I496" s="503"/>
    </row>
    <row r="497">
      <c r="A497" s="502"/>
      <c r="B497" s="503"/>
      <c r="C497" s="503"/>
      <c r="D497" s="503"/>
      <c r="E497" s="503"/>
      <c r="F497" s="503"/>
      <c r="G497" s="503"/>
      <c r="H497" s="503"/>
      <c r="I497" s="503"/>
    </row>
    <row r="498">
      <c r="A498" s="502"/>
      <c r="B498" s="503"/>
      <c r="C498" s="503"/>
      <c r="D498" s="503"/>
      <c r="E498" s="503"/>
      <c r="F498" s="503"/>
      <c r="G498" s="503"/>
      <c r="H498" s="503"/>
      <c r="I498" s="503"/>
    </row>
    <row r="499">
      <c r="A499" s="502"/>
      <c r="B499" s="503"/>
      <c r="C499" s="503"/>
      <c r="D499" s="503"/>
      <c r="E499" s="503"/>
      <c r="F499" s="503"/>
      <c r="G499" s="503"/>
      <c r="H499" s="503"/>
      <c r="I499" s="503"/>
    </row>
    <row r="500">
      <c r="A500" s="502"/>
      <c r="B500" s="503"/>
      <c r="C500" s="503"/>
      <c r="D500" s="503"/>
      <c r="E500" s="503"/>
      <c r="F500" s="503"/>
      <c r="G500" s="503"/>
      <c r="H500" s="503"/>
      <c r="I500" s="503"/>
    </row>
    <row r="501">
      <c r="A501" s="502"/>
      <c r="B501" s="503"/>
      <c r="C501" s="503"/>
      <c r="D501" s="503"/>
      <c r="E501" s="503"/>
      <c r="F501" s="503"/>
      <c r="G501" s="503"/>
      <c r="H501" s="503"/>
      <c r="I501" s="503"/>
    </row>
    <row r="502">
      <c r="A502" s="502"/>
      <c r="B502" s="503"/>
      <c r="C502" s="503"/>
      <c r="D502" s="503"/>
      <c r="E502" s="503"/>
      <c r="F502" s="503"/>
      <c r="G502" s="503"/>
      <c r="H502" s="503"/>
      <c r="I502" s="503"/>
    </row>
    <row r="503">
      <c r="A503" s="502"/>
      <c r="B503" s="503"/>
      <c r="C503" s="503"/>
      <c r="D503" s="503"/>
      <c r="E503" s="503"/>
      <c r="F503" s="503"/>
      <c r="G503" s="503"/>
      <c r="H503" s="503"/>
      <c r="I503" s="503"/>
    </row>
    <row r="504">
      <c r="A504" s="502"/>
      <c r="B504" s="503"/>
      <c r="C504" s="503"/>
      <c r="D504" s="503"/>
      <c r="E504" s="503"/>
      <c r="F504" s="503"/>
      <c r="G504" s="503"/>
      <c r="H504" s="503"/>
      <c r="I504" s="503"/>
    </row>
    <row r="505">
      <c r="A505" s="502"/>
      <c r="B505" s="503"/>
      <c r="C505" s="503"/>
      <c r="D505" s="503"/>
      <c r="E505" s="503"/>
      <c r="F505" s="503"/>
      <c r="G505" s="503"/>
      <c r="H505" s="503"/>
      <c r="I505" s="503"/>
    </row>
    <row r="506">
      <c r="A506" s="502"/>
      <c r="B506" s="503"/>
      <c r="C506" s="503"/>
      <c r="D506" s="503"/>
      <c r="E506" s="503"/>
      <c r="F506" s="503"/>
      <c r="G506" s="503"/>
      <c r="H506" s="503"/>
      <c r="I506" s="503"/>
    </row>
    <row r="507">
      <c r="A507" s="502"/>
      <c r="B507" s="503"/>
      <c r="C507" s="503"/>
      <c r="D507" s="503"/>
      <c r="E507" s="503"/>
      <c r="F507" s="503"/>
      <c r="G507" s="503"/>
      <c r="H507" s="503"/>
      <c r="I507" s="503"/>
    </row>
    <row r="508">
      <c r="A508" s="502"/>
      <c r="B508" s="503"/>
      <c r="C508" s="503"/>
      <c r="D508" s="503"/>
      <c r="E508" s="503"/>
      <c r="F508" s="503"/>
      <c r="G508" s="503"/>
      <c r="H508" s="503"/>
      <c r="I508" s="503"/>
    </row>
    <row r="509">
      <c r="A509" s="502"/>
      <c r="B509" s="503"/>
      <c r="C509" s="503"/>
      <c r="D509" s="503"/>
      <c r="E509" s="503"/>
      <c r="F509" s="503"/>
      <c r="G509" s="503"/>
      <c r="H509" s="503"/>
      <c r="I509" s="503"/>
    </row>
    <row r="510">
      <c r="A510" s="502"/>
      <c r="B510" s="503"/>
      <c r="C510" s="503"/>
      <c r="D510" s="503"/>
      <c r="E510" s="503"/>
      <c r="F510" s="503"/>
      <c r="G510" s="503"/>
      <c r="H510" s="503"/>
      <c r="I510" s="503"/>
    </row>
    <row r="511">
      <c r="A511" s="502"/>
      <c r="B511" s="503"/>
      <c r="C511" s="503"/>
      <c r="D511" s="503"/>
      <c r="E511" s="503"/>
      <c r="F511" s="503"/>
      <c r="G511" s="503"/>
      <c r="H511" s="503"/>
      <c r="I511" s="503"/>
    </row>
    <row r="512">
      <c r="A512" s="502"/>
      <c r="B512" s="503"/>
      <c r="C512" s="503"/>
      <c r="D512" s="503"/>
      <c r="E512" s="503"/>
      <c r="F512" s="503"/>
      <c r="G512" s="503"/>
      <c r="H512" s="503"/>
      <c r="I512" s="503"/>
    </row>
    <row r="513">
      <c r="A513" s="502"/>
      <c r="B513" s="503"/>
      <c r="C513" s="503"/>
      <c r="D513" s="503"/>
      <c r="E513" s="503"/>
      <c r="F513" s="503"/>
      <c r="G513" s="503"/>
      <c r="H513" s="503"/>
      <c r="I513" s="503"/>
    </row>
    <row r="514">
      <c r="A514" s="502"/>
      <c r="B514" s="503"/>
      <c r="C514" s="503"/>
      <c r="D514" s="503"/>
      <c r="E514" s="503"/>
      <c r="F514" s="503"/>
      <c r="G514" s="503"/>
      <c r="H514" s="503"/>
      <c r="I514" s="503"/>
    </row>
    <row r="515">
      <c r="A515" s="502"/>
      <c r="B515" s="503"/>
      <c r="C515" s="503"/>
      <c r="D515" s="503"/>
      <c r="E515" s="503"/>
      <c r="F515" s="503"/>
      <c r="G515" s="503"/>
      <c r="H515" s="503"/>
      <c r="I515" s="503"/>
    </row>
    <row r="516">
      <c r="A516" s="502"/>
      <c r="B516" s="503"/>
      <c r="C516" s="503"/>
      <c r="D516" s="503"/>
      <c r="E516" s="503"/>
      <c r="F516" s="503"/>
      <c r="G516" s="503"/>
      <c r="H516" s="503"/>
      <c r="I516" s="503"/>
    </row>
    <row r="517">
      <c r="A517" s="502"/>
      <c r="B517" s="503"/>
      <c r="C517" s="503"/>
      <c r="D517" s="503"/>
      <c r="E517" s="503"/>
      <c r="F517" s="503"/>
      <c r="G517" s="503"/>
      <c r="H517" s="503"/>
      <c r="I517" s="503"/>
    </row>
    <row r="518">
      <c r="A518" s="502"/>
      <c r="B518" s="503"/>
      <c r="C518" s="503"/>
      <c r="D518" s="503"/>
      <c r="E518" s="503"/>
      <c r="F518" s="503"/>
      <c r="G518" s="503"/>
      <c r="H518" s="503"/>
      <c r="I518" s="503"/>
    </row>
    <row r="519">
      <c r="A519" s="502"/>
      <c r="B519" s="503"/>
      <c r="C519" s="503"/>
      <c r="D519" s="503"/>
      <c r="E519" s="503"/>
      <c r="F519" s="503"/>
      <c r="G519" s="503"/>
      <c r="H519" s="503"/>
      <c r="I519" s="503"/>
    </row>
    <row r="520">
      <c r="A520" s="502"/>
      <c r="B520" s="503"/>
      <c r="C520" s="503"/>
      <c r="D520" s="503"/>
      <c r="E520" s="503"/>
      <c r="F520" s="503"/>
      <c r="G520" s="503"/>
      <c r="H520" s="503"/>
      <c r="I520" s="503"/>
    </row>
    <row r="521">
      <c r="A521" s="502"/>
      <c r="B521" s="503"/>
      <c r="C521" s="503"/>
      <c r="D521" s="503"/>
      <c r="E521" s="503"/>
      <c r="F521" s="503"/>
      <c r="G521" s="503"/>
      <c r="H521" s="503"/>
      <c r="I521" s="503"/>
    </row>
    <row r="522">
      <c r="A522" s="502"/>
      <c r="B522" s="503"/>
      <c r="C522" s="503"/>
      <c r="D522" s="503"/>
      <c r="E522" s="503"/>
      <c r="F522" s="503"/>
      <c r="G522" s="503"/>
      <c r="H522" s="503"/>
      <c r="I522" s="503"/>
    </row>
    <row r="523">
      <c r="A523" s="502"/>
      <c r="B523" s="503"/>
      <c r="C523" s="503"/>
      <c r="D523" s="503"/>
      <c r="E523" s="503"/>
      <c r="F523" s="503"/>
      <c r="G523" s="503"/>
      <c r="H523" s="503"/>
      <c r="I523" s="503"/>
    </row>
    <row r="524">
      <c r="A524" s="502"/>
      <c r="B524" s="503"/>
      <c r="C524" s="503"/>
      <c r="D524" s="503"/>
      <c r="E524" s="503"/>
      <c r="F524" s="503"/>
      <c r="G524" s="503"/>
      <c r="H524" s="503"/>
      <c r="I524" s="503"/>
    </row>
    <row r="525">
      <c r="A525" s="502"/>
      <c r="B525" s="503"/>
      <c r="C525" s="503"/>
      <c r="D525" s="503"/>
      <c r="E525" s="503"/>
      <c r="F525" s="503"/>
      <c r="G525" s="503"/>
      <c r="H525" s="503"/>
      <c r="I525" s="503"/>
    </row>
    <row r="526">
      <c r="A526" s="502"/>
      <c r="B526" s="503"/>
      <c r="C526" s="503"/>
      <c r="D526" s="503"/>
      <c r="E526" s="503"/>
      <c r="F526" s="503"/>
      <c r="G526" s="503"/>
      <c r="H526" s="503"/>
      <c r="I526" s="503"/>
    </row>
    <row r="527">
      <c r="A527" s="502"/>
      <c r="B527" s="503"/>
      <c r="C527" s="503"/>
      <c r="D527" s="503"/>
      <c r="E527" s="503"/>
      <c r="F527" s="503"/>
      <c r="G527" s="503"/>
      <c r="H527" s="503"/>
      <c r="I527" s="503"/>
    </row>
    <row r="528">
      <c r="A528" s="502"/>
      <c r="B528" s="503"/>
      <c r="C528" s="503"/>
      <c r="D528" s="503"/>
      <c r="E528" s="503"/>
      <c r="F528" s="503"/>
      <c r="G528" s="503"/>
      <c r="H528" s="503"/>
      <c r="I528" s="503"/>
    </row>
    <row r="529">
      <c r="A529" s="502"/>
      <c r="B529" s="503"/>
      <c r="C529" s="503"/>
      <c r="D529" s="503"/>
      <c r="E529" s="503"/>
      <c r="F529" s="503"/>
      <c r="G529" s="503"/>
      <c r="H529" s="503"/>
      <c r="I529" s="503"/>
    </row>
    <row r="530">
      <c r="A530" s="502"/>
      <c r="B530" s="503"/>
      <c r="C530" s="503"/>
      <c r="D530" s="503"/>
      <c r="E530" s="503"/>
      <c r="F530" s="503"/>
      <c r="G530" s="503"/>
      <c r="H530" s="503"/>
      <c r="I530" s="503"/>
    </row>
    <row r="531">
      <c r="A531" s="502"/>
      <c r="B531" s="503"/>
      <c r="C531" s="503"/>
      <c r="D531" s="503"/>
      <c r="E531" s="503"/>
      <c r="F531" s="503"/>
      <c r="G531" s="503"/>
      <c r="H531" s="503"/>
      <c r="I531" s="503"/>
    </row>
    <row r="532">
      <c r="A532" s="502"/>
      <c r="B532" s="503"/>
      <c r="C532" s="503"/>
      <c r="D532" s="503"/>
      <c r="E532" s="503"/>
      <c r="F532" s="503"/>
      <c r="G532" s="503"/>
      <c r="H532" s="503"/>
      <c r="I532" s="503"/>
    </row>
    <row r="533">
      <c r="A533" s="502"/>
      <c r="B533" s="503"/>
      <c r="C533" s="503"/>
      <c r="D533" s="503"/>
      <c r="E533" s="503"/>
      <c r="F533" s="503"/>
      <c r="G533" s="503"/>
      <c r="H533" s="503"/>
      <c r="I533" s="503"/>
    </row>
    <row r="534">
      <c r="A534" s="502"/>
      <c r="B534" s="503"/>
      <c r="C534" s="503"/>
      <c r="D534" s="503"/>
      <c r="E534" s="503"/>
      <c r="F534" s="503"/>
      <c r="G534" s="503"/>
      <c r="H534" s="503"/>
      <c r="I534" s="503"/>
    </row>
    <row r="535">
      <c r="A535" s="502"/>
      <c r="B535" s="503"/>
      <c r="C535" s="503"/>
      <c r="D535" s="503"/>
      <c r="E535" s="503"/>
      <c r="F535" s="503"/>
      <c r="G535" s="503"/>
      <c r="H535" s="503"/>
      <c r="I535" s="503"/>
    </row>
    <row r="536">
      <c r="A536" s="502"/>
      <c r="B536" s="503"/>
      <c r="C536" s="503"/>
      <c r="D536" s="503"/>
      <c r="E536" s="503"/>
      <c r="F536" s="503"/>
      <c r="G536" s="503"/>
      <c r="H536" s="503"/>
      <c r="I536" s="503"/>
    </row>
    <row r="537">
      <c r="A537" s="502"/>
      <c r="B537" s="503"/>
      <c r="C537" s="503"/>
      <c r="D537" s="503"/>
      <c r="E537" s="503"/>
      <c r="F537" s="503"/>
      <c r="G537" s="503"/>
      <c r="H537" s="503"/>
      <c r="I537" s="503"/>
    </row>
    <row r="538">
      <c r="A538" s="502"/>
      <c r="B538" s="503"/>
      <c r="C538" s="503"/>
      <c r="D538" s="503"/>
      <c r="E538" s="503"/>
      <c r="F538" s="503"/>
      <c r="G538" s="503"/>
      <c r="H538" s="503"/>
      <c r="I538" s="503"/>
    </row>
    <row r="539">
      <c r="A539" s="502"/>
      <c r="B539" s="503"/>
      <c r="C539" s="503"/>
      <c r="D539" s="503"/>
      <c r="E539" s="503"/>
      <c r="F539" s="503"/>
      <c r="G539" s="503"/>
      <c r="H539" s="503"/>
      <c r="I539" s="503"/>
    </row>
    <row r="540">
      <c r="A540" s="502"/>
      <c r="B540" s="503"/>
      <c r="C540" s="503"/>
      <c r="D540" s="503"/>
      <c r="E540" s="503"/>
      <c r="F540" s="503"/>
      <c r="G540" s="503"/>
      <c r="H540" s="503"/>
      <c r="I540" s="503"/>
    </row>
    <row r="541">
      <c r="A541" s="502"/>
      <c r="B541" s="503"/>
      <c r="C541" s="503"/>
      <c r="D541" s="503"/>
      <c r="E541" s="503"/>
      <c r="F541" s="503"/>
      <c r="G541" s="503"/>
      <c r="H541" s="503"/>
      <c r="I541" s="503"/>
    </row>
    <row r="542">
      <c r="A542" s="502"/>
      <c r="B542" s="503"/>
      <c r="C542" s="503"/>
      <c r="D542" s="503"/>
      <c r="E542" s="503"/>
      <c r="F542" s="503"/>
      <c r="G542" s="503"/>
      <c r="H542" s="503"/>
      <c r="I542" s="503"/>
    </row>
    <row r="543">
      <c r="A543" s="502"/>
      <c r="B543" s="503"/>
      <c r="C543" s="503"/>
      <c r="D543" s="503"/>
      <c r="E543" s="503"/>
      <c r="F543" s="503"/>
      <c r="G543" s="503"/>
      <c r="H543" s="503"/>
      <c r="I543" s="503"/>
    </row>
    <row r="544">
      <c r="A544" s="502"/>
      <c r="B544" s="503"/>
      <c r="C544" s="503"/>
      <c r="D544" s="503"/>
      <c r="E544" s="503"/>
      <c r="F544" s="503"/>
      <c r="G544" s="503"/>
      <c r="H544" s="503"/>
      <c r="I544" s="503"/>
    </row>
    <row r="545">
      <c r="A545" s="502"/>
      <c r="B545" s="503"/>
      <c r="C545" s="503"/>
      <c r="D545" s="503"/>
      <c r="E545" s="503"/>
      <c r="F545" s="503"/>
      <c r="G545" s="503"/>
      <c r="H545" s="503"/>
      <c r="I545" s="503"/>
    </row>
    <row r="546">
      <c r="A546" s="502"/>
      <c r="B546" s="503"/>
      <c r="C546" s="503"/>
      <c r="D546" s="503"/>
      <c r="E546" s="503"/>
      <c r="F546" s="503"/>
      <c r="G546" s="503"/>
      <c r="H546" s="503"/>
      <c r="I546" s="503"/>
    </row>
    <row r="547">
      <c r="A547" s="502"/>
      <c r="B547" s="503"/>
      <c r="C547" s="503"/>
      <c r="D547" s="503"/>
      <c r="E547" s="503"/>
      <c r="F547" s="503"/>
      <c r="G547" s="503"/>
      <c r="H547" s="503"/>
      <c r="I547" s="503"/>
    </row>
    <row r="548">
      <c r="A548" s="502"/>
      <c r="B548" s="503"/>
      <c r="C548" s="503"/>
      <c r="D548" s="503"/>
      <c r="E548" s="503"/>
      <c r="F548" s="503"/>
      <c r="G548" s="503"/>
      <c r="H548" s="503"/>
      <c r="I548" s="503"/>
    </row>
    <row r="549">
      <c r="A549" s="502"/>
      <c r="B549" s="503"/>
      <c r="C549" s="503"/>
      <c r="D549" s="503"/>
      <c r="E549" s="503"/>
      <c r="F549" s="503"/>
      <c r="G549" s="503"/>
      <c r="H549" s="503"/>
      <c r="I549" s="503"/>
    </row>
    <row r="550">
      <c r="A550" s="502"/>
      <c r="B550" s="503"/>
      <c r="C550" s="503"/>
      <c r="D550" s="503"/>
      <c r="E550" s="503"/>
      <c r="F550" s="503"/>
      <c r="G550" s="503"/>
      <c r="H550" s="503"/>
      <c r="I550" s="503"/>
    </row>
    <row r="551">
      <c r="A551" s="502"/>
      <c r="B551" s="503"/>
      <c r="C551" s="503"/>
      <c r="D551" s="503"/>
      <c r="E551" s="503"/>
      <c r="F551" s="503"/>
      <c r="G551" s="503"/>
      <c r="H551" s="503"/>
      <c r="I551" s="503"/>
    </row>
    <row r="552">
      <c r="A552" s="502"/>
      <c r="B552" s="503"/>
      <c r="C552" s="503"/>
      <c r="D552" s="503"/>
      <c r="E552" s="503"/>
      <c r="F552" s="503"/>
      <c r="G552" s="503"/>
      <c r="H552" s="503"/>
      <c r="I552" s="503"/>
    </row>
    <row r="553">
      <c r="A553" s="502"/>
      <c r="B553" s="503"/>
      <c r="C553" s="503"/>
      <c r="D553" s="503"/>
      <c r="E553" s="503"/>
      <c r="F553" s="503"/>
      <c r="G553" s="503"/>
      <c r="H553" s="503"/>
      <c r="I553" s="503"/>
    </row>
    <row r="554">
      <c r="A554" s="502"/>
      <c r="B554" s="503"/>
      <c r="C554" s="503"/>
      <c r="D554" s="503"/>
      <c r="E554" s="503"/>
      <c r="F554" s="503"/>
      <c r="G554" s="503"/>
      <c r="H554" s="503"/>
      <c r="I554" s="503"/>
    </row>
    <row r="555">
      <c r="A555" s="502"/>
      <c r="B555" s="503"/>
      <c r="C555" s="503"/>
      <c r="D555" s="503"/>
      <c r="E555" s="503"/>
      <c r="F555" s="503"/>
      <c r="G555" s="503"/>
      <c r="H555" s="503"/>
      <c r="I555" s="503"/>
    </row>
    <row r="556">
      <c r="A556" s="502"/>
      <c r="B556" s="503"/>
      <c r="C556" s="503"/>
      <c r="D556" s="503"/>
      <c r="E556" s="503"/>
      <c r="F556" s="503"/>
      <c r="G556" s="503"/>
      <c r="H556" s="503"/>
      <c r="I556" s="503"/>
    </row>
    <row r="557">
      <c r="A557" s="502"/>
      <c r="B557" s="503"/>
      <c r="C557" s="503"/>
      <c r="D557" s="503"/>
      <c r="E557" s="503"/>
      <c r="F557" s="503"/>
      <c r="G557" s="503"/>
      <c r="H557" s="503"/>
      <c r="I557" s="503"/>
    </row>
    <row r="558">
      <c r="A558" s="502"/>
      <c r="B558" s="503"/>
      <c r="C558" s="503"/>
      <c r="D558" s="503"/>
      <c r="E558" s="503"/>
      <c r="F558" s="503"/>
      <c r="G558" s="503"/>
      <c r="H558" s="503"/>
      <c r="I558" s="503"/>
    </row>
    <row r="559">
      <c r="A559" s="502"/>
      <c r="B559" s="503"/>
      <c r="C559" s="503"/>
      <c r="D559" s="503"/>
      <c r="E559" s="503"/>
      <c r="F559" s="503"/>
      <c r="G559" s="503"/>
      <c r="H559" s="503"/>
      <c r="I559" s="503"/>
    </row>
    <row r="560">
      <c r="A560" s="502"/>
      <c r="B560" s="503"/>
      <c r="C560" s="503"/>
      <c r="D560" s="503"/>
      <c r="E560" s="503"/>
      <c r="F560" s="503"/>
      <c r="G560" s="503"/>
      <c r="H560" s="503"/>
      <c r="I560" s="503"/>
    </row>
    <row r="561">
      <c r="A561" s="502"/>
      <c r="B561" s="503"/>
      <c r="C561" s="503"/>
      <c r="D561" s="503"/>
      <c r="E561" s="503"/>
      <c r="F561" s="503"/>
      <c r="G561" s="503"/>
      <c r="H561" s="503"/>
      <c r="I561" s="503"/>
    </row>
    <row r="562">
      <c r="A562" s="502"/>
      <c r="B562" s="503"/>
      <c r="C562" s="503"/>
      <c r="D562" s="503"/>
      <c r="E562" s="503"/>
      <c r="F562" s="503"/>
      <c r="G562" s="503"/>
      <c r="H562" s="503"/>
      <c r="I562" s="503"/>
    </row>
    <row r="563">
      <c r="A563" s="502"/>
      <c r="B563" s="503"/>
      <c r="C563" s="503"/>
      <c r="D563" s="503"/>
      <c r="E563" s="503"/>
      <c r="F563" s="503"/>
      <c r="G563" s="503"/>
      <c r="H563" s="503"/>
      <c r="I563" s="503"/>
    </row>
    <row r="564">
      <c r="A564" s="502"/>
      <c r="B564" s="503"/>
      <c r="C564" s="503"/>
      <c r="D564" s="503"/>
      <c r="E564" s="503"/>
      <c r="F564" s="503"/>
      <c r="G564" s="503"/>
      <c r="H564" s="503"/>
      <c r="I564" s="503"/>
    </row>
    <row r="565">
      <c r="A565" s="502"/>
      <c r="B565" s="503"/>
      <c r="C565" s="503"/>
      <c r="D565" s="503"/>
      <c r="E565" s="503"/>
      <c r="F565" s="503"/>
      <c r="G565" s="503"/>
      <c r="H565" s="503"/>
      <c r="I565" s="503"/>
    </row>
    <row r="566">
      <c r="A566" s="502"/>
      <c r="B566" s="503"/>
      <c r="C566" s="503"/>
      <c r="D566" s="503"/>
      <c r="E566" s="503"/>
      <c r="F566" s="503"/>
      <c r="G566" s="503"/>
      <c r="H566" s="503"/>
      <c r="I566" s="503"/>
    </row>
    <row r="567">
      <c r="A567" s="502"/>
      <c r="B567" s="503"/>
      <c r="C567" s="503"/>
      <c r="D567" s="503"/>
      <c r="E567" s="503"/>
      <c r="F567" s="503"/>
      <c r="G567" s="503"/>
      <c r="H567" s="503"/>
      <c r="I567" s="503"/>
    </row>
    <row r="568">
      <c r="A568" s="502"/>
      <c r="B568" s="503"/>
      <c r="C568" s="503"/>
      <c r="D568" s="503"/>
      <c r="E568" s="503"/>
      <c r="F568" s="503"/>
      <c r="G568" s="503"/>
      <c r="H568" s="503"/>
      <c r="I568" s="503"/>
    </row>
    <row r="569">
      <c r="A569" s="502"/>
      <c r="B569" s="503"/>
      <c r="C569" s="503"/>
      <c r="D569" s="503"/>
      <c r="E569" s="503"/>
      <c r="F569" s="503"/>
      <c r="G569" s="503"/>
      <c r="H569" s="503"/>
      <c r="I569" s="503"/>
    </row>
    <row r="570">
      <c r="A570" s="502"/>
      <c r="B570" s="503"/>
      <c r="C570" s="503"/>
      <c r="D570" s="503"/>
      <c r="E570" s="503"/>
      <c r="F570" s="503"/>
      <c r="G570" s="503"/>
      <c r="H570" s="503"/>
      <c r="I570" s="503"/>
    </row>
    <row r="571">
      <c r="A571" s="502"/>
      <c r="B571" s="503"/>
      <c r="C571" s="503"/>
      <c r="D571" s="503"/>
      <c r="E571" s="503"/>
      <c r="F571" s="503"/>
      <c r="G571" s="503"/>
      <c r="H571" s="503"/>
      <c r="I571" s="503"/>
    </row>
    <row r="572">
      <c r="A572" s="502"/>
      <c r="B572" s="503"/>
      <c r="C572" s="503"/>
      <c r="D572" s="503"/>
      <c r="E572" s="503"/>
      <c r="F572" s="503"/>
      <c r="G572" s="503"/>
      <c r="H572" s="503"/>
      <c r="I572" s="503"/>
    </row>
    <row r="573">
      <c r="A573" s="502"/>
      <c r="B573" s="503"/>
      <c r="C573" s="503"/>
      <c r="D573" s="503"/>
      <c r="E573" s="503"/>
      <c r="F573" s="503"/>
      <c r="G573" s="503"/>
      <c r="H573" s="503"/>
      <c r="I573" s="503"/>
    </row>
    <row r="574">
      <c r="A574" s="502"/>
      <c r="B574" s="503"/>
      <c r="C574" s="503"/>
      <c r="D574" s="503"/>
      <c r="E574" s="503"/>
      <c r="F574" s="503"/>
      <c r="G574" s="503"/>
      <c r="H574" s="503"/>
      <c r="I574" s="503"/>
    </row>
    <row r="575">
      <c r="A575" s="502"/>
      <c r="B575" s="503"/>
      <c r="C575" s="503"/>
      <c r="D575" s="503"/>
      <c r="E575" s="503"/>
      <c r="F575" s="503"/>
      <c r="G575" s="503"/>
      <c r="H575" s="503"/>
      <c r="I575" s="503"/>
    </row>
    <row r="576">
      <c r="A576" s="502"/>
      <c r="B576" s="503"/>
      <c r="C576" s="503"/>
      <c r="D576" s="503"/>
      <c r="E576" s="503"/>
      <c r="F576" s="503"/>
      <c r="G576" s="503"/>
      <c r="H576" s="503"/>
      <c r="I576" s="503"/>
    </row>
    <row r="577">
      <c r="A577" s="502"/>
      <c r="B577" s="503"/>
      <c r="C577" s="503"/>
      <c r="D577" s="503"/>
      <c r="E577" s="503"/>
      <c r="F577" s="503"/>
      <c r="G577" s="503"/>
      <c r="H577" s="503"/>
      <c r="I577" s="503"/>
    </row>
    <row r="578">
      <c r="A578" s="502"/>
      <c r="B578" s="503"/>
      <c r="C578" s="503"/>
      <c r="D578" s="503"/>
      <c r="E578" s="503"/>
      <c r="F578" s="503"/>
      <c r="G578" s="503"/>
      <c r="H578" s="503"/>
      <c r="I578" s="503"/>
    </row>
    <row r="579">
      <c r="A579" s="502"/>
      <c r="B579" s="503"/>
      <c r="C579" s="503"/>
      <c r="D579" s="503"/>
      <c r="E579" s="503"/>
      <c r="F579" s="503"/>
      <c r="G579" s="503"/>
      <c r="H579" s="503"/>
      <c r="I579" s="503"/>
    </row>
    <row r="580">
      <c r="A580" s="502"/>
      <c r="B580" s="503"/>
      <c r="C580" s="503"/>
      <c r="D580" s="503"/>
      <c r="E580" s="503"/>
      <c r="F580" s="503"/>
      <c r="G580" s="503"/>
      <c r="H580" s="503"/>
      <c r="I580" s="503"/>
    </row>
    <row r="581">
      <c r="A581" s="502"/>
      <c r="B581" s="503"/>
      <c r="C581" s="503"/>
      <c r="D581" s="503"/>
      <c r="E581" s="503"/>
      <c r="F581" s="503"/>
      <c r="G581" s="503"/>
      <c r="H581" s="503"/>
      <c r="I581" s="503"/>
    </row>
    <row r="582">
      <c r="A582" s="502"/>
      <c r="B582" s="503"/>
      <c r="C582" s="503"/>
      <c r="D582" s="503"/>
      <c r="E582" s="503"/>
      <c r="F582" s="503"/>
      <c r="G582" s="503"/>
      <c r="H582" s="503"/>
      <c r="I582" s="503"/>
    </row>
    <row r="583">
      <c r="A583" s="502"/>
      <c r="B583" s="503"/>
      <c r="C583" s="503"/>
      <c r="D583" s="503"/>
      <c r="E583" s="503"/>
      <c r="F583" s="503"/>
      <c r="G583" s="503"/>
      <c r="H583" s="503"/>
      <c r="I583" s="503"/>
    </row>
    <row r="584">
      <c r="A584" s="502"/>
      <c r="B584" s="503"/>
      <c r="C584" s="503"/>
      <c r="D584" s="503"/>
      <c r="E584" s="503"/>
      <c r="F584" s="503"/>
      <c r="G584" s="503"/>
      <c r="H584" s="503"/>
      <c r="I584" s="503"/>
    </row>
    <row r="585">
      <c r="A585" s="502"/>
      <c r="B585" s="503"/>
      <c r="C585" s="503"/>
      <c r="D585" s="503"/>
      <c r="E585" s="503"/>
      <c r="F585" s="503"/>
      <c r="G585" s="503"/>
      <c r="H585" s="503"/>
      <c r="I585" s="503"/>
    </row>
    <row r="586">
      <c r="A586" s="502"/>
      <c r="B586" s="503"/>
      <c r="C586" s="503"/>
      <c r="D586" s="503"/>
      <c r="E586" s="503"/>
      <c r="F586" s="503"/>
      <c r="G586" s="503"/>
      <c r="H586" s="503"/>
      <c r="I586" s="503"/>
    </row>
    <row r="587">
      <c r="A587" s="502"/>
      <c r="B587" s="503"/>
      <c r="C587" s="503"/>
      <c r="D587" s="503"/>
      <c r="E587" s="503"/>
      <c r="F587" s="503"/>
      <c r="G587" s="503"/>
      <c r="H587" s="503"/>
      <c r="I587" s="503"/>
    </row>
    <row r="588">
      <c r="A588" s="502"/>
      <c r="B588" s="503"/>
      <c r="C588" s="503"/>
      <c r="D588" s="503"/>
      <c r="E588" s="503"/>
      <c r="F588" s="503"/>
      <c r="G588" s="503"/>
      <c r="H588" s="503"/>
      <c r="I588" s="503"/>
    </row>
    <row r="589">
      <c r="A589" s="502"/>
      <c r="B589" s="503"/>
      <c r="C589" s="503"/>
      <c r="D589" s="503"/>
      <c r="E589" s="503"/>
      <c r="F589" s="503"/>
      <c r="G589" s="503"/>
      <c r="H589" s="503"/>
      <c r="I589" s="503"/>
    </row>
    <row r="590">
      <c r="A590" s="502"/>
      <c r="B590" s="503"/>
      <c r="C590" s="503"/>
      <c r="D590" s="503"/>
      <c r="E590" s="503"/>
      <c r="F590" s="503"/>
      <c r="G590" s="503"/>
      <c r="H590" s="503"/>
      <c r="I590" s="503"/>
    </row>
    <row r="591">
      <c r="A591" s="502"/>
      <c r="B591" s="503"/>
      <c r="C591" s="503"/>
      <c r="D591" s="503"/>
      <c r="E591" s="503"/>
      <c r="F591" s="503"/>
      <c r="G591" s="503"/>
      <c r="H591" s="503"/>
      <c r="I591" s="503"/>
    </row>
    <row r="592">
      <c r="A592" s="502"/>
      <c r="B592" s="503"/>
      <c r="C592" s="503"/>
      <c r="D592" s="503"/>
      <c r="E592" s="503"/>
      <c r="F592" s="503"/>
      <c r="G592" s="503"/>
      <c r="H592" s="503"/>
      <c r="I592" s="503"/>
    </row>
    <row r="593">
      <c r="A593" s="502"/>
      <c r="B593" s="503"/>
      <c r="C593" s="503"/>
      <c r="D593" s="503"/>
      <c r="E593" s="503"/>
      <c r="F593" s="503"/>
      <c r="G593" s="503"/>
      <c r="H593" s="503"/>
      <c r="I593" s="503"/>
    </row>
    <row r="594">
      <c r="A594" s="502"/>
      <c r="B594" s="503"/>
      <c r="C594" s="503"/>
      <c r="D594" s="503"/>
      <c r="E594" s="503"/>
      <c r="F594" s="503"/>
      <c r="G594" s="503"/>
      <c r="H594" s="503"/>
      <c r="I594" s="503"/>
    </row>
    <row r="595">
      <c r="A595" s="502"/>
      <c r="B595" s="503"/>
      <c r="C595" s="503"/>
      <c r="D595" s="503"/>
      <c r="E595" s="503"/>
      <c r="F595" s="503"/>
      <c r="G595" s="503"/>
      <c r="H595" s="503"/>
      <c r="I595" s="503"/>
    </row>
    <row r="596">
      <c r="A596" s="502"/>
      <c r="B596" s="503"/>
      <c r="C596" s="503"/>
      <c r="D596" s="503"/>
      <c r="E596" s="503"/>
      <c r="F596" s="503"/>
      <c r="G596" s="503"/>
      <c r="H596" s="503"/>
      <c r="I596" s="503"/>
    </row>
    <row r="597">
      <c r="A597" s="502"/>
      <c r="B597" s="503"/>
      <c r="C597" s="503"/>
      <c r="D597" s="503"/>
      <c r="E597" s="503"/>
      <c r="F597" s="503"/>
      <c r="G597" s="503"/>
      <c r="H597" s="503"/>
      <c r="I597" s="503"/>
    </row>
    <row r="598">
      <c r="A598" s="502"/>
      <c r="B598" s="503"/>
      <c r="C598" s="503"/>
      <c r="D598" s="503"/>
      <c r="E598" s="503"/>
      <c r="F598" s="503"/>
      <c r="G598" s="503"/>
      <c r="H598" s="503"/>
      <c r="I598" s="503"/>
    </row>
    <row r="599">
      <c r="A599" s="502"/>
      <c r="B599" s="503"/>
      <c r="C599" s="503"/>
      <c r="D599" s="503"/>
      <c r="E599" s="503"/>
      <c r="F599" s="503"/>
      <c r="G599" s="503"/>
      <c r="H599" s="503"/>
      <c r="I599" s="503"/>
    </row>
    <row r="600">
      <c r="A600" s="502"/>
      <c r="B600" s="503"/>
      <c r="C600" s="503"/>
      <c r="D600" s="503"/>
      <c r="E600" s="503"/>
      <c r="F600" s="503"/>
      <c r="G600" s="503"/>
      <c r="H600" s="503"/>
      <c r="I600" s="503"/>
    </row>
    <row r="601">
      <c r="A601" s="502"/>
      <c r="B601" s="503"/>
      <c r="C601" s="503"/>
      <c r="D601" s="503"/>
      <c r="E601" s="503"/>
      <c r="F601" s="503"/>
      <c r="G601" s="503"/>
      <c r="H601" s="503"/>
      <c r="I601" s="503"/>
    </row>
    <row r="602">
      <c r="A602" s="502"/>
      <c r="B602" s="503"/>
      <c r="C602" s="503"/>
      <c r="D602" s="503"/>
      <c r="E602" s="503"/>
      <c r="F602" s="503"/>
      <c r="G602" s="503"/>
      <c r="H602" s="503"/>
      <c r="I602" s="503"/>
    </row>
    <row r="603">
      <c r="A603" s="502"/>
      <c r="B603" s="503"/>
      <c r="C603" s="503"/>
      <c r="D603" s="503"/>
      <c r="E603" s="503"/>
      <c r="F603" s="503"/>
      <c r="G603" s="503"/>
      <c r="H603" s="503"/>
      <c r="I603" s="503"/>
    </row>
    <row r="604">
      <c r="A604" s="502"/>
      <c r="B604" s="503"/>
      <c r="C604" s="503"/>
      <c r="D604" s="503"/>
      <c r="E604" s="503"/>
      <c r="F604" s="503"/>
      <c r="G604" s="503"/>
      <c r="H604" s="503"/>
      <c r="I604" s="503"/>
    </row>
    <row r="605">
      <c r="A605" s="502"/>
      <c r="B605" s="503"/>
      <c r="C605" s="503"/>
      <c r="D605" s="503"/>
      <c r="E605" s="503"/>
      <c r="F605" s="503"/>
      <c r="G605" s="503"/>
      <c r="H605" s="503"/>
      <c r="I605" s="503"/>
    </row>
    <row r="606">
      <c r="A606" s="502"/>
      <c r="B606" s="503"/>
      <c r="C606" s="503"/>
      <c r="D606" s="503"/>
      <c r="E606" s="503"/>
      <c r="F606" s="503"/>
      <c r="G606" s="503"/>
      <c r="H606" s="503"/>
      <c r="I606" s="503"/>
    </row>
    <row r="607">
      <c r="A607" s="502"/>
      <c r="B607" s="503"/>
      <c r="C607" s="503"/>
      <c r="D607" s="503"/>
      <c r="E607" s="503"/>
      <c r="F607" s="503"/>
      <c r="G607" s="503"/>
      <c r="H607" s="503"/>
      <c r="I607" s="503"/>
    </row>
    <row r="608">
      <c r="A608" s="502"/>
      <c r="B608" s="503"/>
      <c r="C608" s="503"/>
      <c r="D608" s="503"/>
      <c r="E608" s="503"/>
      <c r="F608" s="503"/>
      <c r="G608" s="503"/>
      <c r="H608" s="503"/>
      <c r="I608" s="503"/>
    </row>
    <row r="609">
      <c r="A609" s="502"/>
      <c r="B609" s="503"/>
      <c r="C609" s="503"/>
      <c r="D609" s="503"/>
      <c r="E609" s="503"/>
      <c r="F609" s="503"/>
      <c r="G609" s="503"/>
      <c r="H609" s="503"/>
      <c r="I609" s="503"/>
    </row>
    <row r="610">
      <c r="A610" s="502"/>
      <c r="B610" s="503"/>
      <c r="C610" s="503"/>
      <c r="D610" s="503"/>
      <c r="E610" s="503"/>
      <c r="F610" s="503"/>
      <c r="G610" s="503"/>
      <c r="H610" s="503"/>
      <c r="I610" s="503"/>
    </row>
    <row r="611">
      <c r="A611" s="502"/>
      <c r="B611" s="503"/>
      <c r="C611" s="503"/>
      <c r="D611" s="503"/>
      <c r="E611" s="503"/>
      <c r="F611" s="503"/>
      <c r="G611" s="503"/>
      <c r="H611" s="503"/>
      <c r="I611" s="503"/>
    </row>
    <row r="612">
      <c r="A612" s="502"/>
      <c r="B612" s="503"/>
      <c r="C612" s="503"/>
      <c r="D612" s="503"/>
      <c r="E612" s="503"/>
      <c r="F612" s="503"/>
      <c r="G612" s="503"/>
      <c r="H612" s="503"/>
      <c r="I612" s="503"/>
    </row>
    <row r="613">
      <c r="A613" s="502"/>
      <c r="B613" s="503"/>
      <c r="C613" s="503"/>
      <c r="D613" s="503"/>
      <c r="E613" s="503"/>
      <c r="F613" s="503"/>
      <c r="G613" s="503"/>
      <c r="H613" s="503"/>
      <c r="I613" s="503"/>
    </row>
    <row r="614">
      <c r="A614" s="502"/>
      <c r="B614" s="503"/>
      <c r="C614" s="503"/>
      <c r="D614" s="503"/>
      <c r="E614" s="503"/>
      <c r="F614" s="503"/>
      <c r="G614" s="503"/>
      <c r="H614" s="503"/>
      <c r="I614" s="503"/>
    </row>
    <row r="615">
      <c r="A615" s="502"/>
      <c r="B615" s="503"/>
      <c r="C615" s="503"/>
      <c r="D615" s="503"/>
      <c r="E615" s="503"/>
      <c r="F615" s="503"/>
      <c r="G615" s="503"/>
      <c r="H615" s="503"/>
      <c r="I615" s="503"/>
    </row>
    <row r="616">
      <c r="A616" s="502"/>
      <c r="B616" s="503"/>
      <c r="C616" s="503"/>
      <c r="D616" s="503"/>
      <c r="E616" s="503"/>
      <c r="F616" s="503"/>
      <c r="G616" s="503"/>
      <c r="H616" s="503"/>
      <c r="I616" s="503"/>
    </row>
    <row r="617">
      <c r="A617" s="502"/>
      <c r="B617" s="503"/>
      <c r="C617" s="503"/>
      <c r="D617" s="503"/>
      <c r="E617" s="503"/>
      <c r="F617" s="503"/>
      <c r="G617" s="503"/>
      <c r="H617" s="503"/>
      <c r="I617" s="503"/>
    </row>
    <row r="618">
      <c r="A618" s="502"/>
      <c r="B618" s="503"/>
      <c r="C618" s="503"/>
      <c r="D618" s="503"/>
      <c r="E618" s="503"/>
      <c r="F618" s="503"/>
      <c r="G618" s="503"/>
      <c r="H618" s="503"/>
      <c r="I618" s="503"/>
    </row>
    <row r="619">
      <c r="A619" s="502"/>
      <c r="B619" s="503"/>
      <c r="C619" s="503"/>
      <c r="D619" s="503"/>
      <c r="E619" s="503"/>
      <c r="F619" s="503"/>
      <c r="G619" s="503"/>
      <c r="H619" s="503"/>
      <c r="I619" s="503"/>
    </row>
    <row r="620">
      <c r="A620" s="502"/>
      <c r="B620" s="503"/>
      <c r="C620" s="503"/>
      <c r="D620" s="503"/>
      <c r="E620" s="503"/>
      <c r="F620" s="503"/>
      <c r="G620" s="503"/>
      <c r="H620" s="503"/>
      <c r="I620" s="503"/>
    </row>
    <row r="621">
      <c r="A621" s="502"/>
      <c r="B621" s="503"/>
      <c r="C621" s="503"/>
      <c r="D621" s="503"/>
      <c r="E621" s="503"/>
      <c r="F621" s="503"/>
      <c r="G621" s="503"/>
      <c r="H621" s="503"/>
      <c r="I621" s="503"/>
    </row>
    <row r="622">
      <c r="A622" s="502"/>
      <c r="B622" s="503"/>
      <c r="C622" s="503"/>
      <c r="D622" s="503"/>
      <c r="E622" s="503"/>
      <c r="F622" s="503"/>
      <c r="G622" s="503"/>
      <c r="H622" s="503"/>
      <c r="I622" s="503"/>
    </row>
    <row r="623">
      <c r="A623" s="502"/>
      <c r="B623" s="503"/>
      <c r="C623" s="503"/>
      <c r="D623" s="503"/>
      <c r="E623" s="503"/>
      <c r="F623" s="503"/>
      <c r="G623" s="503"/>
      <c r="H623" s="503"/>
      <c r="I623" s="503"/>
    </row>
    <row r="624">
      <c r="A624" s="502"/>
      <c r="B624" s="503"/>
      <c r="C624" s="503"/>
      <c r="D624" s="503"/>
      <c r="E624" s="503"/>
      <c r="F624" s="503"/>
      <c r="G624" s="503"/>
      <c r="H624" s="503"/>
      <c r="I624" s="503"/>
    </row>
    <row r="625">
      <c r="A625" s="502"/>
      <c r="B625" s="503"/>
      <c r="C625" s="503"/>
      <c r="D625" s="503"/>
      <c r="E625" s="503"/>
      <c r="F625" s="503"/>
      <c r="G625" s="503"/>
      <c r="H625" s="503"/>
      <c r="I625" s="503"/>
    </row>
    <row r="626">
      <c r="A626" s="502"/>
      <c r="B626" s="503"/>
      <c r="C626" s="503"/>
      <c r="D626" s="503"/>
      <c r="E626" s="503"/>
      <c r="F626" s="503"/>
      <c r="G626" s="503"/>
      <c r="H626" s="503"/>
      <c r="I626" s="503"/>
    </row>
    <row r="627">
      <c r="A627" s="502"/>
      <c r="B627" s="503"/>
      <c r="C627" s="503"/>
      <c r="D627" s="503"/>
      <c r="E627" s="503"/>
      <c r="F627" s="503"/>
      <c r="G627" s="503"/>
      <c r="H627" s="503"/>
      <c r="I627" s="503"/>
    </row>
    <row r="628">
      <c r="A628" s="502"/>
      <c r="B628" s="503"/>
      <c r="C628" s="503"/>
      <c r="D628" s="503"/>
      <c r="E628" s="503"/>
      <c r="F628" s="503"/>
      <c r="G628" s="503"/>
      <c r="H628" s="503"/>
      <c r="I628" s="503"/>
    </row>
    <row r="629">
      <c r="A629" s="502"/>
      <c r="B629" s="503"/>
      <c r="C629" s="503"/>
      <c r="D629" s="503"/>
      <c r="E629" s="503"/>
      <c r="F629" s="503"/>
      <c r="G629" s="503"/>
      <c r="H629" s="503"/>
      <c r="I629" s="503"/>
    </row>
    <row r="630">
      <c r="A630" s="502"/>
      <c r="B630" s="503"/>
      <c r="C630" s="503"/>
      <c r="D630" s="503"/>
      <c r="E630" s="503"/>
      <c r="F630" s="503"/>
      <c r="G630" s="503"/>
      <c r="H630" s="503"/>
      <c r="I630" s="503"/>
    </row>
    <row r="631">
      <c r="A631" s="502"/>
      <c r="B631" s="503"/>
      <c r="C631" s="503"/>
      <c r="D631" s="503"/>
      <c r="E631" s="503"/>
      <c r="F631" s="503"/>
      <c r="G631" s="503"/>
      <c r="H631" s="503"/>
      <c r="I631" s="503"/>
    </row>
    <row r="632">
      <c r="A632" s="502"/>
      <c r="B632" s="503"/>
      <c r="C632" s="503"/>
      <c r="D632" s="503"/>
      <c r="E632" s="503"/>
      <c r="F632" s="503"/>
      <c r="G632" s="503"/>
      <c r="H632" s="503"/>
      <c r="I632" s="503"/>
    </row>
    <row r="633">
      <c r="A633" s="502"/>
      <c r="B633" s="503"/>
      <c r="C633" s="503"/>
      <c r="D633" s="503"/>
      <c r="E633" s="503"/>
      <c r="F633" s="503"/>
      <c r="G633" s="503"/>
      <c r="H633" s="503"/>
      <c r="I633" s="503"/>
    </row>
    <row r="634">
      <c r="A634" s="502"/>
      <c r="B634" s="503"/>
      <c r="C634" s="503"/>
      <c r="D634" s="503"/>
      <c r="E634" s="503"/>
      <c r="F634" s="503"/>
      <c r="G634" s="503"/>
      <c r="H634" s="503"/>
      <c r="I634" s="503"/>
    </row>
    <row r="635">
      <c r="A635" s="502"/>
      <c r="B635" s="503"/>
      <c r="C635" s="503"/>
      <c r="D635" s="503"/>
      <c r="E635" s="503"/>
      <c r="F635" s="503"/>
      <c r="G635" s="503"/>
      <c r="H635" s="503"/>
      <c r="I635" s="503"/>
    </row>
    <row r="636">
      <c r="A636" s="502"/>
      <c r="B636" s="503"/>
      <c r="C636" s="503"/>
      <c r="D636" s="503"/>
      <c r="E636" s="503"/>
      <c r="F636" s="503"/>
      <c r="G636" s="503"/>
      <c r="H636" s="503"/>
      <c r="I636" s="503"/>
    </row>
    <row r="637">
      <c r="A637" s="502"/>
      <c r="B637" s="503"/>
      <c r="C637" s="503"/>
      <c r="D637" s="503"/>
      <c r="E637" s="503"/>
      <c r="F637" s="503"/>
      <c r="G637" s="503"/>
      <c r="H637" s="503"/>
      <c r="I637" s="503"/>
    </row>
    <row r="638">
      <c r="A638" s="502"/>
      <c r="B638" s="503"/>
      <c r="C638" s="503"/>
      <c r="D638" s="503"/>
      <c r="E638" s="503"/>
      <c r="F638" s="503"/>
      <c r="G638" s="503"/>
      <c r="H638" s="503"/>
      <c r="I638" s="503"/>
    </row>
    <row r="639">
      <c r="A639" s="502"/>
      <c r="B639" s="503"/>
      <c r="C639" s="503"/>
      <c r="D639" s="503"/>
      <c r="E639" s="503"/>
      <c r="F639" s="503"/>
      <c r="G639" s="503"/>
      <c r="H639" s="503"/>
      <c r="I639" s="503"/>
    </row>
    <row r="640">
      <c r="A640" s="502"/>
      <c r="B640" s="503"/>
      <c r="C640" s="503"/>
      <c r="D640" s="503"/>
      <c r="E640" s="503"/>
      <c r="F640" s="503"/>
      <c r="G640" s="503"/>
      <c r="H640" s="503"/>
      <c r="I640" s="503"/>
    </row>
    <row r="641">
      <c r="A641" s="502"/>
      <c r="B641" s="503"/>
      <c r="C641" s="503"/>
      <c r="D641" s="503"/>
      <c r="E641" s="503"/>
      <c r="F641" s="503"/>
      <c r="G641" s="503"/>
      <c r="H641" s="503"/>
      <c r="I641" s="503"/>
    </row>
    <row r="642">
      <c r="A642" s="502"/>
      <c r="B642" s="503"/>
      <c r="C642" s="503"/>
      <c r="D642" s="503"/>
      <c r="E642" s="503"/>
      <c r="F642" s="503"/>
      <c r="G642" s="503"/>
      <c r="H642" s="503"/>
      <c r="I642" s="503"/>
    </row>
    <row r="643">
      <c r="A643" s="502"/>
      <c r="B643" s="503"/>
      <c r="C643" s="503"/>
      <c r="D643" s="503"/>
      <c r="E643" s="503"/>
      <c r="F643" s="503"/>
      <c r="G643" s="503"/>
      <c r="H643" s="503"/>
      <c r="I643" s="503"/>
    </row>
    <row r="644">
      <c r="A644" s="502"/>
      <c r="B644" s="503"/>
      <c r="C644" s="503"/>
      <c r="D644" s="503"/>
      <c r="E644" s="503"/>
      <c r="F644" s="503"/>
      <c r="G644" s="503"/>
      <c r="H644" s="503"/>
      <c r="I644" s="503"/>
    </row>
    <row r="645">
      <c r="A645" s="502"/>
      <c r="B645" s="503"/>
      <c r="C645" s="503"/>
      <c r="D645" s="503"/>
      <c r="E645" s="503"/>
      <c r="F645" s="503"/>
      <c r="G645" s="503"/>
      <c r="H645" s="503"/>
      <c r="I645" s="503"/>
    </row>
    <row r="646">
      <c r="A646" s="502"/>
      <c r="B646" s="503"/>
      <c r="C646" s="503"/>
      <c r="D646" s="503"/>
      <c r="E646" s="503"/>
      <c r="F646" s="503"/>
      <c r="G646" s="503"/>
      <c r="H646" s="503"/>
      <c r="I646" s="503"/>
    </row>
    <row r="647">
      <c r="A647" s="502"/>
      <c r="B647" s="503"/>
      <c r="C647" s="503"/>
      <c r="D647" s="503"/>
      <c r="E647" s="503"/>
      <c r="F647" s="503"/>
      <c r="G647" s="503"/>
      <c r="H647" s="503"/>
      <c r="I647" s="503"/>
    </row>
    <row r="648">
      <c r="A648" s="502"/>
      <c r="B648" s="503"/>
      <c r="C648" s="503"/>
      <c r="D648" s="503"/>
      <c r="E648" s="503"/>
      <c r="F648" s="503"/>
      <c r="G648" s="503"/>
      <c r="H648" s="503"/>
      <c r="I648" s="503"/>
    </row>
    <row r="649">
      <c r="A649" s="502"/>
      <c r="B649" s="503"/>
      <c r="C649" s="503"/>
      <c r="D649" s="503"/>
      <c r="E649" s="503"/>
      <c r="F649" s="503"/>
      <c r="G649" s="503"/>
      <c r="H649" s="503"/>
      <c r="I649" s="503"/>
    </row>
    <row r="650">
      <c r="A650" s="502"/>
      <c r="B650" s="503"/>
      <c r="C650" s="503"/>
      <c r="D650" s="503"/>
      <c r="E650" s="503"/>
      <c r="F650" s="503"/>
      <c r="G650" s="503"/>
      <c r="H650" s="503"/>
      <c r="I650" s="503"/>
    </row>
    <row r="651">
      <c r="A651" s="502"/>
      <c r="B651" s="503"/>
      <c r="C651" s="503"/>
      <c r="D651" s="503"/>
      <c r="E651" s="503"/>
      <c r="F651" s="503"/>
      <c r="G651" s="503"/>
      <c r="H651" s="503"/>
      <c r="I651" s="503"/>
    </row>
    <row r="652">
      <c r="A652" s="502"/>
      <c r="B652" s="503"/>
      <c r="C652" s="503"/>
      <c r="D652" s="503"/>
      <c r="E652" s="503"/>
      <c r="F652" s="503"/>
      <c r="G652" s="503"/>
      <c r="H652" s="503"/>
      <c r="I652" s="503"/>
    </row>
    <row r="653">
      <c r="A653" s="502"/>
      <c r="B653" s="503"/>
      <c r="C653" s="503"/>
      <c r="D653" s="503"/>
      <c r="E653" s="503"/>
      <c r="F653" s="503"/>
      <c r="G653" s="503"/>
      <c r="H653" s="503"/>
      <c r="I653" s="503"/>
    </row>
    <row r="654">
      <c r="A654" s="502"/>
      <c r="B654" s="503"/>
      <c r="C654" s="503"/>
      <c r="D654" s="503"/>
      <c r="E654" s="503"/>
      <c r="F654" s="503"/>
      <c r="G654" s="503"/>
      <c r="H654" s="503"/>
      <c r="I654" s="503"/>
    </row>
    <row r="655">
      <c r="A655" s="502"/>
      <c r="B655" s="503"/>
      <c r="C655" s="503"/>
      <c r="D655" s="503"/>
      <c r="E655" s="503"/>
      <c r="F655" s="503"/>
      <c r="G655" s="503"/>
      <c r="H655" s="503"/>
      <c r="I655" s="503"/>
    </row>
    <row r="656">
      <c r="A656" s="502"/>
      <c r="B656" s="503"/>
      <c r="C656" s="503"/>
      <c r="D656" s="503"/>
      <c r="E656" s="503"/>
      <c r="F656" s="503"/>
      <c r="G656" s="503"/>
      <c r="H656" s="503"/>
      <c r="I656" s="503"/>
    </row>
    <row r="657">
      <c r="A657" s="502"/>
      <c r="B657" s="503"/>
      <c r="C657" s="503"/>
      <c r="D657" s="503"/>
      <c r="E657" s="503"/>
      <c r="F657" s="503"/>
      <c r="G657" s="503"/>
      <c r="H657" s="503"/>
      <c r="I657" s="503"/>
    </row>
    <row r="658">
      <c r="A658" s="502"/>
      <c r="B658" s="503"/>
      <c r="C658" s="503"/>
      <c r="D658" s="503"/>
      <c r="E658" s="503"/>
      <c r="F658" s="503"/>
      <c r="G658" s="503"/>
      <c r="H658" s="503"/>
      <c r="I658" s="503"/>
    </row>
    <row r="659">
      <c r="A659" s="502"/>
      <c r="B659" s="503"/>
      <c r="C659" s="503"/>
      <c r="D659" s="503"/>
      <c r="E659" s="503"/>
      <c r="F659" s="503"/>
      <c r="G659" s="503"/>
      <c r="H659" s="503"/>
      <c r="I659" s="503"/>
    </row>
    <row r="660">
      <c r="A660" s="502"/>
      <c r="B660" s="503"/>
      <c r="C660" s="503"/>
      <c r="D660" s="503"/>
      <c r="E660" s="503"/>
      <c r="F660" s="503"/>
      <c r="G660" s="503"/>
      <c r="H660" s="503"/>
      <c r="I660" s="503"/>
    </row>
    <row r="661">
      <c r="A661" s="502"/>
      <c r="B661" s="503"/>
      <c r="C661" s="503"/>
      <c r="D661" s="503"/>
      <c r="E661" s="503"/>
      <c r="F661" s="503"/>
      <c r="G661" s="503"/>
      <c r="H661" s="503"/>
      <c r="I661" s="503"/>
    </row>
    <row r="662">
      <c r="A662" s="502"/>
      <c r="B662" s="503"/>
      <c r="C662" s="503"/>
      <c r="D662" s="503"/>
      <c r="E662" s="503"/>
      <c r="F662" s="503"/>
      <c r="G662" s="503"/>
      <c r="H662" s="503"/>
      <c r="I662" s="503"/>
    </row>
    <row r="663">
      <c r="A663" s="502"/>
      <c r="B663" s="503"/>
      <c r="C663" s="503"/>
      <c r="D663" s="503"/>
      <c r="E663" s="503"/>
      <c r="F663" s="503"/>
      <c r="G663" s="503"/>
      <c r="H663" s="503"/>
      <c r="I663" s="503"/>
    </row>
    <row r="664">
      <c r="A664" s="502"/>
      <c r="B664" s="503"/>
      <c r="C664" s="503"/>
      <c r="D664" s="503"/>
      <c r="E664" s="503"/>
      <c r="F664" s="503"/>
      <c r="G664" s="503"/>
      <c r="H664" s="503"/>
      <c r="I664" s="503"/>
    </row>
    <row r="665">
      <c r="A665" s="502"/>
      <c r="B665" s="503"/>
      <c r="C665" s="503"/>
      <c r="D665" s="503"/>
      <c r="E665" s="503"/>
      <c r="F665" s="503"/>
      <c r="G665" s="503"/>
      <c r="H665" s="503"/>
      <c r="I665" s="503"/>
    </row>
    <row r="666">
      <c r="A666" s="502"/>
      <c r="B666" s="503"/>
      <c r="C666" s="503"/>
      <c r="D666" s="503"/>
      <c r="E666" s="503"/>
      <c r="F666" s="503"/>
      <c r="G666" s="503"/>
      <c r="H666" s="503"/>
      <c r="I666" s="503"/>
    </row>
    <row r="667">
      <c r="A667" s="502"/>
      <c r="B667" s="503"/>
      <c r="C667" s="503"/>
      <c r="D667" s="503"/>
      <c r="E667" s="503"/>
      <c r="F667" s="503"/>
      <c r="G667" s="503"/>
      <c r="H667" s="503"/>
      <c r="I667" s="503"/>
    </row>
    <row r="668">
      <c r="A668" s="502"/>
      <c r="B668" s="503"/>
      <c r="C668" s="503"/>
      <c r="D668" s="503"/>
      <c r="E668" s="503"/>
      <c r="F668" s="503"/>
      <c r="G668" s="503"/>
      <c r="H668" s="503"/>
      <c r="I668" s="503"/>
    </row>
    <row r="669">
      <c r="A669" s="502"/>
      <c r="B669" s="503"/>
      <c r="C669" s="503"/>
      <c r="D669" s="503"/>
      <c r="E669" s="503"/>
      <c r="F669" s="503"/>
      <c r="G669" s="503"/>
      <c r="H669" s="503"/>
      <c r="I669" s="503"/>
    </row>
    <row r="670">
      <c r="A670" s="502"/>
      <c r="B670" s="503"/>
      <c r="C670" s="503"/>
      <c r="D670" s="503"/>
      <c r="E670" s="503"/>
      <c r="F670" s="503"/>
      <c r="G670" s="503"/>
      <c r="H670" s="503"/>
      <c r="I670" s="503"/>
    </row>
    <row r="671">
      <c r="A671" s="502"/>
      <c r="B671" s="503"/>
      <c r="C671" s="503"/>
      <c r="D671" s="503"/>
      <c r="E671" s="503"/>
      <c r="F671" s="503"/>
      <c r="G671" s="503"/>
      <c r="H671" s="503"/>
      <c r="I671" s="503"/>
    </row>
    <row r="672">
      <c r="A672" s="502"/>
      <c r="B672" s="503"/>
      <c r="C672" s="503"/>
      <c r="D672" s="503"/>
      <c r="E672" s="503"/>
      <c r="F672" s="503"/>
      <c r="G672" s="503"/>
      <c r="H672" s="503"/>
      <c r="I672" s="503"/>
    </row>
    <row r="673">
      <c r="A673" s="502"/>
      <c r="B673" s="503"/>
      <c r="C673" s="503"/>
      <c r="D673" s="503"/>
      <c r="E673" s="503"/>
      <c r="F673" s="503"/>
      <c r="G673" s="503"/>
      <c r="H673" s="503"/>
      <c r="I673" s="503"/>
    </row>
    <row r="674">
      <c r="A674" s="502"/>
      <c r="B674" s="503"/>
      <c r="C674" s="503"/>
      <c r="D674" s="503"/>
      <c r="E674" s="503"/>
      <c r="F674" s="503"/>
      <c r="G674" s="503"/>
      <c r="H674" s="503"/>
      <c r="I674" s="503"/>
    </row>
    <row r="675">
      <c r="A675" s="502"/>
      <c r="B675" s="503"/>
      <c r="C675" s="503"/>
      <c r="D675" s="503"/>
      <c r="E675" s="503"/>
      <c r="F675" s="503"/>
      <c r="G675" s="503"/>
      <c r="H675" s="503"/>
      <c r="I675" s="503"/>
    </row>
    <row r="676">
      <c r="A676" s="502"/>
      <c r="B676" s="503"/>
      <c r="C676" s="503"/>
      <c r="D676" s="503"/>
      <c r="E676" s="503"/>
      <c r="F676" s="503"/>
      <c r="G676" s="503"/>
      <c r="H676" s="503"/>
      <c r="I676" s="503"/>
    </row>
    <row r="677">
      <c r="A677" s="502"/>
      <c r="B677" s="503"/>
      <c r="C677" s="503"/>
      <c r="D677" s="503"/>
      <c r="E677" s="503"/>
      <c r="F677" s="503"/>
      <c r="G677" s="503"/>
      <c r="H677" s="503"/>
      <c r="I677" s="503"/>
    </row>
    <row r="678">
      <c r="A678" s="502"/>
      <c r="B678" s="503"/>
      <c r="C678" s="503"/>
      <c r="D678" s="503"/>
      <c r="E678" s="503"/>
      <c r="F678" s="503"/>
      <c r="G678" s="503"/>
      <c r="H678" s="503"/>
      <c r="I678" s="503"/>
    </row>
    <row r="679">
      <c r="A679" s="502"/>
      <c r="B679" s="503"/>
      <c r="C679" s="503"/>
      <c r="D679" s="503"/>
      <c r="E679" s="503"/>
      <c r="F679" s="503"/>
      <c r="G679" s="503"/>
      <c r="H679" s="503"/>
      <c r="I679" s="503"/>
    </row>
    <row r="680">
      <c r="A680" s="502"/>
      <c r="B680" s="503"/>
      <c r="C680" s="503"/>
      <c r="D680" s="503"/>
      <c r="E680" s="503"/>
      <c r="F680" s="503"/>
      <c r="G680" s="503"/>
      <c r="H680" s="503"/>
      <c r="I680" s="503"/>
    </row>
    <row r="681">
      <c r="A681" s="502"/>
      <c r="B681" s="503"/>
      <c r="C681" s="503"/>
      <c r="D681" s="503"/>
      <c r="E681" s="503"/>
      <c r="F681" s="503"/>
      <c r="G681" s="503"/>
      <c r="H681" s="503"/>
      <c r="I681" s="503"/>
    </row>
    <row r="682">
      <c r="A682" s="502"/>
      <c r="B682" s="503"/>
      <c r="C682" s="503"/>
      <c r="D682" s="503"/>
      <c r="E682" s="503"/>
      <c r="F682" s="503"/>
      <c r="G682" s="503"/>
      <c r="H682" s="503"/>
      <c r="I682" s="503"/>
    </row>
    <row r="683">
      <c r="A683" s="502"/>
      <c r="B683" s="503"/>
      <c r="C683" s="503"/>
      <c r="D683" s="503"/>
      <c r="E683" s="503"/>
      <c r="F683" s="503"/>
      <c r="G683" s="503"/>
      <c r="H683" s="503"/>
      <c r="I683" s="503"/>
    </row>
    <row r="684">
      <c r="A684" s="502"/>
      <c r="B684" s="503"/>
      <c r="C684" s="503"/>
      <c r="D684" s="503"/>
      <c r="E684" s="503"/>
      <c r="F684" s="503"/>
      <c r="G684" s="503"/>
      <c r="H684" s="503"/>
      <c r="I684" s="503"/>
    </row>
    <row r="685">
      <c r="A685" s="502"/>
      <c r="B685" s="503"/>
      <c r="C685" s="503"/>
      <c r="D685" s="503"/>
      <c r="E685" s="503"/>
      <c r="F685" s="503"/>
      <c r="G685" s="503"/>
      <c r="H685" s="503"/>
      <c r="I685" s="503"/>
    </row>
    <row r="686">
      <c r="A686" s="502"/>
      <c r="B686" s="503"/>
      <c r="C686" s="503"/>
      <c r="D686" s="503"/>
      <c r="E686" s="503"/>
      <c r="F686" s="503"/>
      <c r="G686" s="503"/>
      <c r="H686" s="503"/>
      <c r="I686" s="503"/>
    </row>
    <row r="687">
      <c r="A687" s="502"/>
      <c r="B687" s="503"/>
      <c r="C687" s="503"/>
      <c r="D687" s="503"/>
      <c r="E687" s="503"/>
      <c r="F687" s="503"/>
      <c r="G687" s="503"/>
      <c r="H687" s="503"/>
      <c r="I687" s="503"/>
    </row>
    <row r="688">
      <c r="A688" s="502"/>
      <c r="B688" s="503"/>
      <c r="C688" s="503"/>
      <c r="D688" s="503"/>
      <c r="E688" s="503"/>
      <c r="F688" s="503"/>
      <c r="G688" s="503"/>
      <c r="H688" s="503"/>
      <c r="I688" s="503"/>
    </row>
    <row r="689">
      <c r="A689" s="502"/>
      <c r="B689" s="503"/>
      <c r="C689" s="503"/>
      <c r="D689" s="503"/>
      <c r="E689" s="503"/>
      <c r="F689" s="503"/>
      <c r="G689" s="503"/>
      <c r="H689" s="503"/>
      <c r="I689" s="503"/>
    </row>
    <row r="690">
      <c r="A690" s="502"/>
      <c r="B690" s="503"/>
      <c r="C690" s="503"/>
      <c r="D690" s="503"/>
      <c r="E690" s="503"/>
      <c r="F690" s="503"/>
      <c r="G690" s="503"/>
      <c r="H690" s="503"/>
      <c r="I690" s="503"/>
    </row>
    <row r="691">
      <c r="A691" s="502"/>
      <c r="B691" s="503"/>
      <c r="C691" s="503"/>
      <c r="D691" s="503"/>
      <c r="E691" s="503"/>
      <c r="F691" s="503"/>
      <c r="G691" s="503"/>
      <c r="H691" s="503"/>
      <c r="I691" s="503"/>
    </row>
    <row r="692">
      <c r="A692" s="502"/>
      <c r="B692" s="503"/>
      <c r="C692" s="503"/>
      <c r="D692" s="503"/>
      <c r="E692" s="503"/>
      <c r="F692" s="503"/>
      <c r="G692" s="503"/>
      <c r="H692" s="503"/>
      <c r="I692" s="503"/>
    </row>
    <row r="693">
      <c r="A693" s="502"/>
      <c r="B693" s="503"/>
      <c r="C693" s="503"/>
      <c r="D693" s="503"/>
      <c r="E693" s="503"/>
      <c r="F693" s="503"/>
      <c r="G693" s="503"/>
      <c r="H693" s="503"/>
      <c r="I693" s="503"/>
    </row>
    <row r="694">
      <c r="A694" s="502"/>
      <c r="B694" s="503"/>
      <c r="C694" s="503"/>
      <c r="D694" s="503"/>
      <c r="E694" s="503"/>
      <c r="F694" s="503"/>
      <c r="G694" s="503"/>
      <c r="H694" s="503"/>
      <c r="I694" s="503"/>
    </row>
    <row r="695">
      <c r="A695" s="502"/>
      <c r="B695" s="503"/>
      <c r="C695" s="503"/>
      <c r="D695" s="503"/>
      <c r="E695" s="503"/>
      <c r="F695" s="503"/>
      <c r="G695" s="503"/>
      <c r="H695" s="503"/>
      <c r="I695" s="503"/>
    </row>
    <row r="696">
      <c r="A696" s="502"/>
      <c r="B696" s="503"/>
      <c r="C696" s="503"/>
      <c r="D696" s="503"/>
      <c r="E696" s="503"/>
      <c r="F696" s="503"/>
      <c r="G696" s="503"/>
      <c r="H696" s="503"/>
      <c r="I696" s="503"/>
    </row>
    <row r="697">
      <c r="A697" s="502"/>
      <c r="B697" s="503"/>
      <c r="C697" s="503"/>
      <c r="D697" s="503"/>
      <c r="E697" s="503"/>
      <c r="F697" s="503"/>
      <c r="G697" s="503"/>
      <c r="H697" s="503"/>
      <c r="I697" s="503"/>
    </row>
    <row r="698">
      <c r="A698" s="502"/>
      <c r="B698" s="503"/>
      <c r="C698" s="503"/>
      <c r="D698" s="503"/>
      <c r="E698" s="503"/>
      <c r="F698" s="503"/>
      <c r="G698" s="503"/>
      <c r="H698" s="503"/>
      <c r="I698" s="503"/>
    </row>
    <row r="699">
      <c r="A699" s="502"/>
      <c r="B699" s="503"/>
      <c r="C699" s="503"/>
      <c r="D699" s="503"/>
      <c r="E699" s="503"/>
      <c r="F699" s="503"/>
      <c r="G699" s="503"/>
      <c r="H699" s="503"/>
      <c r="I699" s="503"/>
    </row>
    <row r="700">
      <c r="A700" s="502"/>
      <c r="B700" s="503"/>
      <c r="C700" s="503"/>
      <c r="D700" s="503"/>
      <c r="E700" s="503"/>
      <c r="F700" s="503"/>
      <c r="G700" s="503"/>
      <c r="H700" s="503"/>
      <c r="I700" s="503"/>
    </row>
    <row r="701">
      <c r="A701" s="502"/>
      <c r="B701" s="503"/>
      <c r="C701" s="503"/>
      <c r="D701" s="503"/>
      <c r="E701" s="503"/>
      <c r="F701" s="503"/>
      <c r="G701" s="503"/>
      <c r="H701" s="503"/>
      <c r="I701" s="503"/>
    </row>
    <row r="702">
      <c r="A702" s="502"/>
      <c r="B702" s="503"/>
      <c r="C702" s="503"/>
      <c r="D702" s="503"/>
      <c r="E702" s="503"/>
      <c r="F702" s="503"/>
      <c r="G702" s="503"/>
      <c r="H702" s="503"/>
      <c r="I702" s="503"/>
    </row>
    <row r="703">
      <c r="A703" s="502"/>
      <c r="B703" s="503"/>
      <c r="C703" s="503"/>
      <c r="D703" s="503"/>
      <c r="E703" s="503"/>
      <c r="F703" s="503"/>
      <c r="G703" s="503"/>
      <c r="H703" s="503"/>
      <c r="I703" s="503"/>
    </row>
    <row r="704">
      <c r="A704" s="502"/>
      <c r="B704" s="503"/>
      <c r="C704" s="503"/>
      <c r="D704" s="503"/>
      <c r="E704" s="503"/>
      <c r="F704" s="503"/>
      <c r="G704" s="503"/>
      <c r="H704" s="503"/>
      <c r="I704" s="503"/>
    </row>
    <row r="705">
      <c r="A705" s="502"/>
      <c r="B705" s="503"/>
      <c r="C705" s="503"/>
      <c r="D705" s="503"/>
      <c r="E705" s="503"/>
      <c r="F705" s="503"/>
      <c r="G705" s="503"/>
      <c r="H705" s="503"/>
      <c r="I705" s="503"/>
    </row>
    <row r="706">
      <c r="A706" s="502"/>
      <c r="B706" s="503"/>
      <c r="C706" s="503"/>
      <c r="D706" s="503"/>
      <c r="E706" s="503"/>
      <c r="F706" s="503"/>
      <c r="G706" s="503"/>
      <c r="H706" s="503"/>
      <c r="I706" s="503"/>
    </row>
    <row r="707">
      <c r="A707" s="502"/>
      <c r="B707" s="503"/>
      <c r="C707" s="503"/>
      <c r="D707" s="503"/>
      <c r="E707" s="503"/>
      <c r="F707" s="503"/>
      <c r="G707" s="503"/>
      <c r="H707" s="503"/>
      <c r="I707" s="503"/>
    </row>
    <row r="708">
      <c r="A708" s="502"/>
      <c r="B708" s="503"/>
      <c r="C708" s="503"/>
      <c r="D708" s="503"/>
      <c r="E708" s="503"/>
      <c r="F708" s="503"/>
      <c r="G708" s="503"/>
      <c r="H708" s="503"/>
      <c r="I708" s="503"/>
    </row>
    <row r="709">
      <c r="A709" s="502"/>
      <c r="B709" s="503"/>
      <c r="C709" s="503"/>
      <c r="D709" s="503"/>
      <c r="E709" s="503"/>
      <c r="F709" s="503"/>
      <c r="G709" s="503"/>
      <c r="H709" s="503"/>
      <c r="I709" s="503"/>
    </row>
    <row r="710">
      <c r="A710" s="502"/>
      <c r="B710" s="503"/>
      <c r="C710" s="503"/>
      <c r="D710" s="503"/>
      <c r="E710" s="503"/>
      <c r="F710" s="503"/>
      <c r="G710" s="503"/>
      <c r="H710" s="503"/>
      <c r="I710" s="503"/>
    </row>
    <row r="711">
      <c r="A711" s="502"/>
      <c r="B711" s="503"/>
      <c r="C711" s="503"/>
      <c r="D711" s="503"/>
      <c r="E711" s="503"/>
      <c r="F711" s="503"/>
      <c r="G711" s="503"/>
      <c r="H711" s="503"/>
      <c r="I711" s="503"/>
    </row>
    <row r="712">
      <c r="A712" s="502"/>
      <c r="B712" s="503"/>
      <c r="C712" s="503"/>
      <c r="D712" s="503"/>
      <c r="E712" s="503"/>
      <c r="F712" s="503"/>
      <c r="G712" s="503"/>
      <c r="H712" s="503"/>
      <c r="I712" s="503"/>
    </row>
    <row r="713">
      <c r="A713" s="502"/>
      <c r="B713" s="503"/>
      <c r="C713" s="503"/>
      <c r="D713" s="503"/>
      <c r="E713" s="503"/>
      <c r="F713" s="503"/>
      <c r="G713" s="503"/>
      <c r="H713" s="503"/>
      <c r="I713" s="503"/>
    </row>
    <row r="714">
      <c r="A714" s="502"/>
      <c r="B714" s="503"/>
      <c r="C714" s="503"/>
      <c r="D714" s="503"/>
      <c r="E714" s="503"/>
      <c r="F714" s="503"/>
      <c r="G714" s="503"/>
      <c r="H714" s="503"/>
      <c r="I714" s="503"/>
    </row>
    <row r="715">
      <c r="A715" s="502"/>
      <c r="B715" s="503"/>
      <c r="C715" s="503"/>
      <c r="D715" s="503"/>
      <c r="E715" s="503"/>
      <c r="F715" s="503"/>
      <c r="G715" s="503"/>
      <c r="H715" s="503"/>
      <c r="I715" s="503"/>
    </row>
    <row r="716">
      <c r="A716" s="502"/>
      <c r="B716" s="503"/>
      <c r="C716" s="503"/>
      <c r="D716" s="503"/>
      <c r="E716" s="503"/>
      <c r="F716" s="503"/>
      <c r="G716" s="503"/>
      <c r="H716" s="503"/>
      <c r="I716" s="503"/>
    </row>
    <row r="717">
      <c r="A717" s="502"/>
      <c r="B717" s="503"/>
      <c r="C717" s="503"/>
      <c r="D717" s="503"/>
      <c r="E717" s="503"/>
      <c r="F717" s="503"/>
      <c r="G717" s="503"/>
      <c r="H717" s="503"/>
      <c r="I717" s="503"/>
    </row>
    <row r="718">
      <c r="A718" s="502"/>
      <c r="B718" s="503"/>
      <c r="C718" s="503"/>
      <c r="D718" s="503"/>
      <c r="E718" s="503"/>
      <c r="F718" s="503"/>
      <c r="G718" s="503"/>
      <c r="H718" s="503"/>
      <c r="I718" s="503"/>
    </row>
    <row r="719">
      <c r="A719" s="502"/>
      <c r="B719" s="503"/>
      <c r="C719" s="503"/>
      <c r="D719" s="503"/>
      <c r="E719" s="503"/>
      <c r="F719" s="503"/>
      <c r="G719" s="503"/>
      <c r="H719" s="503"/>
      <c r="I719" s="503"/>
    </row>
    <row r="720">
      <c r="A720" s="502"/>
      <c r="B720" s="503"/>
      <c r="C720" s="503"/>
      <c r="D720" s="503"/>
      <c r="E720" s="503"/>
      <c r="F720" s="503"/>
      <c r="G720" s="503"/>
      <c r="H720" s="503"/>
      <c r="I720" s="503"/>
    </row>
    <row r="721">
      <c r="A721" s="502"/>
      <c r="B721" s="503"/>
      <c r="C721" s="503"/>
      <c r="D721" s="503"/>
      <c r="E721" s="503"/>
      <c r="F721" s="503"/>
      <c r="G721" s="503"/>
      <c r="H721" s="503"/>
      <c r="I721" s="503"/>
    </row>
    <row r="722">
      <c r="A722" s="502"/>
      <c r="B722" s="503"/>
      <c r="C722" s="503"/>
      <c r="D722" s="503"/>
      <c r="E722" s="503"/>
      <c r="F722" s="503"/>
      <c r="G722" s="503"/>
      <c r="H722" s="503"/>
      <c r="I722" s="503"/>
    </row>
    <row r="723">
      <c r="A723" s="502"/>
      <c r="B723" s="503"/>
      <c r="C723" s="503"/>
      <c r="D723" s="503"/>
      <c r="E723" s="503"/>
      <c r="F723" s="503"/>
      <c r="G723" s="503"/>
      <c r="H723" s="503"/>
      <c r="I723" s="503"/>
    </row>
    <row r="724">
      <c r="A724" s="502"/>
      <c r="B724" s="503"/>
      <c r="C724" s="503"/>
      <c r="D724" s="503"/>
      <c r="E724" s="503"/>
      <c r="F724" s="503"/>
      <c r="G724" s="503"/>
      <c r="H724" s="503"/>
      <c r="I724" s="503"/>
    </row>
    <row r="725">
      <c r="A725" s="502"/>
      <c r="B725" s="503"/>
      <c r="C725" s="503"/>
      <c r="D725" s="503"/>
      <c r="E725" s="503"/>
      <c r="F725" s="503"/>
      <c r="G725" s="503"/>
      <c r="H725" s="503"/>
      <c r="I725" s="503"/>
    </row>
    <row r="726">
      <c r="A726" s="502"/>
      <c r="B726" s="503"/>
      <c r="C726" s="503"/>
      <c r="D726" s="503"/>
      <c r="E726" s="503"/>
      <c r="F726" s="503"/>
      <c r="G726" s="503"/>
      <c r="H726" s="503"/>
      <c r="I726" s="503"/>
    </row>
    <row r="727">
      <c r="A727" s="502"/>
      <c r="B727" s="503"/>
      <c r="C727" s="503"/>
      <c r="D727" s="503"/>
      <c r="E727" s="503"/>
      <c r="F727" s="503"/>
      <c r="G727" s="503"/>
      <c r="H727" s="503"/>
      <c r="I727" s="503"/>
    </row>
    <row r="728">
      <c r="A728" s="502"/>
      <c r="B728" s="503"/>
      <c r="C728" s="503"/>
      <c r="D728" s="503"/>
      <c r="E728" s="503"/>
      <c r="F728" s="503"/>
      <c r="G728" s="503"/>
      <c r="H728" s="503"/>
      <c r="I728" s="503"/>
    </row>
    <row r="729">
      <c r="A729" s="502"/>
      <c r="B729" s="503"/>
      <c r="C729" s="503"/>
      <c r="D729" s="503"/>
      <c r="E729" s="503"/>
      <c r="F729" s="503"/>
      <c r="G729" s="503"/>
      <c r="H729" s="503"/>
      <c r="I729" s="503"/>
    </row>
    <row r="730">
      <c r="A730" s="502"/>
      <c r="B730" s="503"/>
      <c r="C730" s="503"/>
      <c r="D730" s="503"/>
      <c r="E730" s="503"/>
      <c r="F730" s="503"/>
      <c r="G730" s="503"/>
      <c r="H730" s="503"/>
      <c r="I730" s="503"/>
    </row>
    <row r="731">
      <c r="A731" s="502"/>
      <c r="B731" s="503"/>
      <c r="C731" s="503"/>
      <c r="D731" s="503"/>
      <c r="E731" s="503"/>
      <c r="F731" s="503"/>
      <c r="G731" s="503"/>
      <c r="H731" s="503"/>
      <c r="I731" s="503"/>
    </row>
    <row r="732">
      <c r="A732" s="502"/>
      <c r="B732" s="503"/>
      <c r="C732" s="503"/>
      <c r="D732" s="503"/>
      <c r="E732" s="503"/>
      <c r="F732" s="503"/>
      <c r="G732" s="503"/>
      <c r="H732" s="503"/>
      <c r="I732" s="503"/>
    </row>
    <row r="733">
      <c r="A733" s="502"/>
      <c r="B733" s="503"/>
      <c r="C733" s="503"/>
      <c r="D733" s="503"/>
      <c r="E733" s="503"/>
      <c r="F733" s="503"/>
      <c r="G733" s="503"/>
      <c r="H733" s="503"/>
      <c r="I733" s="503"/>
    </row>
    <row r="734">
      <c r="A734" s="502"/>
      <c r="B734" s="503"/>
      <c r="C734" s="503"/>
      <c r="D734" s="503"/>
      <c r="E734" s="503"/>
      <c r="F734" s="503"/>
      <c r="G734" s="503"/>
      <c r="H734" s="503"/>
      <c r="I734" s="503"/>
    </row>
    <row r="735">
      <c r="A735" s="502"/>
      <c r="B735" s="503"/>
      <c r="C735" s="503"/>
      <c r="D735" s="503"/>
      <c r="E735" s="503"/>
      <c r="F735" s="503"/>
      <c r="G735" s="503"/>
      <c r="H735" s="503"/>
      <c r="I735" s="503"/>
    </row>
    <row r="736">
      <c r="A736" s="502"/>
      <c r="B736" s="503"/>
      <c r="C736" s="503"/>
      <c r="D736" s="503"/>
      <c r="E736" s="503"/>
      <c r="F736" s="503"/>
      <c r="G736" s="503"/>
      <c r="H736" s="503"/>
      <c r="I736" s="503"/>
    </row>
    <row r="737">
      <c r="A737" s="502"/>
      <c r="B737" s="503"/>
      <c r="C737" s="503"/>
      <c r="D737" s="503"/>
      <c r="E737" s="503"/>
      <c r="F737" s="503"/>
      <c r="G737" s="503"/>
      <c r="H737" s="503"/>
      <c r="I737" s="503"/>
    </row>
    <row r="738">
      <c r="A738" s="502"/>
      <c r="B738" s="503"/>
      <c r="C738" s="503"/>
      <c r="D738" s="503"/>
      <c r="E738" s="503"/>
      <c r="F738" s="503"/>
      <c r="G738" s="503"/>
      <c r="H738" s="503"/>
      <c r="I738" s="503"/>
    </row>
    <row r="739">
      <c r="A739" s="502"/>
      <c r="B739" s="503"/>
      <c r="C739" s="503"/>
      <c r="D739" s="503"/>
      <c r="E739" s="503"/>
      <c r="F739" s="503"/>
      <c r="G739" s="503"/>
      <c r="H739" s="503"/>
      <c r="I739" s="503"/>
    </row>
    <row r="740">
      <c r="A740" s="502"/>
      <c r="B740" s="503"/>
      <c r="C740" s="503"/>
      <c r="D740" s="503"/>
      <c r="E740" s="503"/>
      <c r="F740" s="503"/>
      <c r="G740" s="503"/>
      <c r="H740" s="503"/>
      <c r="I740" s="503"/>
    </row>
    <row r="741">
      <c r="A741" s="502"/>
      <c r="B741" s="503"/>
      <c r="C741" s="503"/>
      <c r="D741" s="503"/>
      <c r="E741" s="503"/>
      <c r="F741" s="503"/>
      <c r="G741" s="503"/>
      <c r="H741" s="503"/>
      <c r="I741" s="503"/>
    </row>
    <row r="742">
      <c r="A742" s="502"/>
      <c r="B742" s="503"/>
      <c r="C742" s="503"/>
      <c r="D742" s="503"/>
      <c r="E742" s="503"/>
      <c r="F742" s="503"/>
      <c r="G742" s="503"/>
      <c r="H742" s="503"/>
      <c r="I742" s="503"/>
    </row>
    <row r="743">
      <c r="A743" s="502"/>
      <c r="B743" s="503"/>
      <c r="C743" s="503"/>
      <c r="D743" s="503"/>
      <c r="E743" s="503"/>
      <c r="F743" s="503"/>
      <c r="G743" s="503"/>
      <c r="H743" s="503"/>
      <c r="I743" s="503"/>
    </row>
    <row r="744">
      <c r="A744" s="502"/>
      <c r="B744" s="503"/>
      <c r="C744" s="503"/>
      <c r="D744" s="503"/>
      <c r="E744" s="503"/>
      <c r="F744" s="503"/>
      <c r="G744" s="503"/>
      <c r="H744" s="503"/>
      <c r="I744" s="503"/>
    </row>
    <row r="745">
      <c r="A745" s="502"/>
      <c r="B745" s="503"/>
      <c r="C745" s="503"/>
      <c r="D745" s="503"/>
      <c r="E745" s="503"/>
      <c r="F745" s="503"/>
      <c r="G745" s="503"/>
      <c r="H745" s="503"/>
      <c r="I745" s="503"/>
    </row>
    <row r="746">
      <c r="A746" s="502"/>
      <c r="B746" s="503"/>
      <c r="C746" s="503"/>
      <c r="D746" s="503"/>
      <c r="E746" s="503"/>
      <c r="F746" s="503"/>
      <c r="G746" s="503"/>
      <c r="H746" s="503"/>
      <c r="I746" s="503"/>
    </row>
    <row r="747">
      <c r="A747" s="502"/>
      <c r="B747" s="503"/>
      <c r="C747" s="503"/>
      <c r="D747" s="503"/>
      <c r="E747" s="503"/>
      <c r="F747" s="503"/>
      <c r="G747" s="503"/>
      <c r="H747" s="503"/>
      <c r="I747" s="503"/>
    </row>
    <row r="748">
      <c r="A748" s="502"/>
      <c r="B748" s="503"/>
      <c r="C748" s="503"/>
      <c r="D748" s="503"/>
      <c r="E748" s="503"/>
      <c r="F748" s="503"/>
      <c r="G748" s="503"/>
      <c r="H748" s="503"/>
      <c r="I748" s="503"/>
    </row>
    <row r="749">
      <c r="A749" s="502"/>
      <c r="B749" s="503"/>
      <c r="C749" s="503"/>
      <c r="D749" s="503"/>
      <c r="E749" s="503"/>
      <c r="F749" s="503"/>
      <c r="G749" s="503"/>
      <c r="H749" s="503"/>
      <c r="I749" s="503"/>
    </row>
    <row r="750">
      <c r="A750" s="502"/>
      <c r="B750" s="503"/>
      <c r="C750" s="503"/>
      <c r="D750" s="503"/>
      <c r="E750" s="503"/>
      <c r="F750" s="503"/>
      <c r="G750" s="503"/>
      <c r="H750" s="503"/>
      <c r="I750" s="503"/>
    </row>
    <row r="751">
      <c r="A751" s="502"/>
      <c r="B751" s="503"/>
      <c r="C751" s="503"/>
      <c r="D751" s="503"/>
      <c r="E751" s="503"/>
      <c r="F751" s="503"/>
      <c r="G751" s="503"/>
      <c r="H751" s="503"/>
      <c r="I751" s="503"/>
    </row>
    <row r="752">
      <c r="A752" s="502"/>
      <c r="B752" s="503"/>
      <c r="C752" s="503"/>
      <c r="D752" s="503"/>
      <c r="E752" s="503"/>
      <c r="F752" s="503"/>
      <c r="G752" s="503"/>
      <c r="H752" s="503"/>
      <c r="I752" s="503"/>
    </row>
    <row r="753">
      <c r="A753" s="502"/>
      <c r="B753" s="503"/>
      <c r="C753" s="503"/>
      <c r="D753" s="503"/>
      <c r="E753" s="503"/>
      <c r="F753" s="503"/>
      <c r="G753" s="503"/>
      <c r="H753" s="503"/>
      <c r="I753" s="503"/>
    </row>
    <row r="754">
      <c r="A754" s="502"/>
      <c r="B754" s="503"/>
      <c r="C754" s="503"/>
      <c r="D754" s="503"/>
      <c r="E754" s="503"/>
      <c r="F754" s="503"/>
      <c r="G754" s="503"/>
      <c r="H754" s="503"/>
      <c r="I754" s="503"/>
    </row>
    <row r="755">
      <c r="A755" s="502"/>
      <c r="B755" s="503"/>
      <c r="C755" s="503"/>
      <c r="D755" s="503"/>
      <c r="E755" s="503"/>
      <c r="F755" s="503"/>
      <c r="G755" s="503"/>
      <c r="H755" s="503"/>
      <c r="I755" s="503"/>
    </row>
    <row r="756">
      <c r="A756" s="502"/>
      <c r="B756" s="503"/>
      <c r="C756" s="503"/>
      <c r="D756" s="503"/>
      <c r="E756" s="503"/>
      <c r="F756" s="503"/>
      <c r="G756" s="503"/>
      <c r="H756" s="503"/>
      <c r="I756" s="503"/>
    </row>
    <row r="757">
      <c r="A757" s="502"/>
      <c r="B757" s="503"/>
      <c r="C757" s="503"/>
      <c r="D757" s="503"/>
      <c r="E757" s="503"/>
      <c r="F757" s="503"/>
      <c r="G757" s="503"/>
      <c r="H757" s="503"/>
      <c r="I757" s="503"/>
    </row>
    <row r="758">
      <c r="A758" s="502"/>
      <c r="B758" s="503"/>
      <c r="C758" s="503"/>
      <c r="D758" s="503"/>
      <c r="E758" s="503"/>
      <c r="F758" s="503"/>
      <c r="G758" s="503"/>
      <c r="H758" s="503"/>
      <c r="I758" s="503"/>
    </row>
    <row r="759">
      <c r="A759" s="502"/>
      <c r="B759" s="503"/>
      <c r="C759" s="503"/>
      <c r="D759" s="503"/>
      <c r="E759" s="503"/>
      <c r="F759" s="503"/>
      <c r="G759" s="503"/>
      <c r="H759" s="503"/>
      <c r="I759" s="503"/>
    </row>
    <row r="760">
      <c r="A760" s="502"/>
      <c r="B760" s="503"/>
      <c r="C760" s="503"/>
      <c r="D760" s="503"/>
      <c r="E760" s="503"/>
      <c r="F760" s="503"/>
      <c r="G760" s="503"/>
      <c r="H760" s="503"/>
      <c r="I760" s="503"/>
    </row>
    <row r="761">
      <c r="A761" s="502"/>
      <c r="B761" s="503"/>
      <c r="C761" s="503"/>
      <c r="D761" s="503"/>
      <c r="E761" s="503"/>
      <c r="F761" s="503"/>
      <c r="G761" s="503"/>
      <c r="H761" s="503"/>
      <c r="I761" s="503"/>
    </row>
    <row r="762">
      <c r="A762" s="502"/>
      <c r="B762" s="503"/>
      <c r="C762" s="503"/>
      <c r="D762" s="503"/>
      <c r="E762" s="503"/>
      <c r="F762" s="503"/>
      <c r="G762" s="503"/>
      <c r="H762" s="503"/>
      <c r="I762" s="503"/>
    </row>
    <row r="763">
      <c r="A763" s="502"/>
      <c r="B763" s="503"/>
      <c r="C763" s="503"/>
      <c r="D763" s="503"/>
      <c r="E763" s="503"/>
      <c r="F763" s="503"/>
      <c r="G763" s="503"/>
      <c r="H763" s="503"/>
      <c r="I763" s="503"/>
    </row>
    <row r="764">
      <c r="A764" s="502"/>
      <c r="B764" s="503"/>
      <c r="C764" s="503"/>
      <c r="D764" s="503"/>
      <c r="E764" s="503"/>
      <c r="F764" s="503"/>
      <c r="G764" s="503"/>
      <c r="H764" s="503"/>
      <c r="I764" s="503"/>
    </row>
    <row r="765">
      <c r="A765" s="502"/>
      <c r="B765" s="503"/>
      <c r="C765" s="503"/>
      <c r="D765" s="503"/>
      <c r="E765" s="503"/>
      <c r="F765" s="503"/>
      <c r="G765" s="503"/>
      <c r="H765" s="503"/>
      <c r="I765" s="503"/>
    </row>
    <row r="766">
      <c r="A766" s="502"/>
      <c r="B766" s="503"/>
      <c r="C766" s="503"/>
      <c r="D766" s="503"/>
      <c r="E766" s="503"/>
      <c r="F766" s="503"/>
      <c r="G766" s="503"/>
      <c r="H766" s="503"/>
      <c r="I766" s="503"/>
    </row>
    <row r="767">
      <c r="A767" s="502"/>
      <c r="B767" s="503"/>
      <c r="C767" s="503"/>
      <c r="D767" s="503"/>
      <c r="E767" s="503"/>
      <c r="F767" s="503"/>
      <c r="G767" s="503"/>
      <c r="H767" s="503"/>
      <c r="I767" s="503"/>
    </row>
    <row r="768">
      <c r="A768" s="502"/>
      <c r="B768" s="503"/>
      <c r="C768" s="503"/>
      <c r="D768" s="503"/>
      <c r="E768" s="503"/>
      <c r="F768" s="503"/>
      <c r="G768" s="503"/>
      <c r="H768" s="503"/>
      <c r="I768" s="503"/>
    </row>
    <row r="769">
      <c r="A769" s="502"/>
      <c r="B769" s="503"/>
      <c r="C769" s="503"/>
      <c r="D769" s="503"/>
      <c r="E769" s="503"/>
      <c r="F769" s="503"/>
      <c r="G769" s="503"/>
      <c r="H769" s="503"/>
      <c r="I769" s="503"/>
    </row>
    <row r="770">
      <c r="A770" s="502"/>
      <c r="B770" s="503"/>
      <c r="C770" s="503"/>
      <c r="D770" s="503"/>
      <c r="E770" s="503"/>
      <c r="F770" s="503"/>
      <c r="G770" s="503"/>
      <c r="H770" s="503"/>
      <c r="I770" s="503"/>
    </row>
    <row r="771">
      <c r="A771" s="502"/>
      <c r="B771" s="503"/>
      <c r="C771" s="503"/>
      <c r="D771" s="503"/>
      <c r="E771" s="503"/>
      <c r="F771" s="503"/>
      <c r="G771" s="503"/>
      <c r="H771" s="503"/>
      <c r="I771" s="503"/>
    </row>
    <row r="772">
      <c r="A772" s="502"/>
      <c r="B772" s="503"/>
      <c r="C772" s="503"/>
      <c r="D772" s="503"/>
      <c r="E772" s="503"/>
      <c r="F772" s="503"/>
      <c r="G772" s="503"/>
      <c r="H772" s="503"/>
      <c r="I772" s="503"/>
    </row>
    <row r="773">
      <c r="A773" s="502"/>
      <c r="B773" s="503"/>
      <c r="C773" s="503"/>
      <c r="D773" s="503"/>
      <c r="E773" s="503"/>
      <c r="F773" s="503"/>
      <c r="G773" s="503"/>
      <c r="H773" s="503"/>
      <c r="I773" s="503"/>
    </row>
    <row r="774">
      <c r="A774" s="502"/>
      <c r="B774" s="503"/>
      <c r="C774" s="503"/>
      <c r="D774" s="503"/>
      <c r="E774" s="503"/>
      <c r="F774" s="503"/>
      <c r="G774" s="503"/>
      <c r="H774" s="503"/>
      <c r="I774" s="503"/>
    </row>
    <row r="775">
      <c r="A775" s="502"/>
      <c r="B775" s="503"/>
      <c r="C775" s="503"/>
      <c r="D775" s="503"/>
      <c r="E775" s="503"/>
      <c r="F775" s="503"/>
      <c r="G775" s="503"/>
      <c r="H775" s="503"/>
      <c r="I775" s="503"/>
    </row>
    <row r="776">
      <c r="A776" s="502"/>
      <c r="B776" s="503"/>
      <c r="C776" s="503"/>
      <c r="D776" s="503"/>
      <c r="E776" s="503"/>
      <c r="F776" s="503"/>
      <c r="G776" s="503"/>
      <c r="H776" s="503"/>
      <c r="I776" s="503"/>
    </row>
    <row r="777">
      <c r="A777" s="502"/>
      <c r="B777" s="503"/>
      <c r="C777" s="503"/>
      <c r="D777" s="503"/>
      <c r="E777" s="503"/>
      <c r="F777" s="503"/>
      <c r="G777" s="503"/>
      <c r="H777" s="503"/>
      <c r="I777" s="503"/>
    </row>
    <row r="778">
      <c r="A778" s="502"/>
      <c r="B778" s="503"/>
      <c r="C778" s="503"/>
      <c r="D778" s="503"/>
      <c r="E778" s="503"/>
      <c r="F778" s="503"/>
      <c r="G778" s="503"/>
      <c r="H778" s="503"/>
      <c r="I778" s="503"/>
    </row>
    <row r="779">
      <c r="A779" s="502"/>
      <c r="B779" s="503"/>
      <c r="C779" s="503"/>
      <c r="D779" s="503"/>
      <c r="E779" s="503"/>
      <c r="F779" s="503"/>
      <c r="G779" s="503"/>
      <c r="H779" s="503"/>
      <c r="I779" s="503"/>
    </row>
    <row r="780">
      <c r="A780" s="502"/>
      <c r="B780" s="503"/>
      <c r="C780" s="503"/>
      <c r="D780" s="503"/>
      <c r="E780" s="503"/>
      <c r="F780" s="503"/>
      <c r="G780" s="503"/>
      <c r="H780" s="503"/>
      <c r="I780" s="503"/>
    </row>
    <row r="781">
      <c r="A781" s="502"/>
      <c r="B781" s="503"/>
      <c r="C781" s="503"/>
      <c r="D781" s="503"/>
      <c r="E781" s="503"/>
      <c r="F781" s="503"/>
      <c r="G781" s="503"/>
      <c r="H781" s="503"/>
      <c r="I781" s="503"/>
    </row>
    <row r="782">
      <c r="A782" s="502"/>
      <c r="B782" s="503"/>
      <c r="C782" s="503"/>
      <c r="D782" s="503"/>
      <c r="E782" s="503"/>
      <c r="F782" s="503"/>
      <c r="G782" s="503"/>
      <c r="H782" s="503"/>
      <c r="I782" s="503"/>
    </row>
    <row r="783">
      <c r="A783" s="502"/>
      <c r="B783" s="503"/>
      <c r="C783" s="503"/>
      <c r="D783" s="503"/>
      <c r="E783" s="503"/>
      <c r="F783" s="503"/>
      <c r="G783" s="503"/>
      <c r="H783" s="503"/>
      <c r="I783" s="503"/>
    </row>
    <row r="784">
      <c r="A784" s="502"/>
      <c r="B784" s="503"/>
      <c r="C784" s="503"/>
      <c r="D784" s="503"/>
      <c r="E784" s="503"/>
      <c r="F784" s="503"/>
      <c r="G784" s="503"/>
      <c r="H784" s="503"/>
      <c r="I784" s="503"/>
    </row>
    <row r="785">
      <c r="A785" s="502"/>
      <c r="B785" s="503"/>
      <c r="C785" s="503"/>
      <c r="D785" s="503"/>
      <c r="E785" s="503"/>
      <c r="F785" s="503"/>
      <c r="G785" s="503"/>
      <c r="H785" s="503"/>
      <c r="I785" s="503"/>
    </row>
    <row r="786">
      <c r="A786" s="502"/>
      <c r="B786" s="503"/>
      <c r="C786" s="503"/>
      <c r="D786" s="503"/>
      <c r="E786" s="503"/>
      <c r="F786" s="503"/>
      <c r="G786" s="503"/>
      <c r="H786" s="503"/>
      <c r="I786" s="503"/>
    </row>
    <row r="787">
      <c r="A787" s="502"/>
      <c r="B787" s="503"/>
      <c r="C787" s="503"/>
      <c r="D787" s="503"/>
      <c r="E787" s="503"/>
      <c r="F787" s="503"/>
      <c r="G787" s="503"/>
      <c r="H787" s="503"/>
      <c r="I787" s="503"/>
    </row>
    <row r="788">
      <c r="A788" s="502"/>
      <c r="B788" s="503"/>
      <c r="C788" s="503"/>
      <c r="D788" s="503"/>
      <c r="E788" s="503"/>
      <c r="F788" s="503"/>
      <c r="G788" s="503"/>
      <c r="H788" s="503"/>
      <c r="I788" s="503"/>
    </row>
    <row r="789">
      <c r="A789" s="502"/>
      <c r="B789" s="503"/>
      <c r="C789" s="503"/>
      <c r="D789" s="503"/>
      <c r="E789" s="503"/>
      <c r="F789" s="503"/>
      <c r="G789" s="503"/>
      <c r="H789" s="503"/>
      <c r="I789" s="503"/>
    </row>
    <row r="790">
      <c r="A790" s="502"/>
      <c r="B790" s="503"/>
      <c r="C790" s="503"/>
      <c r="D790" s="503"/>
      <c r="E790" s="503"/>
      <c r="F790" s="503"/>
      <c r="G790" s="503"/>
      <c r="H790" s="503"/>
      <c r="I790" s="503"/>
    </row>
    <row r="791">
      <c r="A791" s="502"/>
      <c r="B791" s="503"/>
      <c r="C791" s="503"/>
      <c r="D791" s="503"/>
      <c r="E791" s="503"/>
      <c r="F791" s="503"/>
      <c r="G791" s="503"/>
      <c r="H791" s="503"/>
      <c r="I791" s="503"/>
    </row>
    <row r="792">
      <c r="A792" s="502"/>
      <c r="B792" s="503"/>
      <c r="C792" s="503"/>
      <c r="D792" s="503"/>
      <c r="E792" s="503"/>
      <c r="F792" s="503"/>
      <c r="G792" s="503"/>
      <c r="H792" s="503"/>
      <c r="I792" s="503"/>
    </row>
    <row r="793">
      <c r="A793" s="502"/>
      <c r="B793" s="503"/>
      <c r="C793" s="503"/>
      <c r="D793" s="503"/>
      <c r="E793" s="503"/>
      <c r="F793" s="503"/>
      <c r="G793" s="503"/>
      <c r="H793" s="503"/>
      <c r="I793" s="503"/>
    </row>
    <row r="794">
      <c r="A794" s="502"/>
      <c r="B794" s="503"/>
      <c r="C794" s="503"/>
      <c r="D794" s="503"/>
      <c r="E794" s="503"/>
      <c r="F794" s="503"/>
      <c r="G794" s="503"/>
      <c r="H794" s="503"/>
      <c r="I794" s="503"/>
    </row>
    <row r="795">
      <c r="A795" s="502"/>
      <c r="B795" s="503"/>
      <c r="C795" s="503"/>
      <c r="D795" s="503"/>
      <c r="E795" s="503"/>
      <c r="F795" s="503"/>
      <c r="G795" s="503"/>
      <c r="H795" s="503"/>
      <c r="I795" s="503"/>
    </row>
    <row r="796">
      <c r="A796" s="502"/>
      <c r="B796" s="503"/>
      <c r="C796" s="503"/>
      <c r="D796" s="503"/>
      <c r="E796" s="503"/>
      <c r="F796" s="503"/>
      <c r="G796" s="503"/>
      <c r="H796" s="503"/>
      <c r="I796" s="503"/>
    </row>
    <row r="797">
      <c r="A797" s="502"/>
      <c r="B797" s="503"/>
      <c r="C797" s="503"/>
      <c r="D797" s="503"/>
      <c r="E797" s="503"/>
      <c r="F797" s="503"/>
      <c r="G797" s="503"/>
      <c r="H797" s="503"/>
      <c r="I797" s="503"/>
    </row>
    <row r="798">
      <c r="A798" s="502"/>
      <c r="B798" s="503"/>
      <c r="C798" s="503"/>
      <c r="D798" s="503"/>
      <c r="E798" s="503"/>
      <c r="F798" s="503"/>
      <c r="G798" s="503"/>
      <c r="H798" s="503"/>
      <c r="I798" s="503"/>
    </row>
    <row r="799">
      <c r="A799" s="502"/>
      <c r="B799" s="503"/>
      <c r="C799" s="503"/>
      <c r="D799" s="503"/>
      <c r="E799" s="503"/>
      <c r="F799" s="503"/>
      <c r="G799" s="503"/>
      <c r="H799" s="503"/>
      <c r="I799" s="503"/>
    </row>
    <row r="800">
      <c r="A800" s="502"/>
      <c r="B800" s="503"/>
      <c r="C800" s="503"/>
      <c r="D800" s="503"/>
      <c r="E800" s="503"/>
      <c r="F800" s="503"/>
      <c r="G800" s="503"/>
      <c r="H800" s="503"/>
      <c r="I800" s="503"/>
    </row>
    <row r="801">
      <c r="A801" s="502"/>
      <c r="B801" s="503"/>
      <c r="C801" s="503"/>
      <c r="D801" s="503"/>
      <c r="E801" s="503"/>
      <c r="F801" s="503"/>
      <c r="G801" s="503"/>
      <c r="H801" s="503"/>
      <c r="I801" s="503"/>
    </row>
    <row r="802">
      <c r="A802" s="502"/>
      <c r="B802" s="503"/>
      <c r="C802" s="503"/>
      <c r="D802" s="503"/>
      <c r="E802" s="503"/>
      <c r="F802" s="503"/>
      <c r="G802" s="503"/>
      <c r="H802" s="503"/>
      <c r="I802" s="503"/>
    </row>
    <row r="803">
      <c r="A803" s="502"/>
      <c r="B803" s="503"/>
      <c r="C803" s="503"/>
      <c r="D803" s="503"/>
      <c r="E803" s="503"/>
      <c r="F803" s="503"/>
      <c r="G803" s="503"/>
      <c r="H803" s="503"/>
      <c r="I803" s="503"/>
    </row>
    <row r="804">
      <c r="A804" s="502"/>
      <c r="B804" s="503"/>
      <c r="C804" s="503"/>
      <c r="D804" s="503"/>
      <c r="E804" s="503"/>
      <c r="F804" s="503"/>
      <c r="G804" s="503"/>
      <c r="H804" s="503"/>
      <c r="I804" s="503"/>
    </row>
    <row r="805">
      <c r="A805" s="502"/>
      <c r="B805" s="503"/>
      <c r="C805" s="503"/>
      <c r="D805" s="503"/>
      <c r="E805" s="503"/>
      <c r="F805" s="503"/>
      <c r="G805" s="503"/>
      <c r="H805" s="503"/>
      <c r="I805" s="503"/>
    </row>
    <row r="806">
      <c r="A806" s="502"/>
      <c r="B806" s="503"/>
      <c r="C806" s="503"/>
      <c r="D806" s="503"/>
      <c r="E806" s="503"/>
      <c r="F806" s="503"/>
      <c r="G806" s="503"/>
      <c r="H806" s="503"/>
      <c r="I806" s="503"/>
    </row>
    <row r="807">
      <c r="A807" s="502"/>
      <c r="B807" s="503"/>
      <c r="C807" s="503"/>
      <c r="D807" s="503"/>
      <c r="E807" s="503"/>
      <c r="F807" s="503"/>
      <c r="G807" s="503"/>
      <c r="H807" s="503"/>
      <c r="I807" s="503"/>
    </row>
    <row r="808">
      <c r="A808" s="502"/>
      <c r="B808" s="503"/>
      <c r="C808" s="503"/>
      <c r="D808" s="503"/>
      <c r="E808" s="503"/>
      <c r="F808" s="503"/>
      <c r="G808" s="503"/>
      <c r="H808" s="503"/>
      <c r="I808" s="503"/>
    </row>
    <row r="809">
      <c r="A809" s="502"/>
      <c r="B809" s="503"/>
      <c r="C809" s="503"/>
      <c r="D809" s="503"/>
      <c r="E809" s="503"/>
      <c r="F809" s="503"/>
      <c r="G809" s="503"/>
      <c r="H809" s="503"/>
      <c r="I809" s="503"/>
    </row>
    <row r="810">
      <c r="A810" s="502"/>
      <c r="B810" s="503"/>
      <c r="C810" s="503"/>
      <c r="D810" s="503"/>
      <c r="E810" s="503"/>
      <c r="F810" s="503"/>
      <c r="G810" s="503"/>
      <c r="H810" s="503"/>
      <c r="I810" s="503"/>
    </row>
    <row r="811">
      <c r="A811" s="502"/>
      <c r="B811" s="503"/>
      <c r="C811" s="503"/>
      <c r="D811" s="503"/>
      <c r="E811" s="503"/>
      <c r="F811" s="503"/>
      <c r="G811" s="503"/>
      <c r="H811" s="503"/>
      <c r="I811" s="503"/>
    </row>
    <row r="812">
      <c r="A812" s="502"/>
      <c r="B812" s="503"/>
      <c r="C812" s="503"/>
      <c r="D812" s="503"/>
      <c r="E812" s="503"/>
      <c r="F812" s="503"/>
      <c r="G812" s="503"/>
      <c r="H812" s="503"/>
      <c r="I812" s="503"/>
    </row>
    <row r="813">
      <c r="A813" s="502"/>
      <c r="B813" s="503"/>
      <c r="C813" s="503"/>
      <c r="D813" s="503"/>
      <c r="E813" s="503"/>
      <c r="F813" s="503"/>
      <c r="G813" s="503"/>
      <c r="H813" s="503"/>
      <c r="I813" s="503"/>
    </row>
    <row r="814">
      <c r="A814" s="502"/>
      <c r="B814" s="503"/>
      <c r="C814" s="503"/>
      <c r="D814" s="503"/>
      <c r="E814" s="503"/>
      <c r="F814" s="503"/>
      <c r="G814" s="503"/>
      <c r="H814" s="503"/>
      <c r="I814" s="503"/>
    </row>
    <row r="815">
      <c r="A815" s="502"/>
      <c r="B815" s="503"/>
      <c r="C815" s="503"/>
      <c r="D815" s="503"/>
      <c r="E815" s="503"/>
      <c r="F815" s="503"/>
      <c r="G815" s="503"/>
      <c r="H815" s="503"/>
      <c r="I815" s="503"/>
    </row>
    <row r="816">
      <c r="A816" s="502"/>
      <c r="B816" s="503"/>
      <c r="C816" s="503"/>
      <c r="D816" s="503"/>
      <c r="E816" s="503"/>
      <c r="F816" s="503"/>
      <c r="G816" s="503"/>
      <c r="H816" s="503"/>
      <c r="I816" s="503"/>
    </row>
    <row r="817">
      <c r="A817" s="502"/>
      <c r="B817" s="503"/>
      <c r="C817" s="503"/>
      <c r="D817" s="503"/>
      <c r="E817" s="503"/>
      <c r="F817" s="503"/>
      <c r="G817" s="503"/>
      <c r="H817" s="503"/>
      <c r="I817" s="503"/>
    </row>
    <row r="818">
      <c r="A818" s="502"/>
      <c r="B818" s="503"/>
      <c r="C818" s="503"/>
      <c r="D818" s="503"/>
      <c r="E818" s="503"/>
      <c r="F818" s="503"/>
      <c r="G818" s="503"/>
      <c r="H818" s="503"/>
      <c r="I818" s="503"/>
    </row>
    <row r="819">
      <c r="A819" s="502"/>
      <c r="B819" s="503"/>
      <c r="C819" s="503"/>
      <c r="D819" s="503"/>
      <c r="E819" s="503"/>
      <c r="F819" s="503"/>
      <c r="G819" s="503"/>
      <c r="H819" s="503"/>
      <c r="I819" s="503"/>
    </row>
    <row r="820">
      <c r="A820" s="502"/>
      <c r="B820" s="503"/>
      <c r="C820" s="503"/>
      <c r="D820" s="503"/>
      <c r="E820" s="503"/>
      <c r="F820" s="503"/>
      <c r="G820" s="503"/>
      <c r="H820" s="503"/>
      <c r="I820" s="503"/>
    </row>
    <row r="821">
      <c r="A821" s="502"/>
      <c r="B821" s="503"/>
      <c r="C821" s="503"/>
      <c r="D821" s="503"/>
      <c r="E821" s="503"/>
      <c r="F821" s="503"/>
      <c r="G821" s="503"/>
      <c r="H821" s="503"/>
      <c r="I821" s="503"/>
    </row>
    <row r="822">
      <c r="A822" s="502"/>
      <c r="B822" s="503"/>
      <c r="C822" s="503"/>
      <c r="D822" s="503"/>
      <c r="E822" s="503"/>
      <c r="F822" s="503"/>
      <c r="G822" s="503"/>
      <c r="H822" s="503"/>
      <c r="I822" s="503"/>
    </row>
    <row r="823">
      <c r="A823" s="502"/>
      <c r="B823" s="503"/>
      <c r="C823" s="503"/>
      <c r="D823" s="503"/>
      <c r="E823" s="503"/>
      <c r="F823" s="503"/>
      <c r="G823" s="503"/>
      <c r="H823" s="503"/>
      <c r="I823" s="503"/>
    </row>
    <row r="824">
      <c r="A824" s="502"/>
      <c r="B824" s="503"/>
      <c r="C824" s="503"/>
      <c r="D824" s="503"/>
      <c r="E824" s="503"/>
      <c r="F824" s="503"/>
      <c r="G824" s="503"/>
      <c r="H824" s="503"/>
      <c r="I824" s="503"/>
    </row>
    <row r="825">
      <c r="A825" s="502"/>
      <c r="B825" s="503"/>
      <c r="C825" s="503"/>
      <c r="D825" s="503"/>
      <c r="E825" s="503"/>
      <c r="F825" s="503"/>
      <c r="G825" s="503"/>
      <c r="H825" s="503"/>
      <c r="I825" s="503"/>
    </row>
    <row r="826">
      <c r="A826" s="502"/>
      <c r="B826" s="503"/>
      <c r="C826" s="503"/>
      <c r="D826" s="503"/>
      <c r="E826" s="503"/>
      <c r="F826" s="503"/>
      <c r="G826" s="503"/>
      <c r="H826" s="503"/>
      <c r="I826" s="503"/>
    </row>
    <row r="827">
      <c r="A827" s="502"/>
      <c r="B827" s="503"/>
      <c r="C827" s="503"/>
      <c r="D827" s="503"/>
      <c r="E827" s="503"/>
      <c r="F827" s="503"/>
      <c r="G827" s="503"/>
      <c r="H827" s="503"/>
      <c r="I827" s="503"/>
    </row>
    <row r="828">
      <c r="A828" s="502"/>
      <c r="B828" s="503"/>
      <c r="C828" s="503"/>
      <c r="D828" s="503"/>
      <c r="E828" s="503"/>
      <c r="F828" s="503"/>
      <c r="G828" s="503"/>
      <c r="H828" s="503"/>
      <c r="I828" s="503"/>
    </row>
    <row r="829">
      <c r="A829" s="502"/>
      <c r="B829" s="503"/>
      <c r="C829" s="503"/>
      <c r="D829" s="503"/>
      <c r="E829" s="503"/>
      <c r="F829" s="503"/>
      <c r="G829" s="503"/>
      <c r="H829" s="503"/>
      <c r="I829" s="503"/>
    </row>
    <row r="830">
      <c r="A830" s="502"/>
      <c r="B830" s="503"/>
      <c r="C830" s="503"/>
      <c r="D830" s="503"/>
      <c r="E830" s="503"/>
      <c r="F830" s="503"/>
      <c r="G830" s="503"/>
      <c r="H830" s="503"/>
      <c r="I830" s="503"/>
    </row>
    <row r="831">
      <c r="A831" s="502"/>
      <c r="B831" s="503"/>
      <c r="C831" s="503"/>
      <c r="D831" s="503"/>
      <c r="E831" s="503"/>
      <c r="F831" s="503"/>
      <c r="G831" s="503"/>
      <c r="H831" s="503"/>
      <c r="I831" s="503"/>
    </row>
    <row r="832">
      <c r="A832" s="502"/>
      <c r="B832" s="503"/>
      <c r="C832" s="503"/>
      <c r="D832" s="503"/>
      <c r="E832" s="503"/>
      <c r="F832" s="503"/>
      <c r="G832" s="503"/>
      <c r="H832" s="503"/>
      <c r="I832" s="503"/>
    </row>
    <row r="833">
      <c r="A833" s="502"/>
      <c r="B833" s="503"/>
      <c r="C833" s="503"/>
      <c r="D833" s="503"/>
      <c r="E833" s="503"/>
      <c r="F833" s="503"/>
      <c r="G833" s="503"/>
      <c r="H833" s="503"/>
      <c r="I833" s="503"/>
    </row>
    <row r="834">
      <c r="A834" s="502"/>
      <c r="B834" s="503"/>
      <c r="C834" s="503"/>
      <c r="D834" s="503"/>
      <c r="E834" s="503"/>
      <c r="F834" s="503"/>
      <c r="G834" s="503"/>
      <c r="H834" s="503"/>
      <c r="I834" s="503"/>
    </row>
    <row r="835">
      <c r="A835" s="502"/>
      <c r="B835" s="503"/>
      <c r="C835" s="503"/>
      <c r="D835" s="503"/>
      <c r="E835" s="503"/>
      <c r="F835" s="503"/>
      <c r="G835" s="503"/>
      <c r="H835" s="503"/>
      <c r="I835" s="503"/>
    </row>
    <row r="836">
      <c r="A836" s="502"/>
      <c r="B836" s="503"/>
      <c r="C836" s="503"/>
      <c r="D836" s="503"/>
      <c r="E836" s="503"/>
      <c r="F836" s="503"/>
      <c r="G836" s="503"/>
      <c r="H836" s="503"/>
      <c r="I836" s="503"/>
    </row>
    <row r="837">
      <c r="A837" s="502"/>
      <c r="B837" s="503"/>
      <c r="C837" s="503"/>
      <c r="D837" s="503"/>
      <c r="E837" s="503"/>
      <c r="F837" s="503"/>
      <c r="G837" s="503"/>
      <c r="H837" s="503"/>
      <c r="I837" s="503"/>
    </row>
    <row r="838">
      <c r="A838" s="502"/>
      <c r="B838" s="503"/>
      <c r="C838" s="503"/>
      <c r="D838" s="503"/>
      <c r="E838" s="503"/>
      <c r="F838" s="503"/>
      <c r="G838" s="503"/>
      <c r="H838" s="503"/>
      <c r="I838" s="503"/>
    </row>
    <row r="839">
      <c r="A839" s="502"/>
      <c r="B839" s="503"/>
      <c r="C839" s="503"/>
      <c r="D839" s="503"/>
      <c r="E839" s="503"/>
      <c r="F839" s="503"/>
      <c r="G839" s="503"/>
      <c r="H839" s="503"/>
      <c r="I839" s="503"/>
    </row>
    <row r="840">
      <c r="A840" s="502"/>
      <c r="B840" s="503"/>
      <c r="C840" s="503"/>
      <c r="D840" s="503"/>
      <c r="E840" s="503"/>
      <c r="F840" s="503"/>
      <c r="G840" s="503"/>
      <c r="H840" s="503"/>
      <c r="I840" s="503"/>
    </row>
    <row r="841">
      <c r="A841" s="502"/>
      <c r="B841" s="503"/>
      <c r="C841" s="503"/>
      <c r="D841" s="503"/>
      <c r="E841" s="503"/>
      <c r="F841" s="503"/>
      <c r="G841" s="503"/>
      <c r="H841" s="503"/>
      <c r="I841" s="503"/>
    </row>
    <row r="842">
      <c r="A842" s="502"/>
      <c r="B842" s="503"/>
      <c r="C842" s="503"/>
      <c r="D842" s="503"/>
      <c r="E842" s="503"/>
      <c r="F842" s="503"/>
      <c r="G842" s="503"/>
      <c r="H842" s="503"/>
      <c r="I842" s="503"/>
    </row>
    <row r="843">
      <c r="A843" s="502"/>
      <c r="B843" s="503"/>
      <c r="C843" s="503"/>
      <c r="D843" s="503"/>
      <c r="E843" s="503"/>
      <c r="F843" s="503"/>
      <c r="G843" s="503"/>
      <c r="H843" s="503"/>
      <c r="I843" s="503"/>
    </row>
    <row r="844">
      <c r="A844" s="502"/>
      <c r="B844" s="503"/>
      <c r="C844" s="503"/>
      <c r="D844" s="503"/>
      <c r="E844" s="503"/>
      <c r="F844" s="503"/>
      <c r="G844" s="503"/>
      <c r="H844" s="503"/>
      <c r="I844" s="503"/>
    </row>
    <row r="845">
      <c r="A845" s="502"/>
      <c r="B845" s="503"/>
      <c r="C845" s="503"/>
      <c r="D845" s="503"/>
      <c r="E845" s="503"/>
      <c r="F845" s="503"/>
      <c r="G845" s="503"/>
      <c r="H845" s="503"/>
      <c r="I845" s="503"/>
    </row>
    <row r="846">
      <c r="A846" s="502"/>
      <c r="B846" s="503"/>
      <c r="C846" s="503"/>
      <c r="D846" s="503"/>
      <c r="E846" s="503"/>
      <c r="F846" s="503"/>
      <c r="G846" s="503"/>
      <c r="H846" s="503"/>
      <c r="I846" s="503"/>
    </row>
    <row r="847">
      <c r="A847" s="502"/>
      <c r="B847" s="503"/>
      <c r="C847" s="503"/>
      <c r="D847" s="503"/>
      <c r="E847" s="503"/>
      <c r="F847" s="503"/>
      <c r="G847" s="503"/>
      <c r="H847" s="503"/>
      <c r="I847" s="503"/>
    </row>
    <row r="848">
      <c r="A848" s="502"/>
      <c r="B848" s="503"/>
      <c r="C848" s="503"/>
      <c r="D848" s="503"/>
      <c r="E848" s="503"/>
      <c r="F848" s="503"/>
      <c r="G848" s="503"/>
      <c r="H848" s="503"/>
      <c r="I848" s="503"/>
    </row>
    <row r="849">
      <c r="A849" s="502"/>
      <c r="B849" s="503"/>
      <c r="C849" s="503"/>
      <c r="D849" s="503"/>
      <c r="E849" s="503"/>
      <c r="F849" s="503"/>
      <c r="G849" s="503"/>
      <c r="H849" s="503"/>
      <c r="I849" s="503"/>
    </row>
    <row r="850">
      <c r="A850" s="502"/>
      <c r="B850" s="503"/>
      <c r="C850" s="503"/>
      <c r="D850" s="503"/>
      <c r="E850" s="503"/>
      <c r="F850" s="503"/>
      <c r="G850" s="503"/>
      <c r="H850" s="503"/>
      <c r="I850" s="503"/>
    </row>
    <row r="851">
      <c r="A851" s="502"/>
      <c r="B851" s="503"/>
      <c r="C851" s="503"/>
      <c r="D851" s="503"/>
      <c r="E851" s="503"/>
      <c r="F851" s="503"/>
      <c r="G851" s="503"/>
      <c r="H851" s="503"/>
      <c r="I851" s="503"/>
    </row>
    <row r="852">
      <c r="A852" s="502"/>
      <c r="B852" s="503"/>
      <c r="C852" s="503"/>
      <c r="D852" s="503"/>
      <c r="E852" s="503"/>
      <c r="F852" s="503"/>
      <c r="G852" s="503"/>
      <c r="H852" s="503"/>
      <c r="I852" s="503"/>
    </row>
    <row r="853">
      <c r="A853" s="502"/>
      <c r="B853" s="503"/>
      <c r="C853" s="503"/>
      <c r="D853" s="503"/>
      <c r="E853" s="503"/>
      <c r="F853" s="503"/>
      <c r="G853" s="503"/>
      <c r="H853" s="503"/>
      <c r="I853" s="503"/>
    </row>
    <row r="854">
      <c r="A854" s="502"/>
      <c r="B854" s="503"/>
      <c r="C854" s="503"/>
      <c r="D854" s="503"/>
      <c r="E854" s="503"/>
      <c r="F854" s="503"/>
      <c r="G854" s="503"/>
      <c r="H854" s="503"/>
      <c r="I854" s="503"/>
    </row>
    <row r="855">
      <c r="A855" s="502"/>
      <c r="B855" s="503"/>
      <c r="C855" s="503"/>
      <c r="D855" s="503"/>
      <c r="E855" s="503"/>
      <c r="F855" s="503"/>
      <c r="G855" s="503"/>
      <c r="H855" s="503"/>
      <c r="I855" s="503"/>
    </row>
    <row r="856">
      <c r="A856" s="502"/>
      <c r="B856" s="503"/>
      <c r="C856" s="503"/>
      <c r="D856" s="503"/>
      <c r="E856" s="503"/>
      <c r="F856" s="503"/>
      <c r="G856" s="503"/>
      <c r="H856" s="503"/>
      <c r="I856" s="503"/>
    </row>
    <row r="857">
      <c r="A857" s="502"/>
      <c r="B857" s="503"/>
      <c r="C857" s="503"/>
      <c r="D857" s="503"/>
      <c r="E857" s="503"/>
      <c r="F857" s="503"/>
      <c r="G857" s="503"/>
      <c r="H857" s="503"/>
      <c r="I857" s="503"/>
    </row>
    <row r="858">
      <c r="A858" s="502"/>
      <c r="B858" s="503"/>
      <c r="C858" s="503"/>
      <c r="D858" s="503"/>
      <c r="E858" s="503"/>
      <c r="F858" s="503"/>
      <c r="G858" s="503"/>
      <c r="H858" s="503"/>
      <c r="I858" s="503"/>
    </row>
    <row r="859">
      <c r="A859" s="502"/>
      <c r="B859" s="503"/>
      <c r="C859" s="503"/>
      <c r="D859" s="503"/>
      <c r="E859" s="503"/>
      <c r="F859" s="503"/>
      <c r="G859" s="503"/>
      <c r="H859" s="503"/>
      <c r="I859" s="503"/>
    </row>
    <row r="860">
      <c r="A860" s="502"/>
      <c r="B860" s="503"/>
      <c r="C860" s="503"/>
      <c r="D860" s="503"/>
      <c r="E860" s="503"/>
      <c r="F860" s="503"/>
      <c r="G860" s="503"/>
      <c r="H860" s="503"/>
      <c r="I860" s="503"/>
    </row>
    <row r="861">
      <c r="A861" s="502"/>
      <c r="B861" s="503"/>
      <c r="C861" s="503"/>
      <c r="D861" s="503"/>
      <c r="E861" s="503"/>
      <c r="F861" s="503"/>
      <c r="G861" s="503"/>
      <c r="H861" s="503"/>
      <c r="I861" s="503"/>
    </row>
    <row r="862">
      <c r="A862" s="502"/>
      <c r="B862" s="503"/>
      <c r="C862" s="503"/>
      <c r="D862" s="503"/>
      <c r="E862" s="503"/>
      <c r="F862" s="503"/>
      <c r="G862" s="503"/>
      <c r="H862" s="503"/>
      <c r="I862" s="503"/>
    </row>
    <row r="863">
      <c r="A863" s="502"/>
      <c r="B863" s="503"/>
      <c r="C863" s="503"/>
      <c r="D863" s="503"/>
      <c r="E863" s="503"/>
      <c r="F863" s="503"/>
      <c r="G863" s="503"/>
      <c r="H863" s="503"/>
      <c r="I863" s="503"/>
    </row>
    <row r="864">
      <c r="A864" s="502"/>
      <c r="B864" s="503"/>
      <c r="C864" s="503"/>
      <c r="D864" s="503"/>
      <c r="E864" s="503"/>
      <c r="F864" s="503"/>
      <c r="G864" s="503"/>
      <c r="H864" s="503"/>
      <c r="I864" s="503"/>
    </row>
    <row r="865">
      <c r="A865" s="502"/>
      <c r="B865" s="503"/>
      <c r="C865" s="503"/>
      <c r="D865" s="503"/>
      <c r="E865" s="503"/>
      <c r="F865" s="503"/>
      <c r="G865" s="503"/>
      <c r="H865" s="503"/>
      <c r="I865" s="503"/>
    </row>
    <row r="866">
      <c r="A866" s="502"/>
      <c r="B866" s="503"/>
      <c r="C866" s="503"/>
      <c r="D866" s="503"/>
      <c r="E866" s="503"/>
      <c r="F866" s="503"/>
      <c r="G866" s="503"/>
      <c r="H866" s="503"/>
      <c r="I866" s="503"/>
    </row>
    <row r="867">
      <c r="A867" s="502"/>
      <c r="B867" s="503"/>
      <c r="C867" s="503"/>
      <c r="D867" s="503"/>
      <c r="E867" s="503"/>
      <c r="F867" s="503"/>
      <c r="G867" s="503"/>
      <c r="H867" s="503"/>
      <c r="I867" s="503"/>
    </row>
    <row r="868">
      <c r="A868" s="502"/>
      <c r="B868" s="503"/>
      <c r="C868" s="503"/>
      <c r="D868" s="503"/>
      <c r="E868" s="503"/>
      <c r="F868" s="503"/>
      <c r="G868" s="503"/>
      <c r="H868" s="503"/>
      <c r="I868" s="503"/>
    </row>
    <row r="869">
      <c r="A869" s="502"/>
      <c r="B869" s="503"/>
      <c r="C869" s="503"/>
      <c r="D869" s="503"/>
      <c r="E869" s="503"/>
      <c r="F869" s="503"/>
      <c r="G869" s="503"/>
      <c r="H869" s="503"/>
      <c r="I869" s="503"/>
    </row>
    <row r="870">
      <c r="A870" s="502"/>
      <c r="B870" s="503"/>
      <c r="C870" s="503"/>
      <c r="D870" s="503"/>
      <c r="E870" s="503"/>
      <c r="F870" s="503"/>
      <c r="G870" s="503"/>
      <c r="H870" s="503"/>
      <c r="I870" s="503"/>
    </row>
    <row r="871">
      <c r="A871" s="502"/>
      <c r="B871" s="503"/>
      <c r="C871" s="503"/>
      <c r="D871" s="503"/>
      <c r="E871" s="503"/>
      <c r="F871" s="503"/>
      <c r="G871" s="503"/>
      <c r="H871" s="503"/>
      <c r="I871" s="503"/>
    </row>
    <row r="872">
      <c r="A872" s="502"/>
      <c r="B872" s="503"/>
      <c r="C872" s="503"/>
      <c r="D872" s="503"/>
      <c r="E872" s="503"/>
      <c r="F872" s="503"/>
      <c r="G872" s="503"/>
      <c r="H872" s="503"/>
      <c r="I872" s="503"/>
    </row>
    <row r="873">
      <c r="A873" s="502"/>
      <c r="B873" s="503"/>
      <c r="C873" s="503"/>
      <c r="D873" s="503"/>
      <c r="E873" s="503"/>
      <c r="F873" s="503"/>
      <c r="G873" s="503"/>
      <c r="H873" s="503"/>
      <c r="I873" s="503"/>
    </row>
    <row r="874">
      <c r="A874" s="502"/>
      <c r="B874" s="503"/>
      <c r="C874" s="503"/>
      <c r="D874" s="503"/>
      <c r="E874" s="503"/>
      <c r="F874" s="503"/>
      <c r="G874" s="503"/>
      <c r="H874" s="503"/>
      <c r="I874" s="503"/>
    </row>
    <row r="875">
      <c r="A875" s="502"/>
      <c r="B875" s="503"/>
      <c r="C875" s="503"/>
      <c r="D875" s="503"/>
      <c r="E875" s="503"/>
      <c r="F875" s="503"/>
      <c r="G875" s="503"/>
      <c r="H875" s="503"/>
      <c r="I875" s="503"/>
    </row>
    <row r="876">
      <c r="A876" s="502"/>
      <c r="B876" s="503"/>
      <c r="C876" s="503"/>
      <c r="D876" s="503"/>
      <c r="E876" s="503"/>
      <c r="F876" s="503"/>
      <c r="G876" s="503"/>
      <c r="H876" s="503"/>
      <c r="I876" s="503"/>
    </row>
    <row r="877">
      <c r="A877" s="502"/>
      <c r="B877" s="503"/>
      <c r="C877" s="503"/>
      <c r="D877" s="503"/>
      <c r="E877" s="503"/>
      <c r="F877" s="503"/>
      <c r="G877" s="503"/>
      <c r="H877" s="503"/>
      <c r="I877" s="503"/>
    </row>
    <row r="878">
      <c r="A878" s="502"/>
      <c r="B878" s="503"/>
      <c r="C878" s="503"/>
      <c r="D878" s="503"/>
      <c r="E878" s="503"/>
      <c r="F878" s="503"/>
      <c r="G878" s="503"/>
      <c r="H878" s="503"/>
      <c r="I878" s="503"/>
    </row>
    <row r="879">
      <c r="A879" s="502"/>
      <c r="B879" s="503"/>
      <c r="C879" s="503"/>
      <c r="D879" s="503"/>
      <c r="E879" s="503"/>
      <c r="F879" s="503"/>
      <c r="G879" s="503"/>
      <c r="H879" s="503"/>
      <c r="I879" s="503"/>
    </row>
    <row r="880">
      <c r="A880" s="502"/>
      <c r="B880" s="503"/>
      <c r="C880" s="503"/>
      <c r="D880" s="503"/>
      <c r="E880" s="503"/>
      <c r="F880" s="503"/>
      <c r="G880" s="503"/>
      <c r="H880" s="503"/>
      <c r="I880" s="503"/>
    </row>
    <row r="881">
      <c r="A881" s="502"/>
      <c r="B881" s="503"/>
      <c r="C881" s="503"/>
      <c r="D881" s="503"/>
      <c r="E881" s="503"/>
      <c r="F881" s="503"/>
      <c r="G881" s="503"/>
      <c r="H881" s="503"/>
      <c r="I881" s="503"/>
    </row>
    <row r="882">
      <c r="A882" s="502"/>
      <c r="B882" s="503"/>
      <c r="C882" s="503"/>
      <c r="D882" s="503"/>
      <c r="E882" s="503"/>
      <c r="F882" s="503"/>
      <c r="G882" s="503"/>
      <c r="H882" s="503"/>
      <c r="I882" s="503"/>
    </row>
    <row r="883">
      <c r="A883" s="502"/>
      <c r="B883" s="503"/>
      <c r="C883" s="503"/>
      <c r="D883" s="503"/>
      <c r="E883" s="503"/>
      <c r="F883" s="503"/>
      <c r="G883" s="503"/>
      <c r="H883" s="503"/>
      <c r="I883" s="503"/>
    </row>
    <row r="884">
      <c r="A884" s="502"/>
      <c r="B884" s="503"/>
      <c r="C884" s="503"/>
      <c r="D884" s="503"/>
      <c r="E884" s="503"/>
      <c r="F884" s="503"/>
      <c r="G884" s="503"/>
      <c r="H884" s="503"/>
      <c r="I884" s="503"/>
    </row>
    <row r="885">
      <c r="A885" s="502"/>
      <c r="B885" s="503"/>
      <c r="C885" s="503"/>
      <c r="D885" s="503"/>
      <c r="E885" s="503"/>
      <c r="F885" s="503"/>
      <c r="G885" s="503"/>
      <c r="H885" s="503"/>
      <c r="I885" s="503"/>
    </row>
    <row r="886">
      <c r="A886" s="502"/>
      <c r="B886" s="503"/>
      <c r="C886" s="503"/>
      <c r="D886" s="503"/>
      <c r="E886" s="503"/>
      <c r="F886" s="503"/>
      <c r="G886" s="503"/>
      <c r="H886" s="503"/>
      <c r="I886" s="503"/>
    </row>
    <row r="887">
      <c r="A887" s="502"/>
      <c r="B887" s="503"/>
      <c r="C887" s="503"/>
      <c r="D887" s="503"/>
      <c r="E887" s="503"/>
      <c r="F887" s="503"/>
      <c r="G887" s="503"/>
      <c r="H887" s="503"/>
      <c r="I887" s="503"/>
    </row>
    <row r="888">
      <c r="A888" s="502"/>
      <c r="B888" s="503"/>
      <c r="C888" s="503"/>
      <c r="D888" s="503"/>
      <c r="E888" s="503"/>
      <c r="F888" s="503"/>
      <c r="G888" s="503"/>
      <c r="H888" s="503"/>
      <c r="I888" s="503"/>
    </row>
    <row r="889">
      <c r="A889" s="502"/>
      <c r="B889" s="503"/>
      <c r="C889" s="503"/>
      <c r="D889" s="503"/>
      <c r="E889" s="503"/>
      <c r="F889" s="503"/>
      <c r="G889" s="503"/>
      <c r="H889" s="503"/>
      <c r="I889" s="503"/>
    </row>
    <row r="890">
      <c r="A890" s="502"/>
      <c r="B890" s="503"/>
      <c r="C890" s="503"/>
      <c r="D890" s="503"/>
      <c r="E890" s="503"/>
      <c r="F890" s="503"/>
      <c r="G890" s="503"/>
      <c r="H890" s="503"/>
      <c r="I890" s="503"/>
    </row>
    <row r="891">
      <c r="A891" s="502"/>
      <c r="B891" s="503"/>
      <c r="C891" s="503"/>
      <c r="D891" s="503"/>
      <c r="E891" s="503"/>
      <c r="F891" s="503"/>
      <c r="G891" s="503"/>
      <c r="H891" s="503"/>
      <c r="I891" s="503"/>
    </row>
    <row r="892">
      <c r="A892" s="502"/>
      <c r="B892" s="503"/>
      <c r="C892" s="503"/>
      <c r="D892" s="503"/>
      <c r="E892" s="503"/>
      <c r="F892" s="503"/>
      <c r="G892" s="503"/>
      <c r="H892" s="503"/>
      <c r="I892" s="503"/>
    </row>
    <row r="893">
      <c r="A893" s="502"/>
      <c r="B893" s="503"/>
      <c r="C893" s="503"/>
      <c r="D893" s="503"/>
      <c r="E893" s="503"/>
      <c r="F893" s="503"/>
      <c r="G893" s="503"/>
      <c r="H893" s="503"/>
      <c r="I893" s="503"/>
    </row>
    <row r="894">
      <c r="A894" s="502"/>
      <c r="B894" s="503"/>
      <c r="C894" s="503"/>
      <c r="D894" s="503"/>
      <c r="E894" s="503"/>
      <c r="F894" s="503"/>
      <c r="G894" s="503"/>
      <c r="H894" s="503"/>
      <c r="I894" s="503"/>
    </row>
    <row r="895">
      <c r="A895" s="502"/>
      <c r="B895" s="503"/>
      <c r="C895" s="503"/>
      <c r="D895" s="503"/>
      <c r="E895" s="503"/>
      <c r="F895" s="503"/>
      <c r="G895" s="503"/>
      <c r="H895" s="503"/>
      <c r="I895" s="503"/>
    </row>
    <row r="896">
      <c r="A896" s="502"/>
      <c r="B896" s="503"/>
      <c r="C896" s="503"/>
      <c r="D896" s="503"/>
      <c r="E896" s="503"/>
      <c r="F896" s="503"/>
      <c r="G896" s="503"/>
      <c r="H896" s="503"/>
      <c r="I896" s="503"/>
    </row>
    <row r="897">
      <c r="A897" s="502"/>
      <c r="B897" s="503"/>
      <c r="C897" s="503"/>
      <c r="D897" s="503"/>
      <c r="E897" s="503"/>
      <c r="F897" s="503"/>
      <c r="G897" s="503"/>
      <c r="H897" s="503"/>
      <c r="I897" s="503"/>
    </row>
    <row r="898">
      <c r="A898" s="502"/>
      <c r="B898" s="503"/>
      <c r="C898" s="503"/>
      <c r="D898" s="503"/>
      <c r="E898" s="503"/>
      <c r="F898" s="503"/>
      <c r="G898" s="503"/>
      <c r="H898" s="503"/>
      <c r="I898" s="503"/>
    </row>
    <row r="899">
      <c r="A899" s="502"/>
      <c r="B899" s="503"/>
      <c r="C899" s="503"/>
      <c r="D899" s="503"/>
      <c r="E899" s="503"/>
      <c r="F899" s="503"/>
      <c r="G899" s="503"/>
      <c r="H899" s="503"/>
      <c r="I899" s="503"/>
    </row>
    <row r="900">
      <c r="A900" s="502"/>
      <c r="B900" s="503"/>
      <c r="C900" s="503"/>
      <c r="D900" s="503"/>
      <c r="E900" s="503"/>
      <c r="F900" s="503"/>
      <c r="G900" s="503"/>
      <c r="H900" s="503"/>
      <c r="I900" s="503"/>
    </row>
    <row r="901">
      <c r="A901" s="502"/>
      <c r="B901" s="503"/>
      <c r="C901" s="503"/>
      <c r="D901" s="503"/>
      <c r="E901" s="503"/>
      <c r="F901" s="503"/>
      <c r="G901" s="503"/>
      <c r="H901" s="503"/>
      <c r="I901" s="503"/>
    </row>
    <row r="902">
      <c r="A902" s="502"/>
      <c r="B902" s="503"/>
      <c r="C902" s="503"/>
      <c r="D902" s="503"/>
      <c r="E902" s="503"/>
      <c r="F902" s="503"/>
      <c r="G902" s="503"/>
      <c r="H902" s="503"/>
      <c r="I902" s="503"/>
    </row>
    <row r="903">
      <c r="A903" s="502"/>
      <c r="B903" s="503"/>
      <c r="C903" s="503"/>
      <c r="D903" s="503"/>
      <c r="E903" s="503"/>
      <c r="F903" s="503"/>
      <c r="G903" s="503"/>
      <c r="H903" s="503"/>
      <c r="I903" s="503"/>
    </row>
    <row r="904">
      <c r="A904" s="502"/>
      <c r="B904" s="503"/>
      <c r="C904" s="503"/>
      <c r="D904" s="503"/>
      <c r="E904" s="503"/>
      <c r="F904" s="503"/>
      <c r="G904" s="503"/>
      <c r="H904" s="503"/>
      <c r="I904" s="503"/>
    </row>
    <row r="905">
      <c r="A905" s="502"/>
      <c r="B905" s="503"/>
      <c r="C905" s="503"/>
      <c r="D905" s="503"/>
      <c r="E905" s="503"/>
      <c r="F905" s="503"/>
      <c r="G905" s="503"/>
      <c r="H905" s="503"/>
      <c r="I905" s="503"/>
    </row>
    <row r="906">
      <c r="A906" s="502"/>
      <c r="B906" s="503"/>
      <c r="C906" s="503"/>
      <c r="D906" s="503"/>
      <c r="E906" s="503"/>
      <c r="F906" s="503"/>
      <c r="G906" s="503"/>
      <c r="H906" s="503"/>
      <c r="I906" s="503"/>
    </row>
    <row r="907">
      <c r="A907" s="502"/>
      <c r="B907" s="503"/>
      <c r="C907" s="503"/>
      <c r="D907" s="503"/>
      <c r="E907" s="503"/>
      <c r="F907" s="503"/>
      <c r="G907" s="503"/>
      <c r="H907" s="503"/>
      <c r="I907" s="503"/>
    </row>
    <row r="908">
      <c r="A908" s="502"/>
      <c r="B908" s="503"/>
      <c r="C908" s="503"/>
      <c r="D908" s="503"/>
      <c r="E908" s="503"/>
      <c r="F908" s="503"/>
      <c r="G908" s="503"/>
      <c r="H908" s="503"/>
      <c r="I908" s="503"/>
    </row>
    <row r="909">
      <c r="A909" s="502"/>
      <c r="B909" s="503"/>
      <c r="C909" s="503"/>
      <c r="D909" s="503"/>
      <c r="E909" s="503"/>
      <c r="F909" s="503"/>
      <c r="G909" s="503"/>
      <c r="H909" s="503"/>
      <c r="I909" s="503"/>
    </row>
    <row r="910">
      <c r="A910" s="502"/>
      <c r="B910" s="503"/>
      <c r="C910" s="503"/>
      <c r="D910" s="503"/>
      <c r="E910" s="503"/>
      <c r="F910" s="503"/>
      <c r="G910" s="503"/>
      <c r="H910" s="503"/>
      <c r="I910" s="503"/>
    </row>
    <row r="911">
      <c r="A911" s="502"/>
      <c r="B911" s="503"/>
      <c r="C911" s="503"/>
      <c r="D911" s="503"/>
      <c r="E911" s="503"/>
      <c r="F911" s="503"/>
      <c r="G911" s="503"/>
      <c r="H911" s="503"/>
      <c r="I911" s="503"/>
    </row>
    <row r="912">
      <c r="A912" s="502"/>
      <c r="B912" s="503"/>
      <c r="C912" s="503"/>
      <c r="D912" s="503"/>
      <c r="E912" s="503"/>
      <c r="F912" s="503"/>
      <c r="G912" s="503"/>
      <c r="H912" s="503"/>
      <c r="I912" s="503"/>
    </row>
    <row r="913">
      <c r="A913" s="502"/>
      <c r="B913" s="503"/>
      <c r="C913" s="503"/>
      <c r="D913" s="503"/>
      <c r="E913" s="503"/>
      <c r="F913" s="503"/>
      <c r="G913" s="503"/>
      <c r="H913" s="503"/>
      <c r="I913" s="503"/>
    </row>
    <row r="914">
      <c r="A914" s="502"/>
      <c r="B914" s="503"/>
      <c r="C914" s="503"/>
      <c r="D914" s="503"/>
      <c r="E914" s="503"/>
      <c r="F914" s="503"/>
      <c r="G914" s="503"/>
      <c r="H914" s="503"/>
      <c r="I914" s="503"/>
    </row>
    <row r="915">
      <c r="A915" s="502"/>
      <c r="B915" s="503"/>
      <c r="C915" s="503"/>
      <c r="D915" s="503"/>
      <c r="E915" s="503"/>
      <c r="F915" s="503"/>
      <c r="G915" s="503"/>
      <c r="H915" s="503"/>
      <c r="I915" s="503"/>
    </row>
    <row r="916">
      <c r="A916" s="502"/>
      <c r="B916" s="503"/>
      <c r="C916" s="503"/>
      <c r="D916" s="503"/>
      <c r="E916" s="503"/>
      <c r="F916" s="503"/>
      <c r="G916" s="503"/>
      <c r="H916" s="503"/>
      <c r="I916" s="503"/>
    </row>
    <row r="917">
      <c r="A917" s="502"/>
      <c r="B917" s="503"/>
      <c r="C917" s="503"/>
      <c r="D917" s="503"/>
      <c r="E917" s="503"/>
      <c r="F917" s="503"/>
      <c r="G917" s="503"/>
      <c r="H917" s="503"/>
      <c r="I917" s="503"/>
    </row>
    <row r="918">
      <c r="A918" s="502"/>
      <c r="B918" s="503"/>
      <c r="C918" s="503"/>
      <c r="D918" s="503"/>
      <c r="E918" s="503"/>
      <c r="F918" s="503"/>
      <c r="G918" s="503"/>
      <c r="H918" s="503"/>
      <c r="I918" s="503"/>
    </row>
    <row r="919">
      <c r="A919" s="502"/>
      <c r="B919" s="503"/>
      <c r="C919" s="503"/>
      <c r="D919" s="503"/>
      <c r="E919" s="503"/>
      <c r="F919" s="503"/>
      <c r="G919" s="503"/>
      <c r="H919" s="503"/>
      <c r="I919" s="503"/>
    </row>
    <row r="920">
      <c r="A920" s="502"/>
      <c r="B920" s="503"/>
      <c r="C920" s="503"/>
      <c r="D920" s="503"/>
      <c r="E920" s="503"/>
      <c r="F920" s="503"/>
      <c r="G920" s="503"/>
      <c r="H920" s="503"/>
      <c r="I920" s="503"/>
    </row>
    <row r="921">
      <c r="A921" s="502"/>
      <c r="B921" s="503"/>
      <c r="C921" s="503"/>
      <c r="D921" s="503"/>
      <c r="E921" s="503"/>
      <c r="F921" s="503"/>
      <c r="G921" s="503"/>
      <c r="H921" s="503"/>
      <c r="I921" s="503"/>
    </row>
    <row r="922">
      <c r="A922" s="502"/>
      <c r="B922" s="503"/>
      <c r="C922" s="503"/>
      <c r="D922" s="503"/>
      <c r="E922" s="503"/>
      <c r="F922" s="503"/>
      <c r="G922" s="503"/>
      <c r="H922" s="503"/>
      <c r="I922" s="503"/>
    </row>
    <row r="923">
      <c r="A923" s="502"/>
      <c r="B923" s="503"/>
      <c r="C923" s="503"/>
      <c r="D923" s="503"/>
      <c r="E923" s="503"/>
      <c r="F923" s="503"/>
      <c r="G923" s="503"/>
      <c r="H923" s="503"/>
      <c r="I923" s="503"/>
    </row>
    <row r="924">
      <c r="A924" s="502"/>
      <c r="B924" s="503"/>
      <c r="C924" s="503"/>
      <c r="D924" s="503"/>
      <c r="E924" s="503"/>
      <c r="F924" s="503"/>
      <c r="G924" s="503"/>
      <c r="H924" s="503"/>
      <c r="I924" s="503"/>
    </row>
    <row r="925">
      <c r="A925" s="502"/>
      <c r="B925" s="503"/>
      <c r="C925" s="503"/>
      <c r="D925" s="503"/>
      <c r="E925" s="503"/>
      <c r="F925" s="503"/>
      <c r="G925" s="503"/>
      <c r="H925" s="503"/>
      <c r="I925" s="503"/>
    </row>
    <row r="926">
      <c r="A926" s="502"/>
      <c r="B926" s="503"/>
      <c r="C926" s="503"/>
      <c r="D926" s="503"/>
      <c r="E926" s="503"/>
      <c r="F926" s="503"/>
      <c r="G926" s="503"/>
      <c r="H926" s="503"/>
      <c r="I926" s="503"/>
    </row>
    <row r="927">
      <c r="A927" s="502"/>
      <c r="B927" s="503"/>
      <c r="C927" s="503"/>
      <c r="D927" s="503"/>
      <c r="E927" s="503"/>
      <c r="F927" s="503"/>
      <c r="G927" s="503"/>
      <c r="H927" s="503"/>
      <c r="I927" s="503"/>
    </row>
    <row r="928">
      <c r="A928" s="502"/>
      <c r="B928" s="503"/>
      <c r="C928" s="503"/>
      <c r="D928" s="503"/>
      <c r="E928" s="503"/>
      <c r="F928" s="503"/>
      <c r="G928" s="503"/>
      <c r="H928" s="503"/>
      <c r="I928" s="503"/>
    </row>
    <row r="929">
      <c r="A929" s="502"/>
      <c r="B929" s="503"/>
      <c r="C929" s="503"/>
      <c r="D929" s="503"/>
      <c r="E929" s="503"/>
      <c r="F929" s="503"/>
      <c r="G929" s="503"/>
      <c r="H929" s="503"/>
      <c r="I929" s="503"/>
    </row>
    <row r="930">
      <c r="A930" s="502"/>
      <c r="B930" s="503"/>
      <c r="C930" s="503"/>
      <c r="D930" s="503"/>
      <c r="E930" s="503"/>
      <c r="F930" s="503"/>
      <c r="G930" s="503"/>
      <c r="H930" s="503"/>
      <c r="I930" s="503"/>
    </row>
    <row r="931">
      <c r="A931" s="502"/>
      <c r="B931" s="503"/>
      <c r="C931" s="503"/>
      <c r="D931" s="503"/>
      <c r="E931" s="503"/>
      <c r="F931" s="503"/>
      <c r="G931" s="503"/>
      <c r="H931" s="503"/>
      <c r="I931" s="503"/>
    </row>
    <row r="932">
      <c r="A932" s="502"/>
      <c r="B932" s="503"/>
      <c r="C932" s="503"/>
      <c r="D932" s="503"/>
      <c r="E932" s="503"/>
      <c r="F932" s="503"/>
      <c r="G932" s="503"/>
      <c r="H932" s="503"/>
      <c r="I932" s="503"/>
    </row>
    <row r="933">
      <c r="A933" s="502"/>
      <c r="B933" s="503"/>
      <c r="C933" s="503"/>
      <c r="D933" s="503"/>
      <c r="E933" s="503"/>
      <c r="F933" s="503"/>
      <c r="G933" s="503"/>
      <c r="H933" s="503"/>
      <c r="I933" s="503"/>
    </row>
    <row r="934">
      <c r="A934" s="502"/>
      <c r="B934" s="503"/>
      <c r="C934" s="503"/>
      <c r="D934" s="503"/>
      <c r="E934" s="503"/>
      <c r="F934" s="503"/>
      <c r="G934" s="503"/>
      <c r="H934" s="503"/>
      <c r="I934" s="503"/>
    </row>
    <row r="935">
      <c r="A935" s="502"/>
      <c r="B935" s="503"/>
      <c r="C935" s="503"/>
      <c r="D935" s="503"/>
      <c r="E935" s="503"/>
      <c r="F935" s="503"/>
      <c r="G935" s="503"/>
      <c r="H935" s="503"/>
      <c r="I935" s="503"/>
    </row>
    <row r="936">
      <c r="A936" s="502"/>
      <c r="B936" s="503"/>
      <c r="C936" s="503"/>
      <c r="D936" s="503"/>
      <c r="E936" s="503"/>
      <c r="F936" s="503"/>
      <c r="G936" s="503"/>
      <c r="H936" s="503"/>
      <c r="I936" s="503"/>
    </row>
    <row r="937">
      <c r="A937" s="502"/>
      <c r="B937" s="503"/>
      <c r="C937" s="503"/>
      <c r="D937" s="503"/>
      <c r="E937" s="503"/>
      <c r="F937" s="503"/>
      <c r="G937" s="503"/>
      <c r="H937" s="503"/>
      <c r="I937" s="503"/>
    </row>
    <row r="938">
      <c r="A938" s="502"/>
      <c r="B938" s="503"/>
      <c r="C938" s="503"/>
      <c r="D938" s="503"/>
      <c r="E938" s="503"/>
      <c r="F938" s="503"/>
      <c r="G938" s="503"/>
      <c r="H938" s="503"/>
      <c r="I938" s="503"/>
    </row>
    <row r="939">
      <c r="A939" s="502"/>
      <c r="B939" s="503"/>
      <c r="C939" s="503"/>
      <c r="D939" s="503"/>
      <c r="E939" s="503"/>
      <c r="F939" s="503"/>
      <c r="G939" s="503"/>
      <c r="H939" s="503"/>
      <c r="I939" s="503"/>
    </row>
    <row r="940">
      <c r="A940" s="502"/>
      <c r="B940" s="503"/>
      <c r="C940" s="503"/>
      <c r="D940" s="503"/>
      <c r="E940" s="503"/>
      <c r="F940" s="503"/>
      <c r="G940" s="503"/>
      <c r="H940" s="503"/>
      <c r="I940" s="503"/>
    </row>
    <row r="941">
      <c r="A941" s="502"/>
      <c r="B941" s="503"/>
      <c r="C941" s="503"/>
      <c r="D941" s="503"/>
      <c r="E941" s="503"/>
      <c r="F941" s="503"/>
      <c r="G941" s="503"/>
      <c r="H941" s="503"/>
      <c r="I941" s="503"/>
    </row>
    <row r="942">
      <c r="A942" s="502"/>
      <c r="B942" s="503"/>
      <c r="C942" s="503"/>
      <c r="D942" s="503"/>
      <c r="E942" s="503"/>
      <c r="F942" s="503"/>
      <c r="G942" s="503"/>
      <c r="H942" s="503"/>
      <c r="I942" s="503"/>
    </row>
    <row r="943">
      <c r="A943" s="502"/>
      <c r="B943" s="503"/>
      <c r="C943" s="503"/>
      <c r="D943" s="503"/>
      <c r="E943" s="503"/>
      <c r="F943" s="503"/>
      <c r="G943" s="503"/>
      <c r="H943" s="503"/>
      <c r="I943" s="503"/>
    </row>
    <row r="944">
      <c r="A944" s="502"/>
      <c r="B944" s="503"/>
      <c r="C944" s="503"/>
      <c r="D944" s="503"/>
      <c r="E944" s="503"/>
      <c r="F944" s="503"/>
      <c r="G944" s="503"/>
      <c r="H944" s="503"/>
      <c r="I944" s="503"/>
    </row>
    <row r="945">
      <c r="A945" s="502"/>
      <c r="B945" s="503"/>
      <c r="C945" s="503"/>
      <c r="D945" s="503"/>
      <c r="E945" s="503"/>
      <c r="F945" s="503"/>
      <c r="G945" s="503"/>
      <c r="H945" s="503"/>
      <c r="I945" s="503"/>
    </row>
    <row r="946">
      <c r="A946" s="502"/>
      <c r="B946" s="503"/>
      <c r="C946" s="503"/>
      <c r="D946" s="503"/>
      <c r="E946" s="503"/>
      <c r="F946" s="503"/>
      <c r="G946" s="503"/>
      <c r="H946" s="503"/>
      <c r="I946" s="503"/>
    </row>
    <row r="947">
      <c r="A947" s="502"/>
      <c r="B947" s="503"/>
      <c r="C947" s="503"/>
      <c r="D947" s="503"/>
      <c r="E947" s="503"/>
      <c r="F947" s="503"/>
      <c r="G947" s="503"/>
      <c r="H947" s="503"/>
      <c r="I947" s="503"/>
    </row>
    <row r="948">
      <c r="A948" s="502"/>
      <c r="B948" s="503"/>
      <c r="C948" s="503"/>
      <c r="D948" s="503"/>
      <c r="E948" s="503"/>
      <c r="F948" s="503"/>
      <c r="G948" s="503"/>
      <c r="H948" s="503"/>
      <c r="I948" s="503"/>
    </row>
    <row r="949">
      <c r="A949" s="502"/>
      <c r="B949" s="503"/>
      <c r="C949" s="503"/>
      <c r="D949" s="503"/>
      <c r="E949" s="503"/>
      <c r="F949" s="503"/>
      <c r="G949" s="503"/>
      <c r="H949" s="503"/>
      <c r="I949" s="503"/>
    </row>
    <row r="950">
      <c r="A950" s="502"/>
      <c r="B950" s="503"/>
      <c r="C950" s="503"/>
      <c r="D950" s="503"/>
      <c r="E950" s="503"/>
      <c r="F950" s="503"/>
      <c r="G950" s="503"/>
      <c r="H950" s="503"/>
      <c r="I950" s="503"/>
    </row>
    <row r="951">
      <c r="A951" s="502"/>
      <c r="B951" s="503"/>
      <c r="C951" s="503"/>
      <c r="D951" s="503"/>
      <c r="E951" s="503"/>
      <c r="F951" s="503"/>
      <c r="G951" s="503"/>
      <c r="H951" s="503"/>
      <c r="I951" s="503"/>
    </row>
    <row r="952">
      <c r="A952" s="502"/>
      <c r="B952" s="503"/>
      <c r="C952" s="503"/>
      <c r="D952" s="503"/>
      <c r="E952" s="503"/>
      <c r="F952" s="503"/>
      <c r="G952" s="503"/>
      <c r="H952" s="503"/>
      <c r="I952" s="503"/>
    </row>
    <row r="953">
      <c r="A953" s="502"/>
      <c r="B953" s="503"/>
      <c r="C953" s="503"/>
      <c r="D953" s="503"/>
      <c r="E953" s="503"/>
      <c r="F953" s="503"/>
      <c r="G953" s="503"/>
      <c r="H953" s="503"/>
      <c r="I953" s="503"/>
    </row>
    <row r="954">
      <c r="A954" s="502"/>
      <c r="B954" s="503"/>
      <c r="C954" s="503"/>
      <c r="D954" s="503"/>
      <c r="E954" s="503"/>
      <c r="F954" s="503"/>
      <c r="G954" s="503"/>
      <c r="H954" s="503"/>
      <c r="I954" s="503"/>
    </row>
    <row r="955">
      <c r="A955" s="502"/>
      <c r="B955" s="503"/>
      <c r="C955" s="503"/>
      <c r="D955" s="503"/>
      <c r="E955" s="503"/>
      <c r="F955" s="503"/>
      <c r="G955" s="503"/>
      <c r="H955" s="503"/>
      <c r="I955" s="503"/>
    </row>
    <row r="956">
      <c r="A956" s="502"/>
      <c r="B956" s="503"/>
      <c r="C956" s="503"/>
      <c r="D956" s="503"/>
      <c r="E956" s="503"/>
      <c r="F956" s="503"/>
      <c r="G956" s="503"/>
      <c r="H956" s="503"/>
      <c r="I956" s="503"/>
    </row>
    <row r="957">
      <c r="A957" s="502"/>
      <c r="B957" s="503"/>
      <c r="C957" s="503"/>
      <c r="D957" s="503"/>
      <c r="E957" s="503"/>
      <c r="F957" s="503"/>
      <c r="G957" s="503"/>
      <c r="H957" s="503"/>
      <c r="I957" s="503"/>
    </row>
    <row r="958">
      <c r="A958" s="502"/>
      <c r="B958" s="503"/>
      <c r="C958" s="503"/>
      <c r="D958" s="503"/>
      <c r="E958" s="503"/>
      <c r="F958" s="503"/>
      <c r="G958" s="503"/>
      <c r="H958" s="503"/>
      <c r="I958" s="503"/>
    </row>
    <row r="959">
      <c r="A959" s="502"/>
      <c r="B959" s="503"/>
      <c r="C959" s="503"/>
      <c r="D959" s="503"/>
      <c r="E959" s="503"/>
      <c r="F959" s="503"/>
      <c r="G959" s="503"/>
      <c r="H959" s="503"/>
      <c r="I959" s="503"/>
    </row>
    <row r="960">
      <c r="A960" s="502"/>
      <c r="B960" s="503"/>
      <c r="C960" s="503"/>
      <c r="D960" s="503"/>
      <c r="E960" s="503"/>
      <c r="F960" s="503"/>
      <c r="G960" s="503"/>
      <c r="H960" s="503"/>
      <c r="I960" s="503"/>
    </row>
    <row r="961">
      <c r="A961" s="502"/>
      <c r="B961" s="503"/>
      <c r="C961" s="503"/>
      <c r="D961" s="503"/>
      <c r="E961" s="503"/>
      <c r="F961" s="503"/>
      <c r="G961" s="503"/>
      <c r="H961" s="503"/>
      <c r="I961" s="503"/>
    </row>
    <row r="962">
      <c r="A962" s="502"/>
      <c r="B962" s="503"/>
      <c r="C962" s="503"/>
      <c r="D962" s="503"/>
      <c r="E962" s="503"/>
      <c r="F962" s="503"/>
      <c r="G962" s="503"/>
      <c r="H962" s="503"/>
      <c r="I962" s="503"/>
    </row>
    <row r="963">
      <c r="A963" s="502"/>
      <c r="B963" s="503"/>
      <c r="C963" s="503"/>
      <c r="D963" s="503"/>
      <c r="E963" s="503"/>
      <c r="F963" s="503"/>
      <c r="G963" s="503"/>
      <c r="H963" s="503"/>
      <c r="I963" s="503"/>
    </row>
    <row r="964">
      <c r="A964" s="502"/>
      <c r="B964" s="503"/>
      <c r="C964" s="503"/>
      <c r="D964" s="503"/>
      <c r="E964" s="503"/>
      <c r="F964" s="503"/>
      <c r="G964" s="503"/>
      <c r="H964" s="503"/>
      <c r="I964" s="503"/>
    </row>
    <row r="965">
      <c r="A965" s="502"/>
      <c r="B965" s="503"/>
      <c r="C965" s="503"/>
      <c r="D965" s="503"/>
      <c r="E965" s="503"/>
      <c r="F965" s="503"/>
      <c r="G965" s="503"/>
      <c r="H965" s="503"/>
      <c r="I965" s="503"/>
    </row>
    <row r="966">
      <c r="A966" s="502"/>
      <c r="B966" s="503"/>
      <c r="C966" s="503"/>
      <c r="D966" s="503"/>
      <c r="E966" s="503"/>
      <c r="F966" s="503"/>
      <c r="G966" s="503"/>
      <c r="H966" s="503"/>
      <c r="I966" s="503"/>
    </row>
    <row r="967">
      <c r="A967" s="502"/>
      <c r="B967" s="503"/>
      <c r="C967" s="503"/>
      <c r="D967" s="503"/>
      <c r="E967" s="503"/>
      <c r="F967" s="503"/>
      <c r="G967" s="503"/>
      <c r="H967" s="503"/>
      <c r="I967" s="503"/>
    </row>
    <row r="968">
      <c r="A968" s="502"/>
      <c r="B968" s="503"/>
      <c r="C968" s="503"/>
      <c r="D968" s="503"/>
      <c r="E968" s="503"/>
      <c r="F968" s="503"/>
      <c r="G968" s="503"/>
      <c r="H968" s="503"/>
      <c r="I968" s="503"/>
    </row>
    <row r="969">
      <c r="A969" s="502"/>
      <c r="B969" s="503"/>
      <c r="C969" s="503"/>
      <c r="D969" s="503"/>
      <c r="E969" s="503"/>
      <c r="F969" s="503"/>
      <c r="G969" s="503"/>
      <c r="H969" s="503"/>
      <c r="I969" s="503"/>
    </row>
    <row r="970">
      <c r="A970" s="502"/>
      <c r="B970" s="503"/>
      <c r="C970" s="503"/>
      <c r="D970" s="503"/>
      <c r="E970" s="503"/>
      <c r="F970" s="503"/>
      <c r="G970" s="503"/>
      <c r="H970" s="503"/>
      <c r="I970" s="503"/>
    </row>
    <row r="971">
      <c r="A971" s="502"/>
      <c r="B971" s="503"/>
      <c r="C971" s="503"/>
      <c r="D971" s="503"/>
      <c r="E971" s="503"/>
      <c r="F971" s="503"/>
      <c r="G971" s="503"/>
      <c r="H971" s="503"/>
      <c r="I971" s="503"/>
    </row>
    <row r="972">
      <c r="A972" s="502"/>
      <c r="B972" s="503"/>
      <c r="C972" s="503"/>
      <c r="D972" s="503"/>
      <c r="E972" s="503"/>
      <c r="F972" s="503"/>
      <c r="G972" s="503"/>
      <c r="H972" s="503"/>
      <c r="I972" s="503"/>
    </row>
    <row r="973">
      <c r="A973" s="502"/>
      <c r="B973" s="503"/>
      <c r="C973" s="503"/>
      <c r="D973" s="503"/>
      <c r="E973" s="503"/>
      <c r="F973" s="503"/>
      <c r="G973" s="503"/>
      <c r="H973" s="503"/>
      <c r="I973" s="503"/>
    </row>
    <row r="974">
      <c r="A974" s="502"/>
      <c r="B974" s="503"/>
      <c r="C974" s="503"/>
      <c r="D974" s="503"/>
      <c r="E974" s="503"/>
      <c r="F974" s="503"/>
      <c r="G974" s="503"/>
      <c r="H974" s="503"/>
      <c r="I974" s="503"/>
    </row>
    <row r="975">
      <c r="A975" s="502"/>
      <c r="B975" s="503"/>
      <c r="C975" s="503"/>
      <c r="D975" s="503"/>
      <c r="E975" s="503"/>
      <c r="F975" s="503"/>
      <c r="G975" s="503"/>
      <c r="H975" s="503"/>
      <c r="I975" s="503"/>
    </row>
    <row r="976">
      <c r="A976" s="502"/>
      <c r="B976" s="503"/>
      <c r="C976" s="503"/>
      <c r="D976" s="503"/>
      <c r="E976" s="503"/>
      <c r="F976" s="503"/>
      <c r="G976" s="503"/>
      <c r="H976" s="503"/>
      <c r="I976" s="503"/>
    </row>
    <row r="977">
      <c r="A977" s="502"/>
      <c r="B977" s="503"/>
      <c r="C977" s="503"/>
      <c r="D977" s="503"/>
      <c r="E977" s="503"/>
      <c r="F977" s="503"/>
      <c r="G977" s="503"/>
      <c r="H977" s="503"/>
      <c r="I977" s="503"/>
    </row>
    <row r="978">
      <c r="A978" s="502"/>
      <c r="B978" s="503"/>
      <c r="C978" s="503"/>
      <c r="D978" s="503"/>
      <c r="E978" s="503"/>
      <c r="F978" s="503"/>
      <c r="G978" s="503"/>
      <c r="H978" s="503"/>
      <c r="I978" s="503"/>
    </row>
    <row r="979">
      <c r="A979" s="502"/>
      <c r="B979" s="503"/>
      <c r="C979" s="503"/>
      <c r="D979" s="503"/>
      <c r="E979" s="503"/>
      <c r="F979" s="503"/>
      <c r="G979" s="503"/>
      <c r="H979" s="503"/>
      <c r="I979" s="503"/>
    </row>
    <row r="980">
      <c r="A980" s="502"/>
      <c r="B980" s="503"/>
      <c r="C980" s="503"/>
      <c r="D980" s="503"/>
      <c r="E980" s="503"/>
      <c r="F980" s="503"/>
      <c r="G980" s="503"/>
      <c r="H980" s="503"/>
      <c r="I980" s="503"/>
    </row>
    <row r="981">
      <c r="A981" s="502"/>
      <c r="B981" s="503"/>
      <c r="C981" s="503"/>
      <c r="D981" s="503"/>
      <c r="E981" s="503"/>
      <c r="F981" s="503"/>
      <c r="G981" s="503"/>
      <c r="H981" s="503"/>
      <c r="I981" s="503"/>
    </row>
    <row r="982">
      <c r="A982" s="502"/>
      <c r="B982" s="503"/>
      <c r="C982" s="503"/>
      <c r="D982" s="503"/>
      <c r="E982" s="503"/>
      <c r="F982" s="503"/>
      <c r="G982" s="503"/>
      <c r="H982" s="503"/>
      <c r="I982" s="503"/>
    </row>
    <row r="983">
      <c r="A983" s="502"/>
      <c r="B983" s="503"/>
      <c r="C983" s="503"/>
      <c r="D983" s="503"/>
      <c r="E983" s="503"/>
      <c r="F983" s="503"/>
      <c r="G983" s="503"/>
      <c r="H983" s="503"/>
      <c r="I983" s="503"/>
    </row>
    <row r="984">
      <c r="A984" s="502"/>
      <c r="B984" s="503"/>
      <c r="C984" s="503"/>
      <c r="D984" s="503"/>
      <c r="E984" s="503"/>
      <c r="F984" s="503"/>
      <c r="G984" s="503"/>
      <c r="H984" s="503"/>
      <c r="I984" s="503"/>
    </row>
    <row r="985">
      <c r="A985" s="502"/>
      <c r="B985" s="503"/>
      <c r="C985" s="503"/>
      <c r="D985" s="503"/>
      <c r="E985" s="503"/>
      <c r="F985" s="503"/>
      <c r="G985" s="503"/>
      <c r="H985" s="503"/>
      <c r="I985" s="503"/>
    </row>
    <row r="986">
      <c r="A986" s="502"/>
      <c r="B986" s="503"/>
      <c r="C986" s="503"/>
      <c r="D986" s="503"/>
      <c r="E986" s="503"/>
      <c r="F986" s="503"/>
      <c r="G986" s="503"/>
      <c r="H986" s="503"/>
      <c r="I986" s="503"/>
    </row>
    <row r="987">
      <c r="A987" s="502"/>
      <c r="B987" s="503"/>
      <c r="C987" s="503"/>
      <c r="D987" s="503"/>
      <c r="E987" s="503"/>
      <c r="F987" s="503"/>
      <c r="G987" s="503"/>
      <c r="H987" s="503"/>
      <c r="I987" s="503"/>
    </row>
    <row r="988">
      <c r="A988" s="502"/>
      <c r="B988" s="503"/>
      <c r="C988" s="503"/>
      <c r="D988" s="503"/>
      <c r="E988" s="503"/>
      <c r="F988" s="503"/>
      <c r="G988" s="503"/>
      <c r="H988" s="503"/>
      <c r="I988" s="503"/>
    </row>
    <row r="989">
      <c r="A989" s="502"/>
      <c r="B989" s="503"/>
      <c r="C989" s="503"/>
      <c r="D989" s="503"/>
      <c r="E989" s="503"/>
      <c r="F989" s="503"/>
      <c r="G989" s="503"/>
      <c r="H989" s="503"/>
      <c r="I989" s="503"/>
    </row>
    <row r="990">
      <c r="A990" s="502"/>
      <c r="B990" s="503"/>
      <c r="C990" s="503"/>
      <c r="D990" s="503"/>
      <c r="E990" s="503"/>
      <c r="F990" s="503"/>
      <c r="G990" s="503"/>
      <c r="H990" s="503"/>
      <c r="I990" s="503"/>
    </row>
    <row r="991">
      <c r="A991" s="502"/>
      <c r="B991" s="503"/>
      <c r="C991" s="503"/>
      <c r="D991" s="503"/>
      <c r="E991" s="503"/>
      <c r="F991" s="503"/>
      <c r="G991" s="503"/>
      <c r="H991" s="503"/>
      <c r="I991" s="503"/>
    </row>
    <row r="992">
      <c r="A992" s="502"/>
      <c r="B992" s="503"/>
      <c r="C992" s="503"/>
      <c r="D992" s="503"/>
      <c r="E992" s="503"/>
      <c r="F992" s="503"/>
      <c r="G992" s="503"/>
      <c r="H992" s="503"/>
      <c r="I992" s="503"/>
    </row>
    <row r="993">
      <c r="A993" s="502"/>
      <c r="B993" s="503"/>
      <c r="C993" s="503"/>
      <c r="D993" s="503"/>
      <c r="E993" s="503"/>
      <c r="F993" s="503"/>
      <c r="G993" s="503"/>
      <c r="H993" s="503"/>
      <c r="I993" s="503"/>
    </row>
    <row r="994">
      <c r="A994" s="502"/>
      <c r="B994" s="503"/>
      <c r="C994" s="503"/>
      <c r="D994" s="503"/>
      <c r="E994" s="503"/>
      <c r="F994" s="503"/>
      <c r="G994" s="503"/>
      <c r="H994" s="503"/>
      <c r="I994" s="503"/>
    </row>
    <row r="995">
      <c r="A995" s="502"/>
      <c r="B995" s="503"/>
      <c r="C995" s="503"/>
      <c r="D995" s="503"/>
      <c r="E995" s="503"/>
      <c r="F995" s="503"/>
      <c r="G995" s="503"/>
      <c r="H995" s="503"/>
      <c r="I995" s="503"/>
    </row>
    <row r="996">
      <c r="A996" s="502"/>
      <c r="B996" s="503"/>
      <c r="C996" s="503"/>
      <c r="D996" s="503"/>
      <c r="E996" s="503"/>
      <c r="F996" s="503"/>
      <c r="G996" s="503"/>
      <c r="H996" s="503"/>
      <c r="I996" s="503"/>
    </row>
    <row r="997">
      <c r="A997" s="502"/>
      <c r="B997" s="503"/>
      <c r="C997" s="503"/>
      <c r="D997" s="503"/>
      <c r="E997" s="503"/>
      <c r="F997" s="503"/>
      <c r="G997" s="503"/>
      <c r="H997" s="503"/>
      <c r="I997" s="50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38"/>
    <col customWidth="1" min="3" max="3" width="11.88"/>
    <col customWidth="1" min="4" max="4" width="10.38"/>
    <col customWidth="1" min="5" max="5" width="13.13"/>
    <col customWidth="1" min="6" max="6" width="10.38"/>
    <col customWidth="1" min="7" max="7" width="12.38"/>
    <col customWidth="1" min="8" max="16" width="10.38"/>
    <col customWidth="1" min="17" max="17" width="11.38"/>
    <col customWidth="1" min="18" max="23" width="10.38"/>
  </cols>
  <sheetData>
    <row r="1">
      <c r="C1" s="504" t="s">
        <v>853</v>
      </c>
      <c r="D1" s="505"/>
    </row>
    <row r="2">
      <c r="A2" s="506"/>
      <c r="B2" s="506" t="s">
        <v>854</v>
      </c>
      <c r="E2" s="507">
        <f>'Tehsil Reports'!N1</f>
        <v>46113</v>
      </c>
      <c r="F2" s="508" t="s">
        <v>509</v>
      </c>
      <c r="G2" s="509">
        <f>'Tehsil Reports'!Q1</f>
        <v>46142</v>
      </c>
      <c r="H2" s="510"/>
      <c r="I2" s="511"/>
      <c r="J2" s="511"/>
      <c r="K2" s="510"/>
      <c r="L2" s="511"/>
      <c r="M2" s="510"/>
      <c r="N2" s="510"/>
      <c r="O2" s="510"/>
      <c r="P2" s="511"/>
      <c r="Q2" s="511"/>
      <c r="R2" s="511"/>
      <c r="S2" s="511"/>
      <c r="T2" s="511"/>
      <c r="U2" s="511"/>
      <c r="V2" s="511"/>
      <c r="W2" s="511"/>
      <c r="X2" s="511"/>
      <c r="Y2" s="511"/>
      <c r="Z2" s="511"/>
      <c r="AA2" s="511"/>
      <c r="AB2" s="511"/>
      <c r="AC2" s="511"/>
      <c r="AD2" s="511"/>
      <c r="AE2" s="511"/>
      <c r="AF2" s="511"/>
      <c r="AG2" s="511"/>
      <c r="AH2" s="511"/>
      <c r="AI2" s="511"/>
      <c r="AJ2" s="511"/>
      <c r="AK2" s="511"/>
      <c r="AL2" s="511"/>
      <c r="AM2" s="511"/>
      <c r="AN2" s="511"/>
      <c r="AO2" s="511"/>
      <c r="AP2" s="511"/>
      <c r="AQ2" s="511"/>
      <c r="AR2" s="511"/>
      <c r="AS2" s="511"/>
      <c r="AT2" s="511"/>
      <c r="AU2" s="511"/>
      <c r="AV2" s="511"/>
      <c r="AW2" s="511"/>
      <c r="AX2" s="511"/>
      <c r="AY2" s="511"/>
      <c r="AZ2" s="511"/>
      <c r="BA2" s="511"/>
      <c r="BB2" s="511"/>
      <c r="BC2" s="511"/>
      <c r="BD2" s="511"/>
      <c r="BE2" s="511"/>
      <c r="BF2" s="511"/>
      <c r="BG2" s="511"/>
      <c r="BH2" s="511"/>
      <c r="BI2" s="511"/>
      <c r="BJ2" s="511"/>
      <c r="BK2" s="511"/>
      <c r="BL2" s="511"/>
      <c r="BM2" s="511"/>
      <c r="BN2" s="511"/>
      <c r="BO2" s="511"/>
      <c r="BP2" s="511"/>
      <c r="BQ2" s="511"/>
      <c r="BR2" s="511"/>
      <c r="BS2" s="511"/>
      <c r="BT2" s="511"/>
      <c r="BU2" s="511"/>
      <c r="BV2" s="511"/>
      <c r="BW2" s="511"/>
      <c r="BX2" s="511"/>
      <c r="BY2" s="511"/>
      <c r="BZ2" s="511"/>
      <c r="CA2" s="511"/>
      <c r="CB2" s="511"/>
      <c r="CC2" s="511"/>
      <c r="CD2" s="511"/>
      <c r="CE2" s="511"/>
      <c r="CF2" s="511"/>
      <c r="CG2" s="511"/>
      <c r="CH2" s="511"/>
      <c r="CI2" s="511"/>
      <c r="CJ2" s="511"/>
      <c r="CK2" s="511"/>
      <c r="CL2" s="511"/>
      <c r="CM2" s="511"/>
      <c r="CN2" s="511"/>
      <c r="CO2" s="511"/>
      <c r="CP2" s="511"/>
      <c r="CQ2" s="511"/>
      <c r="CR2" s="511"/>
      <c r="CS2" s="511"/>
      <c r="CT2" s="511"/>
      <c r="CU2" s="511"/>
      <c r="CV2" s="511"/>
      <c r="CW2" s="511"/>
      <c r="CX2" s="511"/>
      <c r="CY2" s="511"/>
      <c r="CZ2" s="511"/>
      <c r="DA2" s="511"/>
      <c r="DB2" s="511"/>
      <c r="DC2" s="511"/>
      <c r="DD2" s="511"/>
      <c r="DE2" s="511"/>
      <c r="DF2" s="511"/>
      <c r="DG2" s="511"/>
      <c r="DH2" s="511"/>
      <c r="DI2" s="511"/>
      <c r="DJ2" s="511"/>
      <c r="DK2" s="511"/>
      <c r="DL2" s="511"/>
      <c r="DM2" s="511"/>
      <c r="DN2" s="511"/>
      <c r="DO2" s="511"/>
      <c r="DP2" s="511"/>
      <c r="DQ2" s="511"/>
      <c r="DR2" s="511"/>
      <c r="DS2" s="511"/>
      <c r="DT2" s="511"/>
      <c r="DU2" s="511"/>
      <c r="DV2" s="511"/>
      <c r="DW2" s="511"/>
      <c r="DX2" s="511"/>
      <c r="DY2" s="511"/>
      <c r="DZ2" s="511"/>
      <c r="EA2" s="511"/>
      <c r="EB2" s="511"/>
      <c r="EC2" s="511"/>
      <c r="ED2" s="511"/>
      <c r="EE2" s="511"/>
      <c r="EF2" s="511"/>
      <c r="EG2" s="511"/>
      <c r="EH2" s="511"/>
      <c r="EI2" s="511"/>
      <c r="EJ2" s="511"/>
      <c r="EK2" s="511"/>
      <c r="EL2" s="511"/>
    </row>
    <row r="3">
      <c r="A3" s="512"/>
      <c r="B3" s="513" t="s">
        <v>855</v>
      </c>
      <c r="C3" s="514" t="s">
        <v>856</v>
      </c>
      <c r="D3" s="514" t="s">
        <v>857</v>
      </c>
      <c r="E3" s="514" t="s">
        <v>858</v>
      </c>
      <c r="F3" s="514" t="s">
        <v>859</v>
      </c>
      <c r="G3" s="514" t="s">
        <v>860</v>
      </c>
      <c r="H3" s="514" t="s">
        <v>861</v>
      </c>
      <c r="I3" s="514" t="s">
        <v>862</v>
      </c>
      <c r="J3" s="515" t="s">
        <v>863</v>
      </c>
      <c r="K3" s="515" t="s">
        <v>864</v>
      </c>
      <c r="L3" s="515" t="s">
        <v>865</v>
      </c>
      <c r="M3" s="515" t="s">
        <v>866</v>
      </c>
      <c r="N3" s="514" t="s">
        <v>867</v>
      </c>
      <c r="O3" s="514" t="s">
        <v>868</v>
      </c>
      <c r="P3" s="514" t="s">
        <v>869</v>
      </c>
      <c r="Q3" s="514" t="s">
        <v>329</v>
      </c>
      <c r="R3" s="514" t="s">
        <v>330</v>
      </c>
      <c r="S3" s="514" t="s">
        <v>331</v>
      </c>
      <c r="T3" s="514" t="s">
        <v>332</v>
      </c>
      <c r="U3" s="515" t="s">
        <v>333</v>
      </c>
      <c r="V3" s="514" t="s">
        <v>336</v>
      </c>
      <c r="W3" s="514" t="s">
        <v>337</v>
      </c>
      <c r="X3" s="514" t="s">
        <v>338</v>
      </c>
      <c r="Y3" s="515" t="s">
        <v>339</v>
      </c>
      <c r="Z3" s="515" t="s">
        <v>340</v>
      </c>
      <c r="AA3" s="515" t="s">
        <v>341</v>
      </c>
      <c r="AB3" s="514" t="s">
        <v>342</v>
      </c>
      <c r="AC3" s="514" t="s">
        <v>343</v>
      </c>
      <c r="AD3" s="514" t="s">
        <v>344</v>
      </c>
      <c r="AE3" s="514" t="s">
        <v>345</v>
      </c>
      <c r="AF3" s="514" t="s">
        <v>346</v>
      </c>
      <c r="AG3" s="514" t="s">
        <v>347</v>
      </c>
      <c r="AH3" s="514" t="s">
        <v>348</v>
      </c>
      <c r="AI3" s="514" t="s">
        <v>349</v>
      </c>
      <c r="AJ3" s="515" t="s">
        <v>350</v>
      </c>
      <c r="AK3" s="514" t="s">
        <v>870</v>
      </c>
      <c r="AL3" s="514" t="s">
        <v>871</v>
      </c>
      <c r="AM3" s="514" t="s">
        <v>872</v>
      </c>
      <c r="AN3" s="514" t="s">
        <v>873</v>
      </c>
      <c r="AO3" s="514" t="s">
        <v>874</v>
      </c>
      <c r="AP3" s="514" t="s">
        <v>875</v>
      </c>
      <c r="AQ3" s="514" t="s">
        <v>876</v>
      </c>
      <c r="AR3" s="514" t="s">
        <v>877</v>
      </c>
      <c r="AS3" s="514" t="s">
        <v>878</v>
      </c>
      <c r="AT3" s="514" t="s">
        <v>879</v>
      </c>
      <c r="AU3" s="514" t="s">
        <v>880</v>
      </c>
      <c r="AV3" s="514" t="s">
        <v>881</v>
      </c>
      <c r="AW3" s="514" t="s">
        <v>882</v>
      </c>
      <c r="AX3" s="514" t="s">
        <v>883</v>
      </c>
      <c r="AY3" s="514" t="s">
        <v>884</v>
      </c>
      <c r="AZ3" s="515" t="s">
        <v>885</v>
      </c>
      <c r="BA3" s="514" t="s">
        <v>886</v>
      </c>
      <c r="BB3" s="514" t="s">
        <v>887</v>
      </c>
      <c r="BC3" s="514" t="s">
        <v>888</v>
      </c>
      <c r="BD3" s="515" t="s">
        <v>889</v>
      </c>
      <c r="BE3" s="514" t="s">
        <v>890</v>
      </c>
      <c r="BF3" s="514" t="s">
        <v>891</v>
      </c>
      <c r="BG3" s="514" t="s">
        <v>892</v>
      </c>
      <c r="BH3" s="514" t="s">
        <v>893</v>
      </c>
      <c r="BI3" s="514" t="s">
        <v>383</v>
      </c>
      <c r="BJ3" s="514" t="s">
        <v>894</v>
      </c>
      <c r="BK3" s="514" t="s">
        <v>895</v>
      </c>
      <c r="BL3" s="514" t="s">
        <v>896</v>
      </c>
      <c r="BM3" s="514" t="s">
        <v>596</v>
      </c>
      <c r="BN3" s="514" t="s">
        <v>897</v>
      </c>
      <c r="BO3" s="514" t="s">
        <v>598</v>
      </c>
      <c r="BP3" s="514" t="s">
        <v>898</v>
      </c>
      <c r="BQ3" s="514" t="s">
        <v>600</v>
      </c>
      <c r="BR3" s="514" t="s">
        <v>899</v>
      </c>
      <c r="BS3" s="514" t="s">
        <v>397</v>
      </c>
      <c r="BT3" s="514" t="s">
        <v>900</v>
      </c>
      <c r="BU3" s="514" t="s">
        <v>901</v>
      </c>
      <c r="BV3" s="514" t="s">
        <v>902</v>
      </c>
      <c r="BW3" s="515" t="s">
        <v>903</v>
      </c>
      <c r="BX3" s="515" t="s">
        <v>904</v>
      </c>
      <c r="BY3" s="514" t="s">
        <v>905</v>
      </c>
      <c r="BZ3" s="514" t="s">
        <v>906</v>
      </c>
      <c r="CA3" s="514" t="s">
        <v>907</v>
      </c>
      <c r="CB3" s="514" t="s">
        <v>908</v>
      </c>
      <c r="CC3" s="514" t="s">
        <v>909</v>
      </c>
      <c r="CD3" s="514" t="s">
        <v>910</v>
      </c>
      <c r="CE3" s="514" t="s">
        <v>621</v>
      </c>
      <c r="CF3" s="514" t="s">
        <v>911</v>
      </c>
      <c r="CG3" s="514" t="s">
        <v>413</v>
      </c>
      <c r="CH3" s="514" t="s">
        <v>912</v>
      </c>
      <c r="CI3" s="514" t="s">
        <v>421</v>
      </c>
      <c r="CJ3" s="514" t="s">
        <v>422</v>
      </c>
      <c r="CK3" s="514" t="s">
        <v>423</v>
      </c>
      <c r="CL3" s="514" t="s">
        <v>913</v>
      </c>
      <c r="CM3" s="514" t="s">
        <v>425</v>
      </c>
      <c r="CN3" s="514" t="s">
        <v>914</v>
      </c>
      <c r="CO3" s="514" t="s">
        <v>427</v>
      </c>
      <c r="CP3" s="514" t="s">
        <v>428</v>
      </c>
      <c r="CQ3" s="514" t="s">
        <v>429</v>
      </c>
      <c r="CR3" s="514" t="s">
        <v>430</v>
      </c>
      <c r="CS3" s="515" t="s">
        <v>431</v>
      </c>
      <c r="CT3" s="515" t="s">
        <v>432</v>
      </c>
      <c r="CU3" s="514" t="s">
        <v>915</v>
      </c>
      <c r="CV3" s="514" t="s">
        <v>916</v>
      </c>
      <c r="CW3" s="514" t="s">
        <v>917</v>
      </c>
      <c r="CX3" s="514" t="s">
        <v>918</v>
      </c>
      <c r="CY3" s="514" t="s">
        <v>919</v>
      </c>
      <c r="CZ3" s="514" t="s">
        <v>920</v>
      </c>
      <c r="DA3" s="514" t="s">
        <v>441</v>
      </c>
      <c r="DB3" s="514" t="s">
        <v>442</v>
      </c>
      <c r="DC3" s="514" t="s">
        <v>443</v>
      </c>
      <c r="DD3" s="514" t="s">
        <v>444</v>
      </c>
      <c r="DE3" s="514" t="s">
        <v>921</v>
      </c>
      <c r="DF3" s="514" t="s">
        <v>486</v>
      </c>
      <c r="DG3" s="514" t="s">
        <v>922</v>
      </c>
      <c r="DH3" s="514" t="s">
        <v>488</v>
      </c>
      <c r="DI3" s="514" t="s">
        <v>489</v>
      </c>
      <c r="DJ3" s="515" t="s">
        <v>923</v>
      </c>
      <c r="DK3" s="514" t="s">
        <v>924</v>
      </c>
      <c r="DL3" s="514" t="s">
        <v>925</v>
      </c>
      <c r="DM3" s="514" t="s">
        <v>926</v>
      </c>
      <c r="DN3" s="514" t="s">
        <v>927</v>
      </c>
      <c r="DO3" s="514" t="s">
        <v>928</v>
      </c>
      <c r="DP3" s="514" t="s">
        <v>929</v>
      </c>
      <c r="DQ3" s="514" t="s">
        <v>930</v>
      </c>
      <c r="DR3" s="514" t="s">
        <v>471</v>
      </c>
      <c r="DS3" s="514" t="s">
        <v>472</v>
      </c>
      <c r="DT3" s="514" t="s">
        <v>473</v>
      </c>
      <c r="DU3" s="515" t="s">
        <v>474</v>
      </c>
      <c r="DV3" s="514" t="s">
        <v>931</v>
      </c>
      <c r="DW3" s="514" t="s">
        <v>932</v>
      </c>
      <c r="DX3" s="514" t="s">
        <v>933</v>
      </c>
      <c r="DY3" s="514" t="s">
        <v>479</v>
      </c>
      <c r="DZ3" s="514" t="s">
        <v>480</v>
      </c>
      <c r="EA3" s="515" t="s">
        <v>934</v>
      </c>
      <c r="EB3" s="515" t="s">
        <v>935</v>
      </c>
      <c r="EC3" s="515" t="s">
        <v>936</v>
      </c>
      <c r="ED3" s="515" t="s">
        <v>937</v>
      </c>
      <c r="EE3" s="515" t="s">
        <v>938</v>
      </c>
      <c r="EF3" s="515" t="s">
        <v>939</v>
      </c>
      <c r="EG3" s="515" t="s">
        <v>940</v>
      </c>
      <c r="EH3" s="515" t="s">
        <v>941</v>
      </c>
      <c r="EI3" s="515" t="s">
        <v>942</v>
      </c>
      <c r="EJ3" s="515" t="s">
        <v>943</v>
      </c>
      <c r="EK3" s="516" t="s">
        <v>944</v>
      </c>
      <c r="EL3" s="517"/>
    </row>
    <row r="4">
      <c r="A4" s="518" t="s">
        <v>945</v>
      </c>
      <c r="B4" s="519">
        <f>sumifs('Form responses'!I2:I53,'Form responses'!$C$2:$C53,"&gt;="&amp;$E$2,'Form responses'!$C$2:$C53,"&lt;="&amp;$G$2)</f>
        <v>1</v>
      </c>
      <c r="C4" s="519">
        <f>sumifs('Form responses'!J2:J53,'Form responses'!$C$2:$C53,"&gt;="&amp;$E$2,'Form responses'!$C$2:$C53,"&lt;="&amp;$G$2)</f>
        <v>1936</v>
      </c>
      <c r="D4" s="519">
        <f>sumifs('Form responses'!K2:K53,'Form responses'!$C$2:$C53,"&gt;="&amp;$E$2,'Form responses'!$C$2:$C53,"&lt;="&amp;$G$2)</f>
        <v>17</v>
      </c>
      <c r="E4" s="519">
        <f>sumifs('Form responses'!L2:L53,'Form responses'!$C$2:$C53,"&gt;="&amp;$E$2,'Form responses'!$C$2:$C53,"&lt;="&amp;$G$2)</f>
        <v>32</v>
      </c>
      <c r="F4" s="519">
        <f>sumifs('Form responses'!M2:M53,'Form responses'!$C$2:$C53,"&gt;="&amp;$E$2,'Form responses'!$C$2:$C53,"&lt;="&amp;$G$2)</f>
        <v>0</v>
      </c>
      <c r="G4" s="519">
        <f>sumifs('Form responses'!N2:N53,'Form responses'!$C$2:$C53,"&gt;="&amp;$E$2,'Form responses'!$C$2:$C53,"&lt;="&amp;$G$2)</f>
        <v>757</v>
      </c>
      <c r="H4" s="519">
        <f>sumifs('Form responses'!O2:O53,'Form responses'!$C$2:$C53,"&gt;="&amp;$E$2,'Form responses'!$C$2:$C53,"&lt;="&amp;$G$2)</f>
        <v>8</v>
      </c>
      <c r="I4" s="519">
        <f>sumifs('Form responses'!P2:P53,'Form responses'!$C$2:$C53,"&gt;="&amp;$E$2,'Form responses'!$C$2:$C53,"&lt;="&amp;$G$2)</f>
        <v>5</v>
      </c>
      <c r="J4" s="519">
        <f>sumifs('Form responses'!Q2:Q53,'Form responses'!$C$2:$C53,"&gt;="&amp;$E$2,'Form responses'!$C$2:$C53,"&lt;="&amp;$G$2)</f>
        <v>5</v>
      </c>
      <c r="K4" s="519">
        <f>sumifs('Form responses'!R2:R53,'Form responses'!$C$2:$C53,"&gt;="&amp;$E$2,'Form responses'!$C$2:$C53,"&lt;="&amp;$G$2)</f>
        <v>282</v>
      </c>
      <c r="L4" s="519">
        <f>sumifs('Form responses'!S2:S53,'Form responses'!$C$2:$C53,"&gt;="&amp;$E$2,'Form responses'!$C$2:$C53,"&lt;="&amp;$G$2)</f>
        <v>182</v>
      </c>
      <c r="M4" s="519">
        <f>sumifs('Form responses'!T2:T53,'Form responses'!$C$2:$C53,"&gt;="&amp;$E$2,'Form responses'!$C$2:$C53,"&lt;="&amp;$G$2)</f>
        <v>304</v>
      </c>
      <c r="N4" s="519">
        <f>sumifs('Form responses'!U2:U53,'Form responses'!$C$2:$C53,"&gt;="&amp;$E$2,'Form responses'!$C$2:$C53,"&lt;="&amp;$G$2)</f>
        <v>0</v>
      </c>
      <c r="O4" s="519">
        <f>sumifs('Form responses'!V2:V53,'Form responses'!$C$2:$C53,"&gt;="&amp;$E$2,'Form responses'!$C$2:$C53,"&lt;="&amp;$G$2)</f>
        <v>0</v>
      </c>
      <c r="P4" s="519">
        <f>sumifs('Form responses'!W2:W53,'Form responses'!$C$2:$C53,"&gt;="&amp;$E$2,'Form responses'!$C$2:$C53,"&lt;="&amp;$G$2)</f>
        <v>0</v>
      </c>
      <c r="Q4" s="519">
        <f>sumifs('Form responses'!X2:X53,'Form responses'!$C$2:$C53,"&gt;="&amp;$E$2,'Form responses'!$C$2:$C53,"&lt;="&amp;$G$2)</f>
        <v>0</v>
      </c>
      <c r="R4" s="519">
        <f>sumifs('Form responses'!Y2:Y53,'Form responses'!$C$2:$C53,"&gt;="&amp;$E$2,'Form responses'!$C$2:$C53,"&lt;="&amp;$G$2)</f>
        <v>34</v>
      </c>
      <c r="S4" s="519">
        <f>sumifs('Form responses'!Z2:Z53,'Form responses'!$C$2:$C53,"&gt;="&amp;$E$2,'Form responses'!$C$2:$C53,"&lt;="&amp;$G$2)</f>
        <v>0</v>
      </c>
      <c r="T4" s="519">
        <f>sumifs('Form responses'!AA2:AA53,'Form responses'!$C$2:$C53,"&gt;="&amp;$E$2,'Form responses'!$C$2:$C53,"&lt;="&amp;$G$2)</f>
        <v>1</v>
      </c>
      <c r="U4" s="519">
        <f>sumifs('Form responses'!AB2:AB53,'Form responses'!$C$2:$C53,"&gt;="&amp;$E$2,'Form responses'!$C$2:$C53,"&lt;="&amp;$G$2)</f>
        <v>0</v>
      </c>
      <c r="V4" s="519">
        <f>sumifs('Form responses'!AE2:AE53,'Form responses'!$C$2:$C53,"&gt;="&amp;$E$2,'Form responses'!$C$2:$C53,"&lt;="&amp;$G$2)</f>
        <v>0</v>
      </c>
      <c r="W4" s="519">
        <f>sumifs('Form responses'!AF2:AF53,'Form responses'!$C$2:$C53,"&gt;="&amp;$E$2,'Form responses'!$C$2:$C53,"&lt;="&amp;$G$2)</f>
        <v>0</v>
      </c>
      <c r="X4" s="519">
        <f>sumifs('Form responses'!AG2:AG53,'Form responses'!$C$2:$C53,"&gt;="&amp;$E$2,'Form responses'!$C$2:$C53,"&lt;="&amp;$G$2)</f>
        <v>0</v>
      </c>
      <c r="Y4" s="519">
        <f>sumifs('Form responses'!AH2:AH53,'Form responses'!$C$2:$C53,"&gt;="&amp;$E$2,'Form responses'!$C$2:$C53,"&lt;="&amp;$G$2)</f>
        <v>0</v>
      </c>
      <c r="Z4" s="519">
        <f>sumifs('Form responses'!AI2:AI53,'Form responses'!$C$2:$C53,"&gt;="&amp;$E$2,'Form responses'!$C$2:$C53,"&lt;="&amp;$G$2)</f>
        <v>29850</v>
      </c>
      <c r="AA4" s="519">
        <f>sumifs('Form responses'!AJ2:AJ53,'Form responses'!$C$2:$C53,"&gt;="&amp;$E$2,'Form responses'!$C$2:$C53,"&lt;="&amp;$G$2)</f>
        <v>29850</v>
      </c>
      <c r="AB4" s="519">
        <f>sumifs('Form responses'!AK2:AK53,'Form responses'!$C$2:$C53,"&gt;="&amp;$E$2,'Form responses'!$C$2:$C53,"&lt;="&amp;$G$2)</f>
        <v>600</v>
      </c>
      <c r="AC4" s="519">
        <f>sumifs('Form responses'!AL2:AL53,'Form responses'!$C$2:$C53,"&gt;="&amp;$E$2,'Form responses'!$C$2:$C53,"&lt;="&amp;$G$2)</f>
        <v>300</v>
      </c>
      <c r="AD4" s="519">
        <f>sumifs('Form responses'!AM2:AM53,'Form responses'!$C$2:$C53,"&gt;="&amp;$E$2,'Form responses'!$C$2:$C53,"&lt;="&amp;$G$2)</f>
        <v>300</v>
      </c>
      <c r="AE4" s="519">
        <f>sumifs('Form responses'!AN2:AN53,'Form responses'!$C$2:$C53,"&gt;="&amp;$E$2,'Form responses'!$C$2:$C53,"&lt;="&amp;$G$2)</f>
        <v>0</v>
      </c>
      <c r="AF4" s="519">
        <f>sumifs('Form responses'!AO2:AO53,'Form responses'!$C$2:$C53,"&gt;="&amp;$E$2,'Form responses'!$C$2:$C53,"&lt;="&amp;$G$2)</f>
        <v>50</v>
      </c>
      <c r="AG4" s="519">
        <f>sumifs('Form responses'!AP2:AP53,'Form responses'!$C$2:$C53,"&gt;="&amp;$E$2,'Form responses'!$C$2:$C53,"&lt;="&amp;$G$2)</f>
        <v>50</v>
      </c>
      <c r="AH4" s="519">
        <f>sumifs('Form responses'!AQ2:AQ53,'Form responses'!$C$2:$C53,"&gt;="&amp;$E$2,'Form responses'!$C$2:$C53,"&lt;="&amp;$G$2)</f>
        <v>9400</v>
      </c>
      <c r="AI4" s="519">
        <f>sumifs('Form responses'!AR2:AR53,'Form responses'!$C$2:$C53,"&gt;="&amp;$E$2,'Form responses'!$C$2:$C53,"&lt;="&amp;$G$2)</f>
        <v>1900</v>
      </c>
      <c r="AJ4" s="519">
        <f>sumifs('Form responses'!AS2:AS53,'Form responses'!$C$2:$C53,"&gt;="&amp;$E$2,'Form responses'!$C$2:$C53,"&lt;="&amp;$G$2)</f>
        <v>1900</v>
      </c>
      <c r="AK4" s="519">
        <f>sumifs('Form responses'!AT2:AT53,'Form responses'!$C$2:$C53,"&gt;="&amp;$E$2,'Form responses'!$C$2:$C53,"&lt;="&amp;$G$2)</f>
        <v>0</v>
      </c>
      <c r="AL4" s="519">
        <f>sumifs('Form responses'!AU2:AU53,'Form responses'!$C$2:$C53,"&gt;="&amp;$E$2,'Form responses'!$C$2:$C53,"&lt;="&amp;$G$2)</f>
        <v>0</v>
      </c>
      <c r="AM4" s="519">
        <f>sumifs('Form responses'!AV2:AV53,'Form responses'!$C$2:$C53,"&gt;="&amp;$E$2,'Form responses'!$C$2:$C53,"&lt;="&amp;$G$2)</f>
        <v>0</v>
      </c>
      <c r="AN4" s="519">
        <f>sumifs('Form responses'!AW2:AW53,'Form responses'!$C$2:$C53,"&gt;="&amp;$E$2,'Form responses'!$C$2:$C53,"&lt;="&amp;$G$2)</f>
        <v>0</v>
      </c>
      <c r="AO4" s="519">
        <f>sumifs('Form responses'!AX2:AX53,'Form responses'!$C$2:$C53,"&gt;="&amp;$E$2,'Form responses'!$C$2:$C53,"&lt;="&amp;$G$2)</f>
        <v>0</v>
      </c>
      <c r="AP4" s="519">
        <f>sumifs('Form responses'!AY2:AY53,'Form responses'!$C$2:$C53,"&gt;="&amp;$E$2,'Form responses'!$C$2:$C53,"&lt;="&amp;$G$2)</f>
        <v>0</v>
      </c>
      <c r="AQ4" s="519">
        <f>sumifs('Form responses'!BF2:BF53,'Form responses'!$C$2:$C53,"&gt;="&amp;$E$2,'Form responses'!$C$2:$C53,"&lt;="&amp;$G$2)</f>
        <v>376</v>
      </c>
      <c r="AR4" s="519">
        <f>sumifs('Form responses'!BH2:BH53,'Form responses'!$C$2:$C53,"&gt;="&amp;$E$2,'Form responses'!$C$2:$C53,"&lt;="&amp;$G$2)</f>
        <v>30</v>
      </c>
      <c r="AS4" s="519">
        <f>sumifs('Form responses'!BJ2:BJ53,'Form responses'!$C$2:$C53,"&gt;="&amp;$E$2,'Form responses'!$C$2:$C53,"&lt;="&amp;$G$2)</f>
        <v>45</v>
      </c>
      <c r="AT4" s="519">
        <f>sumifs('Form responses'!BL2:BL53,'Form responses'!$C$2:$C53,"&gt;="&amp;$E$2,'Form responses'!$C$2:$C53,"&lt;="&amp;$G$2)</f>
        <v>170</v>
      </c>
      <c r="AU4" s="519">
        <f>sumifs('Form responses'!BG2:BG53,'Form responses'!$C$2:$C53,"&gt;="&amp;$E$2,'Form responses'!$C$2:$C53,"&lt;="&amp;$G$2)</f>
        <v>292</v>
      </c>
      <c r="AV4" s="519">
        <f>sumifs('Form responses'!BI2:BI53,'Form responses'!$C$2:$C53,"&gt;="&amp;$E$2,'Form responses'!$C$2:$C53,"&lt;="&amp;$G$2)</f>
        <v>20</v>
      </c>
      <c r="AW4" s="519">
        <f>sumifs('Form responses'!BK2:BK53,'Form responses'!$C$2:$C53,"&gt;="&amp;$E$2,'Form responses'!$C$2:$C53,"&lt;="&amp;$G$2)</f>
        <v>35</v>
      </c>
      <c r="AX4" s="519">
        <f>sumifs('Form responses'!BM2:BM53,'Form responses'!$C$2:$C53,"&gt;="&amp;$E$2,'Form responses'!$C$2:$C53,"&lt;="&amp;$G$2)</f>
        <v>130</v>
      </c>
      <c r="AY4" s="519">
        <f>sumifs('Form responses'!BN2:BN53,'Form responses'!$C$2:$C53,"&gt;="&amp;$E$2,'Form responses'!$C$2:$C53,"&lt;="&amp;$G$2)</f>
        <v>176</v>
      </c>
      <c r="AZ4" s="519">
        <f>sumifs('Form responses'!BP2:BP53,'Form responses'!$C$2:$C53,"&gt;="&amp;$E$2,'Form responses'!$C$2:$C53,"&lt;="&amp;$G$2)</f>
        <v>0</v>
      </c>
      <c r="BA4" s="519">
        <f>sumifs('Form responses'!BR2:BR53,'Form responses'!$C$2:$C53,"&gt;="&amp;$E$2,'Form responses'!$C$2:$C53,"&lt;="&amp;$G$2)</f>
        <v>0</v>
      </c>
      <c r="BB4" s="519">
        <f>sumifs('Form responses'!CD2:CD53,'Form responses'!$C$2:$C53,"&gt;="&amp;$E$2,'Form responses'!$C$2:$C53,"&lt;="&amp;$G$2)</f>
        <v>0</v>
      </c>
      <c r="BC4" s="519">
        <f>sumifs('Form responses'!BO2:BO53,'Form responses'!$C$2:$C53,"&gt;="&amp;$E$2,'Form responses'!$C$2:$C53,"&lt;="&amp;$G$2)</f>
        <v>125</v>
      </c>
      <c r="BD4" s="519">
        <f>sumifs('Form responses'!BQ2:BQ53,'Form responses'!$C$2:$C53,"&gt;="&amp;$E$2,'Form responses'!$C$2:$C53,"&lt;="&amp;$G$2)</f>
        <v>0</v>
      </c>
      <c r="BE4" s="519">
        <f>sumifs('Form responses'!BS2:BS53,'Form responses'!$C$2:$C53,"&gt;="&amp;$E$2,'Form responses'!$C$2:$C53,"&lt;="&amp;$G$2)</f>
        <v>0</v>
      </c>
      <c r="BF4" s="519">
        <f>sumifs('Form responses'!CE2:CE53,'Form responses'!$C$2:$C53,"&gt;="&amp;$E$2,'Form responses'!$C$2:$C53,"&lt;="&amp;$G$2)</f>
        <v>0</v>
      </c>
      <c r="BG4" s="519">
        <f>sumifs('Form responses'!BC2:BC53,'Form responses'!$C$2:$C53,"&gt;="&amp;$E$2,'Form responses'!$C$2:$C53,"&lt;="&amp;$G$2)</f>
        <v>0</v>
      </c>
      <c r="BH4" s="519">
        <f>sumifs('Form responses'!BD2:BD53,'Form responses'!$C$2:$C53,"&gt;="&amp;$E$2,'Form responses'!$C$2:$C53,"&lt;="&amp;$G$2)</f>
        <v>24</v>
      </c>
      <c r="BI4" s="519">
        <f>sumifs('Form responses'!BZ2:BZ53,'Form responses'!$C$2:$C53,"&gt;="&amp;$E$2,'Form responses'!$C$2:$C53,"&lt;="&amp;$G$2)</f>
        <v>364</v>
      </c>
      <c r="BJ4" s="519">
        <f>sumifs('Form responses'!CB2:CB53,'Form responses'!$C$2:$C53,"&gt;="&amp;$E$2,'Form responses'!$C$2:$C53,"&lt;="&amp;$G$2)</f>
        <v>272</v>
      </c>
      <c r="BK4" s="519">
        <f>sumifs('Form responses'!CA2:CA53,'Form responses'!$C$2:$C53,"&gt;="&amp;$E$2,'Form responses'!$C$2:$C53,"&lt;="&amp;$G$2)</f>
        <v>270</v>
      </c>
      <c r="BL4" s="519">
        <f>sumifs('Form responses'!CC2:CC53,'Form responses'!$C$2:$C53,"&gt;="&amp;$E$2,'Form responses'!$C$2:$C53,"&lt;="&amp;$G$2)</f>
        <v>184</v>
      </c>
      <c r="BM4" s="519">
        <f>sumifs('Form responses'!CH2:CH53,'Form responses'!$C$2:$C53,"&gt;="&amp;$E$2,'Form responses'!$C$2:$C53,"&lt;="&amp;$G$2)</f>
        <v>0</v>
      </c>
      <c r="BN4" s="519">
        <f>sumifs('Form responses'!CI2:CI53,'Form responses'!$C$2:$C53,"&gt;="&amp;$E$2,'Form responses'!$C$2:$C53,"&lt;="&amp;$G$2)</f>
        <v>0</v>
      </c>
      <c r="BO4" s="519">
        <f>sumifs('Form responses'!CJ2:CJ53,'Form responses'!$C$2:$C53,"&gt;="&amp;$E$2,'Form responses'!$C$2:$C53,"&lt;="&amp;$G$2)</f>
        <v>0</v>
      </c>
      <c r="BP4" s="519">
        <f>sumifs('Form responses'!CK2:CK53,'Form responses'!$C$2:$C53,"&gt;="&amp;$E$2,'Form responses'!$C$2:$C53,"&lt;="&amp;$G$2)</f>
        <v>0</v>
      </c>
      <c r="BQ4" s="519">
        <f>sumifs('Form responses'!CL2:CL53,'Form responses'!$C$2:$C53,"&gt;="&amp;$E$2,'Form responses'!$C$2:$C53,"&lt;="&amp;$G$2)</f>
        <v>14</v>
      </c>
      <c r="BR4" s="519">
        <f>sumifs('Form responses'!CM2:CM53,'Form responses'!$C$2:$C53,"&gt;="&amp;$E$2,'Form responses'!$C$2:$C53,"&lt;="&amp;$G$2)</f>
        <v>7</v>
      </c>
      <c r="BS4" s="519">
        <f>sumifs('Form responses'!CN2:CN53,'Form responses'!$C$2:$C53,"&gt;="&amp;$E$2,'Form responses'!$C$2:$C53,"&lt;="&amp;$G$2)</f>
        <v>76</v>
      </c>
      <c r="BT4" s="519">
        <f>sumifs('Form responses'!CO2:CO53,'Form responses'!$C$2:$C53,"&gt;="&amp;$E$2,'Form responses'!$C$2:$C53,"&lt;="&amp;$G$2)</f>
        <v>43</v>
      </c>
      <c r="BU4" s="519">
        <f>sumifs('Form responses'!CP2:CP53,'Form responses'!$C$2:$C53,"&gt;="&amp;$E$2,'Form responses'!$C$2:$C53,"&lt;="&amp;$G$2)</f>
        <v>588</v>
      </c>
      <c r="BV4" s="519">
        <f>sumifs('Form responses'!CQ2:CQ53,'Form responses'!$C$2:$C53,"&gt;="&amp;$E$2,'Form responses'!$C$2:$C53,"&lt;="&amp;$G$2)</f>
        <v>312</v>
      </c>
      <c r="BW4" s="519">
        <f>sumifs('Form responses'!CR2:CR53,'Form responses'!$C$2:$C53,"&gt;="&amp;$E$2,'Form responses'!$C$2:$C53,"&lt;="&amp;$G$2)</f>
        <v>0</v>
      </c>
      <c r="BX4" s="519">
        <f>sumifs('Form responses'!CS2:CS53,'Form responses'!$C$2:$C53,"&gt;="&amp;$E$2,'Form responses'!$C$2:$C53,"&lt;="&amp;$G$2)</f>
        <v>0</v>
      </c>
      <c r="BY4" s="519">
        <f>sumifs('Form responses'!CT2:CT53,'Form responses'!$C$2:$C53,"&gt;="&amp;$E$2,'Form responses'!$C$2:$C53,"&lt;="&amp;$G$2)</f>
        <v>144</v>
      </c>
      <c r="BZ4" s="519">
        <f>sumifs('Form responses'!CU2:CU53,'Form responses'!$C$2:$C53,"&gt;="&amp;$E$2,'Form responses'!$C$2:$C53,"&lt;="&amp;$G$2)</f>
        <v>56</v>
      </c>
      <c r="CA4" s="519">
        <f>sumifs('Form responses'!DF2:DF53,'Form responses'!$C$2:$C53,"&gt;="&amp;$E$2,'Form responses'!$C$2:$C53,"&lt;="&amp;$G$2)</f>
        <v>0</v>
      </c>
      <c r="CB4" s="519">
        <f>sumifs('Form responses'!DG2:DG53,'Form responses'!$C$2:$C53,"&gt;="&amp;$E$2,'Form responses'!$C$2:$C53,"&lt;="&amp;$G$2)</f>
        <v>0</v>
      </c>
      <c r="CC4" s="519">
        <f>sumifs('Form responses'!BA2:BA53,'Form responses'!$C$2:$C53,"&gt;="&amp;$E$2,'Form responses'!$C$2:$C53,"&lt;="&amp;$G$2)</f>
        <v>0</v>
      </c>
      <c r="CD4" s="519">
        <f>sumifs('Form responses'!BB2:BB53,'Form responses'!$C$2:$C53,"&gt;="&amp;$E$2,'Form responses'!$C$2:$C53,"&lt;="&amp;$G$2)</f>
        <v>0</v>
      </c>
      <c r="CE4" s="519">
        <f>sumifs('Form responses'!DB2:DB53,'Form responses'!$C$2:$C53,"&gt;="&amp;$E$2,'Form responses'!$C$2:$C53,"&lt;="&amp;$G$2)</f>
        <v>776</v>
      </c>
      <c r="CF4" s="519">
        <f>sumifs('Form responses'!DC2:DC53,'Form responses'!$C$2:$C53,"&gt;="&amp;$E$2,'Form responses'!$C$2:$C53,"&lt;="&amp;$G$2)</f>
        <v>430</v>
      </c>
      <c r="CG4" s="519">
        <f>sumifs('Form responses'!DD2:DD53,'Form responses'!$C$2:$C53,"&gt;="&amp;$E$2,'Form responses'!$C$2:$C53,"&lt;="&amp;$G$2)</f>
        <v>13</v>
      </c>
      <c r="CH4" s="519">
        <f>sumifs('Form responses'!DE2:DE53,'Form responses'!$C$2:$C53,"&gt;="&amp;$E$2,'Form responses'!$C$2:$C53,"&lt;="&amp;$G$2)</f>
        <v>8</v>
      </c>
      <c r="CI4" s="519">
        <f>sumifs('Form responses'!DL2:DL53,'Form responses'!$C$2:$C53,"&gt;="&amp;$E$2,'Form responses'!$C$2:$C53,"&lt;="&amp;$G$2)</f>
        <v>6</v>
      </c>
      <c r="CJ4" s="519">
        <f>sumifs('Form responses'!DM2:DM53,'Form responses'!$C$2:$C53,"&gt;="&amp;$E$2,'Form responses'!$C$2:$C53,"&lt;="&amp;$G$2)</f>
        <v>2</v>
      </c>
      <c r="CK4" s="519">
        <f>sumifs('Form responses'!DN2:DN53,'Form responses'!$C$2:$C53,"&gt;="&amp;$E$2,'Form responses'!$C$2:$C53,"&lt;="&amp;$G$2)</f>
        <v>1</v>
      </c>
      <c r="CL4" s="519">
        <f>sumifs('Form responses'!DO2:DO53,'Form responses'!$C$2:$C53,"&gt;="&amp;$E$2,'Form responses'!$C$2:$C53,"&lt;="&amp;$G$2)</f>
        <v>1</v>
      </c>
      <c r="CM4" s="519">
        <f>sumifs('Form responses'!DP2:DP53,'Form responses'!$C$2:$C53,"&gt;="&amp;$E$2,'Form responses'!$C$2:$C53,"&lt;="&amp;$G$2)</f>
        <v>3</v>
      </c>
      <c r="CN4" s="519">
        <f>sumifs('Form responses'!DQ2:DQ53,'Form responses'!$C$2:$C53,"&gt;="&amp;$E$2,'Form responses'!$C$2:$C53,"&lt;="&amp;$G$2)</f>
        <v>2</v>
      </c>
      <c r="CO4" s="519">
        <f>sumifs('Form responses'!DR2:DR53,'Form responses'!$C$2:$C53,"&gt;="&amp;$E$2,'Form responses'!$C$2:$C53,"&lt;="&amp;$G$2)</f>
        <v>25</v>
      </c>
      <c r="CP4" s="519">
        <f>sumifs('Form responses'!DS2:DS53,'Form responses'!$C$2:$C53,"&gt;="&amp;$E$2,'Form responses'!$C$2:$C53,"&lt;="&amp;$G$2)</f>
        <v>28</v>
      </c>
      <c r="CQ4" s="519">
        <f>sumifs('Form responses'!DT2:DT53,'Form responses'!$C$2:$C53,"&gt;="&amp;$E$2,'Form responses'!$C$2:$C53,"&lt;="&amp;$G$2)</f>
        <v>111</v>
      </c>
      <c r="CR4" s="519">
        <f>sumifs('Form responses'!DU2:DU53,'Form responses'!$C$2:$C53,"&gt;="&amp;$E$2,'Form responses'!$C$2:$C53,"&lt;="&amp;$G$2)</f>
        <v>103</v>
      </c>
      <c r="CS4" s="519">
        <f>sumifs('Form responses'!DV2:DV53,'Form responses'!$C$2:$C53,"&gt;="&amp;$E$2,'Form responses'!$C$2:$C53,"&lt;="&amp;$G$2)</f>
        <v>0</v>
      </c>
      <c r="CT4" s="519">
        <f>sumifs('Form responses'!DW2:DW53,'Form responses'!$C$2:$C53,"&gt;="&amp;$E$2,'Form responses'!$C$2:$C53,"&lt;="&amp;$G$2)</f>
        <v>0</v>
      </c>
      <c r="CU4" s="519">
        <f>sumifs('Form responses'!DX2:DX53,'Form responses'!$C$2:$C53,"&gt;="&amp;$E$2,'Form responses'!$C$2:$C53,"&lt;="&amp;$G$2)</f>
        <v>0</v>
      </c>
      <c r="CV4" s="519">
        <f>sumifs('Form responses'!DY2:DY53,'Form responses'!$C$2:$C53,"&gt;="&amp;$E$2,'Form responses'!$C$2:$C53,"&lt;="&amp;$G$2)</f>
        <v>15</v>
      </c>
      <c r="CW4" s="519">
        <f>sumifs('Form responses'!EJ2:EJ53,'Form responses'!$C$2:$C53,"&gt;="&amp;$E$2,'Form responses'!$C$2:$C53,"&lt;="&amp;$G$2)</f>
        <v>0</v>
      </c>
      <c r="CX4" s="519">
        <f>sumifs('Form responses'!EK2:EK53,'Form responses'!$C$2:$C53,"&gt;="&amp;$E$2,'Form responses'!$C$2:$C53,"&lt;="&amp;$G$2)</f>
        <v>0</v>
      </c>
      <c r="CY4" s="519">
        <f>sumifs('Form responses'!EN2:EN53,'Form responses'!$C$2:$C53,"&gt;="&amp;$E$2,'Form responses'!$C$2:$C53,"&lt;="&amp;$G$2)</f>
        <v>0</v>
      </c>
      <c r="CZ4" s="519">
        <f>sumifs('Form responses'!EO2:EO53,'Form responses'!$C$2:$C53,"&gt;="&amp;$E$2,'Form responses'!$C$2:$C53,"&lt;="&amp;$G$2)</f>
        <v>0</v>
      </c>
      <c r="DA4" s="519">
        <f>sumifs('Form responses'!EF2:EF53,'Form responses'!$C$2:$C53,"&gt;="&amp;$E$2,'Form responses'!$C$2:$C53,"&lt;="&amp;$G$2)</f>
        <v>66</v>
      </c>
      <c r="DB4" s="519">
        <f>sumifs('Form responses'!EG2:EG53,'Form responses'!$C$2:$C53,"&gt;="&amp;$E$2,'Form responses'!$C$2:$C53,"&lt;="&amp;$G$2)</f>
        <v>60</v>
      </c>
      <c r="DC4" s="519">
        <f>sumifs('Form responses'!EH2:EH53,'Form responses'!$C$2:$C53,"&gt;="&amp;$E$2,'Form responses'!$C$2:$C53,"&lt;="&amp;$G$2)</f>
        <v>21</v>
      </c>
      <c r="DD4" s="519">
        <f>sumifs('Form responses'!EI2:EI53,'Form responses'!$C$2:$C53,"&gt;="&amp;$E$2,'Form responses'!$C$2:$C53,"&lt;="&amp;$G$2)</f>
        <v>20</v>
      </c>
      <c r="DE4" s="519">
        <f>sumifs('Form responses'!FX2:FX53,'Form responses'!$C$2:$C53,"&gt;="&amp;$E$2,'Form responses'!$C$2:$C53,"&lt;="&amp;$G$2)</f>
        <v>4</v>
      </c>
      <c r="DF4" s="519">
        <f>sumifs('Form responses'!FY2:FY53,'Form responses'!$C$2:$C53,"&gt;="&amp;$E$2,'Form responses'!$C$2:$C53,"&lt;="&amp;$G$2)</f>
        <v>0</v>
      </c>
      <c r="DG4" s="519">
        <f>sumifs('Form responses'!FZ2:FZ53,'Form responses'!$C$2:$C53,"&gt;="&amp;$E$2,'Form responses'!$C$2:$C53,"&lt;="&amp;$G$2)</f>
        <v>133</v>
      </c>
      <c r="DH4" s="519">
        <f>sumifs('Form responses'!GA2:GA53,'Form responses'!$C$2:$C53,"&gt;="&amp;$E$2,'Form responses'!$C$2:$C53,"&lt;="&amp;$G$2)</f>
        <v>0</v>
      </c>
      <c r="DI4" s="519">
        <f>sumifs('Form responses'!GB2:GB53,'Form responses'!$C$2:$C53,"&gt;="&amp;$E$2,'Form responses'!$C$2:$C53,"&lt;="&amp;$G$2)</f>
        <v>0</v>
      </c>
      <c r="DJ4" s="519">
        <f>sumifs('Form responses'!GC2:GC53,'Form responses'!$C$2:$C53,"&gt;="&amp;$E$2,'Form responses'!$C$2:$C53,"&lt;="&amp;$G$2)</f>
        <v>0</v>
      </c>
      <c r="DK4" s="519">
        <f>sumifs('Form responses'!GL2:GL53,'Form responses'!$C$2:$C53,"&gt;="&amp;$E$2,'Form responses'!$C$2:$C53,"&lt;="&amp;$G$2)</f>
        <v>0</v>
      </c>
      <c r="DL4" s="519">
        <f>sumifs('Form responses'!AC2:AC53,'Form responses'!$C$2:$C53,"&gt;="&amp;$E$2,'Form responses'!$C$2:$C53,"&lt;="&amp;$G$2)</f>
        <v>0</v>
      </c>
      <c r="DM4" s="519">
        <f>sumifs('Form responses'!AD2:AD53,'Form responses'!$C$2:$C53,"&gt;="&amp;$E$2,'Form responses'!$C$2:$C53,"&lt;="&amp;$G$2)</f>
        <v>0</v>
      </c>
      <c r="DN4" s="519">
        <f>sumifs('Form responses'!GH2:GH53,'Form responses'!$C$2:$C53,"&gt;="&amp;$E$2,'Form responses'!$C$2:$C53,"&lt;="&amp;$G$2)</f>
        <v>0</v>
      </c>
      <c r="DO4" s="519">
        <f>sumifs('Form responses'!GI2:GI53,'Form responses'!$C$2:$C53,"&gt;="&amp;$E$2,'Form responses'!$C$2:$C53,"&lt;="&amp;$G$2)</f>
        <v>0</v>
      </c>
      <c r="DP4" s="519">
        <f>sumifs('Form responses'!FH2:FH53,'Form responses'!$C$2:$C53,"&gt;="&amp;$E$2,'Form responses'!$C$2:$C53,"&lt;="&amp;$G$2)</f>
        <v>85</v>
      </c>
      <c r="DQ4" s="519">
        <f>sumifs('Form responses'!FI2:FI53,'Form responses'!$C$2:$C53,"&gt;="&amp;$E$2,'Form responses'!$C$2:$C53,"&lt;="&amp;$G$2)</f>
        <v>0</v>
      </c>
      <c r="DR4" s="519">
        <f>sumifs('Form responses'!FJ2:FJ53,'Form responses'!$C$2:$C53,"&gt;="&amp;$E$2,'Form responses'!$C$2:$C53,"&lt;="&amp;$G$2)</f>
        <v>0</v>
      </c>
      <c r="DS4" s="519">
        <f>sumifs('Form responses'!FK2:FK53,'Form responses'!$C$2:$C53,"&gt;="&amp;$E$2,'Form responses'!$C$2:$C53,"&lt;="&amp;$G$2)</f>
        <v>0</v>
      </c>
      <c r="DT4" s="519">
        <f>sumifs('Form responses'!FL2:FL53,'Form responses'!$C$2:$C53,"&gt;="&amp;$E$2,'Form responses'!$C$2:$C53,"&lt;="&amp;$G$2)</f>
        <v>0</v>
      </c>
      <c r="DU4" s="519">
        <f>sumifs('Form responses'!FM2:FM53,'Form responses'!$C$2:$C53,"&gt;="&amp;$E$2,'Form responses'!$C$2:$C53,"&lt;="&amp;$G$2)</f>
        <v>0</v>
      </c>
      <c r="DV4" s="519">
        <f>sumifs('Form responses'!FN2:FN53,'Form responses'!$C$2:$C53,"&gt;="&amp;$E$2,'Form responses'!$C$2:$C53,"&lt;="&amp;$G$2)</f>
        <v>0</v>
      </c>
      <c r="DW4" s="519">
        <f>sumifs('Form responses'!FT2:FT53,'Form responses'!$C$2:$C53,"&gt;="&amp;$E$2,'Form responses'!$C$2:$C53,"&lt;="&amp;$G$2)</f>
        <v>0</v>
      </c>
      <c r="DX4" s="519">
        <f>sumifs('Form responses'!FV2:FV53,'Form responses'!$C$2:$C53,"&gt;="&amp;$E$2,'Form responses'!$C$2:$C53,"&lt;="&amp;$G$2)</f>
        <v>0</v>
      </c>
      <c r="DY4" s="519">
        <f>sumifs('Form responses'!FR2:FR53,'Form responses'!$C$2:$C53,"&gt;="&amp;$E$2,'Form responses'!$C$2:$C53,"&lt;="&amp;$G$2)</f>
        <v>45</v>
      </c>
      <c r="DZ4" s="519">
        <f>sumifs('Form responses'!FS2:FS53,'Form responses'!$C$2:$C53,"&gt;="&amp;$E$2,'Form responses'!$C$2:$C53,"&lt;="&amp;$G$2)</f>
        <v>0</v>
      </c>
      <c r="EA4" s="519">
        <f>sumifs('Form responses'!ER2:ER53,'Form responses'!$C$2:$C53,"&gt;="&amp;$E$2,'Form responses'!$C$2:$C53,"&lt;="&amp;$G$2)</f>
        <v>445</v>
      </c>
      <c r="EB4" s="519">
        <f>sumifs('Form responses'!ES2:ES53,'Form responses'!$C$2:$C53,"&gt;="&amp;$E$2,'Form responses'!$C$2:$C53,"&lt;="&amp;$G$2)</f>
        <v>0</v>
      </c>
      <c r="EC4" s="519">
        <f>sumifs('Form responses'!ET2:ET53,'Form responses'!$C$2:$C53,"&gt;="&amp;$E$2,'Form responses'!$C$2:$C53,"&lt;="&amp;$G$2)</f>
        <v>0</v>
      </c>
      <c r="ED4" s="519">
        <f>sumifs('Form responses'!EU2:EU53,'Form responses'!$C$2:$C53,"&gt;="&amp;$E$2,'Form responses'!$C$2:$C53,"&lt;="&amp;$G$2)</f>
        <v>195</v>
      </c>
      <c r="EE4" s="519">
        <f>sumifs('Form responses'!EV2:EV53,'Form responses'!$C$2:$C53,"&gt;="&amp;$E$2,'Form responses'!$C$2:$C53,"&lt;="&amp;$G$2)</f>
        <v>180</v>
      </c>
      <c r="EF4" s="519">
        <f>sumifs('Form responses'!EW2:EW53,'Form responses'!$C$2:$C53,"&gt;="&amp;$E$2,'Form responses'!$C$2:$C53,"&lt;="&amp;$G$2)</f>
        <v>0</v>
      </c>
      <c r="EG4" s="519">
        <f>sumifs('Form responses'!EX2:EX53,'Form responses'!$C$2:$C53,"&gt;="&amp;$E$2,'Form responses'!$C$2:$C53,"&lt;="&amp;$G$2)</f>
        <v>0</v>
      </c>
      <c r="EH4" s="519">
        <f>sumifs('Form responses'!FD2:FD53,'Form responses'!$C$2:$C53,"&gt;="&amp;$E$2,'Form responses'!$C$2:$C53,"&lt;="&amp;$G$2)</f>
        <v>0</v>
      </c>
      <c r="EI4" s="519">
        <f>sumifs('Form responses'!FF2:FF53,'Form responses'!$C$2:$C53,"&gt;="&amp;$E$2,'Form responses'!$C$2:$C53,"&lt;="&amp;$G$2)</f>
        <v>0</v>
      </c>
      <c r="EJ4" s="519">
        <f>sumifs('Form responses'!FB2:FB53,'Form responses'!$C$2:$C53,"&gt;="&amp;$E$2,'Form responses'!$C$2:$C53,"&lt;="&amp;$G$2)</f>
        <v>555</v>
      </c>
      <c r="EK4" s="519">
        <f>sumifs('Form responses'!FC2:FC53,'Form responses'!$C$2:$C53,"&gt;="&amp;$E$2,'Form responses'!$C$2:$C53,"&lt;="&amp;$G$2)</f>
        <v>210</v>
      </c>
      <c r="EL4" s="520"/>
    </row>
    <row r="5">
      <c r="A5" s="518" t="s">
        <v>946</v>
      </c>
      <c r="B5" s="521">
        <f>sumifs('Form responses'!I2:I53,'Form responses'!$C$2:$C53,"&lt;="&amp;$G$2,'Form responses'!$C$2:$C53,"&gt;="&amp;Date(YEAR(DATE(YEAR($E$2),MONTH($E$2)+(-3),1)),4,1))</f>
        <v>1</v>
      </c>
      <c r="C5" s="521">
        <f>sumifs('Form responses'!J2:J53,'Form responses'!$C$2:$C53,"&lt;="&amp;$G$2,'Form responses'!$C$2:$C53,"&gt;="&amp;Date(YEAR(DATE(YEAR($E$2),MONTH($E$2)+(-3),1)),4,1))</f>
        <v>1936</v>
      </c>
      <c r="D5" s="521">
        <f>sumifs('Form responses'!K2:K53,'Form responses'!$C$2:$C53,"&lt;="&amp;$G$2,'Form responses'!$C$2:$C53,"&gt;="&amp;Date(YEAR(DATE(YEAR($E$2),MONTH($E$2)+(-3),1)),4,1))</f>
        <v>17</v>
      </c>
      <c r="E5" s="521">
        <f>sumifs('Form responses'!L2:L53,'Form responses'!$C$2:$C53,"&lt;="&amp;$G$2,'Form responses'!$C$2:$C53,"&gt;="&amp;Date(YEAR(DATE(YEAR($E$2),MONTH($E$2)+(-3),1)),4,1))</f>
        <v>32</v>
      </c>
      <c r="F5" s="521">
        <f>sumifs('Form responses'!M2:M53,'Form responses'!$C$2:$C53,"&lt;="&amp;$G$2,'Form responses'!$C$2:$C53,"&gt;="&amp;Date(YEAR(DATE(YEAR($E$2),MONTH($E$2)+(-3),1)),4,1))</f>
        <v>0</v>
      </c>
      <c r="G5" s="521">
        <f>sumifs('Form responses'!N2:N53,'Form responses'!$C$2:$C53,"&lt;="&amp;$G$2,'Form responses'!$C$2:$C53,"&gt;="&amp;Date(YEAR(DATE(YEAR($E$2),MONTH($E$2)+(-3),1)),4,1))</f>
        <v>757</v>
      </c>
      <c r="H5" s="521">
        <f>sumifs('Form responses'!O2:O53,'Form responses'!$C$2:$C53,"&lt;="&amp;$G$2,'Form responses'!$C$2:$C53,"&gt;="&amp;Date(YEAR(DATE(YEAR($E$2),MONTH($E$2)+(-3),1)),4,1))</f>
        <v>8</v>
      </c>
      <c r="I5" s="521">
        <f>sumifs('Form responses'!P2:P53,'Form responses'!$C$2:$C53,"&lt;="&amp;$G$2,'Form responses'!$C$2:$C53,"&gt;="&amp;Date(YEAR(DATE(YEAR($E$2),MONTH($E$2)+(-3),1)),4,1))</f>
        <v>5</v>
      </c>
      <c r="J5" s="521">
        <f>sumifs('Form responses'!Q2:Q53,'Form responses'!$C$2:$C53,"&lt;="&amp;$G$2,'Form responses'!$C$2:$C53,"&gt;="&amp;Date(YEAR(DATE(YEAR($E$2),MONTH($E$2)+(-3),1)),4,1))</f>
        <v>5</v>
      </c>
      <c r="K5" s="521">
        <f>sumifs('Form responses'!R2:R53,'Form responses'!$C$2:$C53,"&lt;="&amp;$G$2,'Form responses'!$C$2:$C53,"&gt;="&amp;Date(YEAR(DATE(YEAR($E$2),MONTH($E$2)+(-3),1)),4,1))</f>
        <v>282</v>
      </c>
      <c r="L5" s="521">
        <f>sumifs('Form responses'!S2:S53,'Form responses'!$C$2:$C53,"&lt;="&amp;$G$2,'Form responses'!$C$2:$C53,"&gt;="&amp;Date(YEAR(DATE(YEAR($E$2),MONTH($E$2)+(-3),1)),4,1))</f>
        <v>182</v>
      </c>
      <c r="M5" s="521">
        <f>sumifs('Form responses'!T2:T53,'Form responses'!$C$2:$C53,"&lt;="&amp;$G$2,'Form responses'!$C$2:$C53,"&gt;="&amp;Date(YEAR(DATE(YEAR($E$2),MONTH($E$2)+(-3),1)),4,1))</f>
        <v>304</v>
      </c>
      <c r="N5" s="521">
        <f>sumifs('Form responses'!U2:U53,'Form responses'!$C$2:$C53,"&lt;="&amp;$G$2,'Form responses'!$C$2:$C53,"&gt;="&amp;Date(YEAR(DATE(YEAR($E$2),MONTH($E$2)+(-3),1)),4,1))</f>
        <v>0</v>
      </c>
      <c r="O5" s="521">
        <f>sumifs('Form responses'!V2:V53,'Form responses'!$C$2:$C53,"&lt;="&amp;$G$2,'Form responses'!$C$2:$C53,"&gt;="&amp;Date(YEAR(DATE(YEAR($E$2),MONTH($E$2)+(-3),1)),4,1))</f>
        <v>0</v>
      </c>
      <c r="P5" s="521">
        <f>sumifs('Form responses'!W2:W53,'Form responses'!$C$2:$C53,"&lt;="&amp;$G$2,'Form responses'!$C$2:$C53,"&gt;="&amp;Date(YEAR(DATE(YEAR($E$2),MONTH($E$2)+(-3),1)),4,1))</f>
        <v>0</v>
      </c>
      <c r="Q5" s="521">
        <f>sumifs('Form responses'!X2:X53,'Form responses'!$C$2:$C53,"&lt;="&amp;$G$2,'Form responses'!$C$2:$C53,"&gt;="&amp;Date(YEAR(DATE(YEAR($E$2),MONTH($E$2)+(-3),1)),4,1))</f>
        <v>0</v>
      </c>
      <c r="R5" s="521">
        <f>sumifs('Form responses'!Y2:Y53,'Form responses'!$C$2:$C53,"&lt;="&amp;$G$2,'Form responses'!$C$2:$C53,"&gt;="&amp;Date(YEAR(DATE(YEAR($E$2),MONTH($E$2)+(-3),1)),4,1))</f>
        <v>34</v>
      </c>
      <c r="S5" s="521">
        <f>sumifs('Form responses'!Z2:Z53,'Form responses'!$C$2:$C53,"&lt;="&amp;$G$2,'Form responses'!$C$2:$C53,"&gt;="&amp;Date(YEAR(DATE(YEAR($E$2),MONTH($E$2)+(-3),1)),4,1))</f>
        <v>0</v>
      </c>
      <c r="T5" s="521">
        <f>sumifs('Form responses'!AA2:AA53,'Form responses'!$C$2:$C53,"&lt;="&amp;$G$2,'Form responses'!$C$2:$C53,"&gt;="&amp;Date(YEAR(DATE(YEAR($E$2),MONTH($E$2)+(-3),1)),4,1))</f>
        <v>1</v>
      </c>
      <c r="U5" s="521">
        <f>sumifs('Form responses'!AB2:AB53,'Form responses'!$C$2:$C53,"&lt;="&amp;$G$2,'Form responses'!$C$2:$C53,"&gt;="&amp;Date(YEAR(DATE(YEAR($E$2),MONTH($E$2)+(-3),1)),4,1))</f>
        <v>0</v>
      </c>
      <c r="V5" s="521">
        <f>sumifs('Form responses'!AE2:AE53,'Form responses'!$C$2:$C53,"&lt;="&amp;$G$2,'Form responses'!$C$2:$C53,"&gt;="&amp;Date(YEAR(DATE(YEAR($E$2),MONTH($E$2)+(-3),1)),4,1))</f>
        <v>0</v>
      </c>
      <c r="W5" s="521">
        <f>sumifs('Form responses'!AF2:AF53,'Form responses'!$C$2:$C53,"&lt;="&amp;$G$2,'Form responses'!$C$2:$C53,"&gt;="&amp;Date(YEAR(DATE(YEAR($E$2),MONTH($E$2)+(-3),1)),4,1))</f>
        <v>0</v>
      </c>
      <c r="X5" s="521">
        <f>sumifs('Form responses'!AG2:AG53,'Form responses'!$C$2:$C53,"&lt;="&amp;$G$2,'Form responses'!$C$2:$C53,"&gt;="&amp;Date(YEAR(DATE(YEAR($E$2),MONTH($E$2)+(-3),1)),4,1))</f>
        <v>0</v>
      </c>
      <c r="Y5" s="521">
        <f>sumifs('Form responses'!AH2:AH53,'Form responses'!$C$2:$C53,"&lt;="&amp;$G$2,'Form responses'!$C$2:$C53,"&gt;="&amp;Date(YEAR(DATE(YEAR($E$2),MONTH($E$2)+(-3),1)),4,1))</f>
        <v>0</v>
      </c>
      <c r="Z5" s="521">
        <f>sumifs('Form responses'!AI2:AI53,'Form responses'!$C$2:$C53,"&lt;="&amp;$G$2,'Form responses'!$C$2:$C53,"&gt;="&amp;Date(YEAR(DATE(YEAR($E$2),MONTH($E$2)+(-3),1)),4,1))</f>
        <v>29850</v>
      </c>
      <c r="AA5" s="521">
        <f>sumifs('Form responses'!AJ2:AJ53,'Form responses'!$C$2:$C53,"&lt;="&amp;$G$2,'Form responses'!$C$2:$C53,"&gt;="&amp;Date(YEAR(DATE(YEAR($E$2),MONTH($E$2)+(-3),1)),4,1))</f>
        <v>29850</v>
      </c>
      <c r="AB5" s="521">
        <f>sumifs('Form responses'!AK2:AK53,'Form responses'!$C$2:$C53,"&lt;="&amp;$G$2,'Form responses'!$C$2:$C53,"&gt;="&amp;Date(YEAR(DATE(YEAR($E$2),MONTH($E$2)+(-3),1)),4,1))</f>
        <v>600</v>
      </c>
      <c r="AC5" s="521">
        <f>sumifs('Form responses'!AL2:AL53,'Form responses'!$C$2:$C53,"&lt;="&amp;$G$2,'Form responses'!$C$2:$C53,"&gt;="&amp;Date(YEAR(DATE(YEAR($E$2),MONTH($E$2)+(-3),1)),4,1))</f>
        <v>300</v>
      </c>
      <c r="AD5" s="521">
        <f>sumifs('Form responses'!AM2:AM53,'Form responses'!$C$2:$C53,"&lt;="&amp;$G$2,'Form responses'!$C$2:$C53,"&gt;="&amp;Date(YEAR(DATE(YEAR($E$2),MONTH($E$2)+(-3),1)),4,1))</f>
        <v>300</v>
      </c>
      <c r="AE5" s="521">
        <f>sumifs('Form responses'!AN2:AN53,'Form responses'!$C$2:$C53,"&lt;="&amp;$G$2,'Form responses'!$C$2:$C53,"&gt;="&amp;Date(YEAR(DATE(YEAR($E$2),MONTH($E$2)+(-3),1)),4,1))</f>
        <v>0</v>
      </c>
      <c r="AF5" s="521">
        <f>sumifs('Form responses'!AO2:AO53,'Form responses'!$C$2:$C53,"&lt;="&amp;$G$2,'Form responses'!$C$2:$C53,"&gt;="&amp;Date(YEAR(DATE(YEAR($E$2),MONTH($E$2)+(-3),1)),4,1))</f>
        <v>50</v>
      </c>
      <c r="AG5" s="521">
        <f>sumifs('Form responses'!AP2:AP53,'Form responses'!$C$2:$C53,"&lt;="&amp;$G$2,'Form responses'!$C$2:$C53,"&gt;="&amp;Date(YEAR(DATE(YEAR($E$2),MONTH($E$2)+(-3),1)),4,1))</f>
        <v>50</v>
      </c>
      <c r="AH5" s="521">
        <f>sumifs('Form responses'!AQ2:AQ53,'Form responses'!$C$2:$C53,"&lt;="&amp;$G$2,'Form responses'!$C$2:$C53,"&gt;="&amp;Date(YEAR(DATE(YEAR($E$2),MONTH($E$2)+(-3),1)),4,1))</f>
        <v>9400</v>
      </c>
      <c r="AI5" s="521">
        <f>sumifs('Form responses'!AR2:AR53,'Form responses'!$C$2:$C53,"&lt;="&amp;$G$2,'Form responses'!$C$2:$C53,"&gt;="&amp;Date(YEAR(DATE(YEAR($E$2),MONTH($E$2)+(-3),1)),4,1))</f>
        <v>1900</v>
      </c>
      <c r="AJ5" s="521">
        <f>sumifs('Form responses'!AS2:AS53,'Form responses'!$C$2:$C53,"&lt;="&amp;$G$2,'Form responses'!$C$2:$C53,"&gt;="&amp;Date(YEAR(DATE(YEAR($E$2),MONTH($E$2)+(-3),1)),4,1))</f>
        <v>1900</v>
      </c>
      <c r="AK5" s="521">
        <f>sumifs('Form responses'!AT2:AT53,'Form responses'!$C$2:$C53,"&lt;="&amp;$G$2,'Form responses'!$C$2:$C53,"&gt;="&amp;Date(YEAR(DATE(YEAR($E$2),MONTH($E$2)+(-3),1)),4,1))</f>
        <v>0</v>
      </c>
      <c r="AL5" s="521">
        <f>sumifs('Form responses'!AU2:AU53,'Form responses'!$C$2:$C53,"&lt;="&amp;$G$2,'Form responses'!$C$2:$C53,"&gt;="&amp;Date(YEAR(DATE(YEAR($E$2),MONTH($E$2)+(-3),1)),4,1))</f>
        <v>0</v>
      </c>
      <c r="AM5" s="521">
        <f>sumifs('Form responses'!AV2:AV53,'Form responses'!$C$2:$C53,"&lt;="&amp;$G$2,'Form responses'!$C$2:$C53,"&gt;="&amp;Date(YEAR(DATE(YEAR($E$2),MONTH($E$2)+(-3),1)),4,1))</f>
        <v>0</v>
      </c>
      <c r="AN5" s="521">
        <f>sumifs('Form responses'!AW2:AW53,'Form responses'!$C$2:$C53,"&lt;="&amp;$G$2,'Form responses'!$C$2:$C53,"&gt;="&amp;Date(YEAR(DATE(YEAR($E$2),MONTH($E$2)+(-3),1)),4,1))</f>
        <v>0</v>
      </c>
      <c r="AO5" s="521">
        <f>sumifs('Form responses'!AX2:AX53,'Form responses'!$C$2:$C53,"&lt;="&amp;$G$2,'Form responses'!$C$2:$C53,"&gt;="&amp;Date(YEAR(DATE(YEAR($E$2),MONTH($E$2)+(-3),1)),4,1))</f>
        <v>0</v>
      </c>
      <c r="AP5" s="521">
        <f>sumifs('Form responses'!AY2:AY53,'Form responses'!$C$2:$C53,"&lt;="&amp;$G$2,'Form responses'!$C$2:$C53,"&gt;="&amp;Date(YEAR(DATE(YEAR($E$2),MONTH($E$2)+(-3),1)),4,1))</f>
        <v>0</v>
      </c>
      <c r="AQ5" s="521">
        <f>sumifs('Form responses'!BF2:BF53,'Form responses'!$C$2:$C53,"&lt;="&amp;$G$2,'Form responses'!$C$2:$C53,"&gt;="&amp;Date(YEAR(DATE(YEAR($E$2),MONTH($E$2)+(-3),1)),4,1))</f>
        <v>376</v>
      </c>
      <c r="AR5" s="521">
        <f>sumifs('Form responses'!BH2:BH53,'Form responses'!$C$2:$C53,"&lt;="&amp;$G$2,'Form responses'!$C$2:$C53,"&gt;="&amp;Date(YEAR(DATE(YEAR($E$2),MONTH($E$2)+(-3),1)),4,1))</f>
        <v>30</v>
      </c>
      <c r="AS5" s="521">
        <f>sumifs('Form responses'!BJ2:BJ53,'Form responses'!$C$2:$C53,"&lt;="&amp;$G$2,'Form responses'!$C$2:$C53,"&gt;="&amp;Date(YEAR(DATE(YEAR($E$2),MONTH($E$2)+(-3),1)),4,1))</f>
        <v>45</v>
      </c>
      <c r="AT5" s="521">
        <f>sumifs('Form responses'!BL2:BL53,'Form responses'!$C$2:$C53,"&lt;="&amp;$G$2,'Form responses'!$C$2:$C53,"&gt;="&amp;Date(YEAR(DATE(YEAR($E$2),MONTH($E$2)+(-3),1)),4,1))</f>
        <v>170</v>
      </c>
      <c r="AU5" s="521">
        <f>sumifs('Form responses'!BG2:BG53,'Form responses'!$C$2:$C53,"&lt;="&amp;$G$2,'Form responses'!$C$2:$C53,"&gt;="&amp;Date(YEAR(DATE(YEAR($E$2),MONTH($E$2)+(-3),1)),4,1))</f>
        <v>292</v>
      </c>
      <c r="AV5" s="521">
        <f>sumifs('Form responses'!BI2:BI53,'Form responses'!$C$2:$C53,"&lt;="&amp;$G$2,'Form responses'!$C$2:$C53,"&gt;="&amp;Date(YEAR(DATE(YEAR($E$2),MONTH($E$2)+(-3),1)),4,1))</f>
        <v>20</v>
      </c>
      <c r="AW5" s="521">
        <f>sumifs('Form responses'!BK2:BK53,'Form responses'!$C$2:$C53,"&lt;="&amp;$G$2,'Form responses'!$C$2:$C53,"&gt;="&amp;Date(YEAR(DATE(YEAR($E$2),MONTH($E$2)+(-3),1)),4,1))</f>
        <v>35</v>
      </c>
      <c r="AX5" s="521">
        <f>sumifs('Form responses'!BM2:BM53,'Form responses'!$C$2:$C53,"&lt;="&amp;$G$2,'Form responses'!$C$2:$C53,"&gt;="&amp;Date(YEAR(DATE(YEAR($E$2),MONTH($E$2)+(-3),1)),4,1))</f>
        <v>130</v>
      </c>
      <c r="AY5" s="521">
        <f>sumifs('Form responses'!BN2:BN53,'Form responses'!$C$2:$C53,"&lt;="&amp;$G$2,'Form responses'!$C$2:$C53,"&gt;="&amp;Date(YEAR(DATE(YEAR($E$2),MONTH($E$2)+(-3),1)),4,1))</f>
        <v>176</v>
      </c>
      <c r="AZ5" s="521">
        <f>sumifs('Form responses'!BP2:BP53,'Form responses'!$C$2:$C53,"&lt;="&amp;$G$2,'Form responses'!$C$2:$C53,"&gt;="&amp;Date(YEAR(DATE(YEAR($E$2),MONTH($E$2)+(-3),1)),4,1))</f>
        <v>0</v>
      </c>
      <c r="BA5" s="521">
        <f>sumifs('Form responses'!BR2:BR53,'Form responses'!$C$2:$C53,"&lt;="&amp;$G$2,'Form responses'!$C$2:$C53,"&gt;="&amp;Date(YEAR(DATE(YEAR($E$2),MONTH($E$2)+(-3),1)),4,1))</f>
        <v>0</v>
      </c>
      <c r="BB5" s="521">
        <f>sumifs('Form responses'!CD2:CD53,'Form responses'!$C$2:$C53,"&lt;="&amp;$G$2,'Form responses'!$C$2:$C53,"&gt;="&amp;Date(YEAR(DATE(YEAR($E$2),MONTH($E$2)+(-3),1)),4,1))</f>
        <v>0</v>
      </c>
      <c r="BC5" s="521">
        <f>sumifs('Form responses'!BO2:BO53,'Form responses'!$C$2:$C53,"&lt;="&amp;$G$2,'Form responses'!$C$2:$C53,"&gt;="&amp;Date(YEAR(DATE(YEAR($E$2),MONTH($E$2)+(-3),1)),4,1))</f>
        <v>125</v>
      </c>
      <c r="BD5" s="521">
        <f>sumifs('Form responses'!BQ2:BQ53,'Form responses'!$C$2:$C53,"&lt;="&amp;$G$2,'Form responses'!$C$2:$C53,"&gt;="&amp;Date(YEAR(DATE(YEAR($E$2),MONTH($E$2)+(-3),1)),4,1))</f>
        <v>0</v>
      </c>
      <c r="BE5" s="521">
        <f>sumifs('Form responses'!BS2:BS53,'Form responses'!$C$2:$C53,"&lt;="&amp;$G$2,'Form responses'!$C$2:$C53,"&gt;="&amp;Date(YEAR(DATE(YEAR($E$2),MONTH($E$2)+(-3),1)),4,1))</f>
        <v>0</v>
      </c>
      <c r="BF5" s="521">
        <f>sumifs('Form responses'!CE2:CE53,'Form responses'!$C$2:$C53,"&lt;="&amp;$G$2,'Form responses'!$C$2:$C53,"&gt;="&amp;Date(YEAR(DATE(YEAR($E$2),MONTH($E$2)+(-3),1)),4,1))</f>
        <v>0</v>
      </c>
      <c r="BG5" s="521">
        <f>sumifs('Form responses'!BC2:BC53,'Form responses'!$C$2:$C53,"&lt;="&amp;$G$2,'Form responses'!$C$2:$C53,"&gt;="&amp;Date(YEAR(DATE(YEAR($E$2),MONTH($E$2)+(-3),1)),4,1))</f>
        <v>0</v>
      </c>
      <c r="BH5" s="521">
        <f>sumifs('Form responses'!BD2:BD53,'Form responses'!$C$2:$C53,"&lt;="&amp;$G$2,'Form responses'!$C$2:$C53,"&gt;="&amp;Date(YEAR(DATE(YEAR($E$2),MONTH($E$2)+(-3),1)),4,1))</f>
        <v>24</v>
      </c>
      <c r="BI5" s="521">
        <f>sumifs('Form responses'!BZ2:BZ53,'Form responses'!$C$2:$C53,"&lt;="&amp;$G$2,'Form responses'!$C$2:$C53,"&gt;="&amp;Date(YEAR(DATE(YEAR($E$2),MONTH($E$2)+(-3),1)),4,1))</f>
        <v>364</v>
      </c>
      <c r="BJ5" s="521">
        <f>sumifs('Form responses'!CB2:CB53,'Form responses'!$C$2:$C53,"&lt;="&amp;$G$2,'Form responses'!$C$2:$C53,"&gt;="&amp;Date(YEAR(DATE(YEAR($E$2),MONTH($E$2)+(-3),1)),4,1))</f>
        <v>272</v>
      </c>
      <c r="BK5" s="521">
        <f>sumifs('Form responses'!CA2:CA53,'Form responses'!$C$2:$C53,"&lt;="&amp;$G$2,'Form responses'!$C$2:$C53,"&gt;="&amp;Date(YEAR(DATE(YEAR($E$2),MONTH($E$2)+(-3),1)),4,1))</f>
        <v>270</v>
      </c>
      <c r="BL5" s="521">
        <f>sumifs('Form responses'!CC2:CC53,'Form responses'!$C$2:$C53,"&lt;="&amp;$G$2,'Form responses'!$C$2:$C53,"&gt;="&amp;Date(YEAR(DATE(YEAR($E$2),MONTH($E$2)+(-3),1)),4,1))</f>
        <v>184</v>
      </c>
      <c r="BM5" s="521">
        <f>sumifs('Form responses'!CH2:CH53,'Form responses'!$C$2:$C53,"&lt;="&amp;$G$2,'Form responses'!$C$2:$C53,"&gt;="&amp;Date(YEAR(DATE(YEAR($E$2),MONTH($E$2)+(-3),1)),4,1))</f>
        <v>0</v>
      </c>
      <c r="BN5" s="521">
        <f>sumifs('Form responses'!CI2:CI53,'Form responses'!$C$2:$C53,"&lt;="&amp;$G$2,'Form responses'!$C$2:$C53,"&gt;="&amp;Date(YEAR(DATE(YEAR($E$2),MONTH($E$2)+(-3),1)),4,1))</f>
        <v>0</v>
      </c>
      <c r="BO5" s="521">
        <f>sumifs('Form responses'!CJ2:CJ53,'Form responses'!$C$2:$C53,"&lt;="&amp;$G$2,'Form responses'!$C$2:$C53,"&gt;="&amp;Date(YEAR(DATE(YEAR($E$2),MONTH($E$2)+(-3),1)),4,1))</f>
        <v>0</v>
      </c>
      <c r="BP5" s="521">
        <f>sumifs('Form responses'!CK2:CK53,'Form responses'!$C$2:$C53,"&lt;="&amp;$G$2,'Form responses'!$C$2:$C53,"&gt;="&amp;Date(YEAR(DATE(YEAR($E$2),MONTH($E$2)+(-3),1)),4,1))</f>
        <v>0</v>
      </c>
      <c r="BQ5" s="521">
        <f>sumifs('Form responses'!CL2:CL53,'Form responses'!$C$2:$C53,"&lt;="&amp;$G$2,'Form responses'!$C$2:$C53,"&gt;="&amp;Date(YEAR(DATE(YEAR($E$2),MONTH($E$2)+(-3),1)),4,1))</f>
        <v>14</v>
      </c>
      <c r="BR5" s="521">
        <f>sumifs('Form responses'!CM2:CM53,'Form responses'!$C$2:$C53,"&lt;="&amp;$G$2,'Form responses'!$C$2:$C53,"&gt;="&amp;Date(YEAR(DATE(YEAR($E$2),MONTH($E$2)+(-3),1)),4,1))</f>
        <v>7</v>
      </c>
      <c r="BS5" s="521">
        <f>sumifs('Form responses'!CN2:CN53,'Form responses'!$C$2:$C53,"&lt;="&amp;$G$2,'Form responses'!$C$2:$C53,"&gt;="&amp;Date(YEAR(DATE(YEAR($E$2),MONTH($E$2)+(-3),1)),4,1))</f>
        <v>76</v>
      </c>
      <c r="BT5" s="521">
        <f>sumifs('Form responses'!CO2:CO53,'Form responses'!$C$2:$C53,"&lt;="&amp;$G$2,'Form responses'!$C$2:$C53,"&gt;="&amp;Date(YEAR(DATE(YEAR($E$2),MONTH($E$2)+(-3),1)),4,1))</f>
        <v>43</v>
      </c>
      <c r="BU5" s="521">
        <f>sumifs('Form responses'!CP2:CP53,'Form responses'!$C$2:$C53,"&lt;="&amp;$G$2,'Form responses'!$C$2:$C53,"&gt;="&amp;Date(YEAR(DATE(YEAR($E$2),MONTH($E$2)+(-3),1)),4,1))</f>
        <v>588</v>
      </c>
      <c r="BV5" s="521">
        <f>sumifs('Form responses'!CQ2:CQ53,'Form responses'!$C$2:$C53,"&lt;="&amp;$G$2,'Form responses'!$C$2:$C53,"&gt;="&amp;Date(YEAR(DATE(YEAR($E$2),MONTH($E$2)+(-3),1)),4,1))</f>
        <v>312</v>
      </c>
      <c r="BW5" s="521">
        <f>sumifs('Form responses'!CR2:CR53,'Form responses'!$C$2:$C53,"&lt;="&amp;$G$2,'Form responses'!$C$2:$C53,"&gt;="&amp;Date(YEAR(DATE(YEAR($E$2),MONTH($E$2)+(-3),1)),4,1))</f>
        <v>0</v>
      </c>
      <c r="BX5" s="521">
        <f>sumifs('Form responses'!CS2:CS53,'Form responses'!$C$2:$C53,"&lt;="&amp;$G$2,'Form responses'!$C$2:$C53,"&gt;="&amp;Date(YEAR(DATE(YEAR($E$2),MONTH($E$2)+(-3),1)),4,1))</f>
        <v>0</v>
      </c>
      <c r="BY5" s="521">
        <f>sumifs('Form responses'!CT2:CT53,'Form responses'!$C$2:$C53,"&lt;="&amp;$G$2,'Form responses'!$C$2:$C53,"&gt;="&amp;Date(YEAR(DATE(YEAR($E$2),MONTH($E$2)+(-3),1)),4,1))</f>
        <v>144</v>
      </c>
      <c r="BZ5" s="521">
        <f>sumifs('Form responses'!CU2:CU53,'Form responses'!$C$2:$C53,"&lt;="&amp;$G$2,'Form responses'!$C$2:$C53,"&gt;="&amp;Date(YEAR(DATE(YEAR($E$2),MONTH($E$2)+(-3),1)),4,1))</f>
        <v>56</v>
      </c>
      <c r="CA5" s="521">
        <f>sumifs('Form responses'!DF2:DF53,'Form responses'!$C$2:$C53,"&lt;="&amp;$G$2,'Form responses'!$C$2:$C53,"&gt;="&amp;Date(YEAR(DATE(YEAR($E$2),MONTH($E$2)+(-3),1)),4,1))</f>
        <v>0</v>
      </c>
      <c r="CB5" s="521">
        <f>sumifs('Form responses'!DG2:DG53,'Form responses'!$C$2:$C53,"&lt;="&amp;$G$2,'Form responses'!$C$2:$C53,"&gt;="&amp;Date(YEAR(DATE(YEAR($E$2),MONTH($E$2)+(-3),1)),4,1))</f>
        <v>0</v>
      </c>
      <c r="CC5" s="521">
        <f>sumifs('Form responses'!BA2:BA53,'Form responses'!$C$2:$C53,"&lt;="&amp;$G$2,'Form responses'!$C$2:$C53,"&gt;="&amp;Date(YEAR(DATE(YEAR($E$2),MONTH($E$2)+(-3),1)),4,1))</f>
        <v>0</v>
      </c>
      <c r="CD5" s="521">
        <f>sumifs('Form responses'!BB2:BB53,'Form responses'!$C$2:$C53,"&lt;="&amp;$G$2,'Form responses'!$C$2:$C53,"&gt;="&amp;Date(YEAR(DATE(YEAR($E$2),MONTH($E$2)+(-3),1)),4,1))</f>
        <v>0</v>
      </c>
      <c r="CE5" s="521">
        <f>sumifs('Form responses'!DB2:DB53,'Form responses'!$C$2:$C53,"&lt;="&amp;$G$2,'Form responses'!$C$2:$C53,"&gt;="&amp;Date(YEAR(DATE(YEAR($E$2),MONTH($E$2)+(-3),1)),4,1))</f>
        <v>776</v>
      </c>
      <c r="CF5" s="521">
        <f>sumifs('Form responses'!DC2:DC53,'Form responses'!$C$2:$C53,"&lt;="&amp;$G$2,'Form responses'!$C$2:$C53,"&gt;="&amp;Date(YEAR(DATE(YEAR($E$2),MONTH($E$2)+(-3),1)),4,1))</f>
        <v>430</v>
      </c>
      <c r="CG5" s="521">
        <f>sumifs('Form responses'!DD2:DD53,'Form responses'!$C$2:$C53,"&lt;="&amp;$G$2,'Form responses'!$C$2:$C53,"&gt;="&amp;Date(YEAR(DATE(YEAR($E$2),MONTH($E$2)+(-3),1)),4,1))</f>
        <v>13</v>
      </c>
      <c r="CH5" s="521">
        <f>sumifs('Form responses'!DE2:DE53,'Form responses'!$C$2:$C53,"&lt;="&amp;$G$2,'Form responses'!$C$2:$C53,"&gt;="&amp;Date(YEAR(DATE(YEAR($E$2),MONTH($E$2)+(-3),1)),4,1))</f>
        <v>8</v>
      </c>
      <c r="CI5" s="521">
        <f>sumifs('Form responses'!DL2:DL53,'Form responses'!$C$2:$C53,"&lt;="&amp;$G$2,'Form responses'!$C$2:$C53,"&gt;="&amp;Date(YEAR(DATE(YEAR($E$2),MONTH($E$2)+(-3),1)),4,1))</f>
        <v>6</v>
      </c>
      <c r="CJ5" s="521">
        <f>sumifs('Form responses'!DM2:DM53,'Form responses'!$C$2:$C53,"&lt;="&amp;$G$2,'Form responses'!$C$2:$C53,"&gt;="&amp;Date(YEAR(DATE(YEAR($E$2),MONTH($E$2)+(-3),1)),4,1))</f>
        <v>2</v>
      </c>
      <c r="CK5" s="521">
        <f>sumifs('Form responses'!DN2:DN53,'Form responses'!$C$2:$C53,"&lt;="&amp;$G$2,'Form responses'!$C$2:$C53,"&gt;="&amp;Date(YEAR(DATE(YEAR($E$2),MONTH($E$2)+(-3),1)),4,1))</f>
        <v>1</v>
      </c>
      <c r="CL5" s="521">
        <f>sumifs('Form responses'!DO2:DO53,'Form responses'!$C$2:$C53,"&lt;="&amp;$G$2,'Form responses'!$C$2:$C53,"&gt;="&amp;Date(YEAR(DATE(YEAR($E$2),MONTH($E$2)+(-3),1)),4,1))</f>
        <v>1</v>
      </c>
      <c r="CM5" s="521">
        <f>sumifs('Form responses'!DP2:DP53,'Form responses'!$C$2:$C53,"&lt;="&amp;$G$2,'Form responses'!$C$2:$C53,"&gt;="&amp;Date(YEAR(DATE(YEAR($E$2),MONTH($E$2)+(-3),1)),4,1))</f>
        <v>3</v>
      </c>
      <c r="CN5" s="521">
        <f>sumifs('Form responses'!DQ2:DQ53,'Form responses'!$C$2:$C53,"&lt;="&amp;$G$2,'Form responses'!$C$2:$C53,"&gt;="&amp;Date(YEAR(DATE(YEAR($E$2),MONTH($E$2)+(-3),1)),4,1))</f>
        <v>2</v>
      </c>
      <c r="CO5" s="521">
        <f>sumifs('Form responses'!DR2:DR53,'Form responses'!$C$2:$C53,"&lt;="&amp;$G$2,'Form responses'!$C$2:$C53,"&gt;="&amp;Date(YEAR(DATE(YEAR($E$2),MONTH($E$2)+(-3),1)),4,1))</f>
        <v>25</v>
      </c>
      <c r="CP5" s="521">
        <f>sumifs('Form responses'!DS2:DS53,'Form responses'!$C$2:$C53,"&lt;="&amp;$G$2,'Form responses'!$C$2:$C53,"&gt;="&amp;Date(YEAR(DATE(YEAR($E$2),MONTH($E$2)+(-3),1)),4,1))</f>
        <v>28</v>
      </c>
      <c r="CQ5" s="521">
        <f>sumifs('Form responses'!DT2:DT53,'Form responses'!$C$2:$C53,"&lt;="&amp;$G$2,'Form responses'!$C$2:$C53,"&gt;="&amp;Date(YEAR(DATE(YEAR($E$2),MONTH($E$2)+(-3),1)),4,1))</f>
        <v>111</v>
      </c>
      <c r="CR5" s="521">
        <f>sumifs('Form responses'!DU2:DU53,'Form responses'!$C$2:$C53,"&lt;="&amp;$G$2,'Form responses'!$C$2:$C53,"&gt;="&amp;Date(YEAR(DATE(YEAR($E$2),MONTH($E$2)+(-3),1)),4,1))</f>
        <v>103</v>
      </c>
      <c r="CS5" s="521">
        <f>sumifs('Form responses'!DV2:DV53,'Form responses'!$C$2:$C53,"&lt;="&amp;$G$2,'Form responses'!$C$2:$C53,"&gt;="&amp;Date(YEAR(DATE(YEAR($E$2),MONTH($E$2)+(-3),1)),4,1))</f>
        <v>0</v>
      </c>
      <c r="CT5" s="521">
        <f>sumifs('Form responses'!DW2:DW53,'Form responses'!$C$2:$C53,"&lt;="&amp;$G$2,'Form responses'!$C$2:$C53,"&gt;="&amp;Date(YEAR(DATE(YEAR($E$2),MONTH($E$2)+(-3),1)),4,1))</f>
        <v>0</v>
      </c>
      <c r="CU5" s="521">
        <f>sumifs('Form responses'!DX2:DX53,'Form responses'!$C$2:$C53,"&lt;="&amp;$G$2,'Form responses'!$C$2:$C53,"&gt;="&amp;Date(YEAR(DATE(YEAR($E$2),MONTH($E$2)+(-3),1)),4,1))</f>
        <v>0</v>
      </c>
      <c r="CV5" s="521">
        <f>sumifs('Form responses'!DY2:DY53,'Form responses'!$C$2:$C53,"&lt;="&amp;$G$2,'Form responses'!$C$2:$C53,"&gt;="&amp;Date(YEAR(DATE(YEAR($E$2),MONTH($E$2)+(-3),1)),4,1))</f>
        <v>15</v>
      </c>
      <c r="CW5" s="521">
        <f>sumifs('Form responses'!EJ2:EJ53,'Form responses'!$C$2:$C53,"&lt;="&amp;$G$2,'Form responses'!$C$2:$C53,"&gt;="&amp;Date(YEAR(DATE(YEAR($E$2),MONTH($E$2)+(-3),1)),4,1))</f>
        <v>0</v>
      </c>
      <c r="CX5" s="521">
        <f>sumifs('Form responses'!EK2:EK53,'Form responses'!$C$2:$C53,"&lt;="&amp;$G$2,'Form responses'!$C$2:$C53,"&gt;="&amp;Date(YEAR(DATE(YEAR($E$2),MONTH($E$2)+(-3),1)),4,1))</f>
        <v>0</v>
      </c>
      <c r="CY5" s="521">
        <f>sumifs('Form responses'!EN2:EN53,'Form responses'!$C$2:$C53,"&lt;="&amp;$G$2,'Form responses'!$C$2:$C53,"&gt;="&amp;Date(YEAR(DATE(YEAR($E$2),MONTH($E$2)+(-3),1)),4,1))</f>
        <v>0</v>
      </c>
      <c r="CZ5" s="521">
        <f>sumifs('Form responses'!EO2:EO53,'Form responses'!$C$2:$C53,"&lt;="&amp;$G$2,'Form responses'!$C$2:$C53,"&gt;="&amp;Date(YEAR(DATE(YEAR($E$2),MONTH($E$2)+(-3),1)),4,1))</f>
        <v>0</v>
      </c>
      <c r="DA5" s="521">
        <f>sumifs('Form responses'!EF2:EF53,'Form responses'!$C$2:$C53,"&lt;="&amp;$G$2,'Form responses'!$C$2:$C53,"&gt;="&amp;Date(YEAR(DATE(YEAR($E$2),MONTH($E$2)+(-3),1)),4,1))</f>
        <v>66</v>
      </c>
      <c r="DB5" s="521">
        <f>sumifs('Form responses'!EG2:EG53,'Form responses'!$C$2:$C53,"&lt;="&amp;$G$2,'Form responses'!$C$2:$C53,"&gt;="&amp;Date(YEAR(DATE(YEAR($E$2),MONTH($E$2)+(-3),1)),4,1))</f>
        <v>60</v>
      </c>
      <c r="DC5" s="521">
        <f>sumifs('Form responses'!EH2:EH53,'Form responses'!$C$2:$C53,"&lt;="&amp;$G$2,'Form responses'!$C$2:$C53,"&gt;="&amp;Date(YEAR(DATE(YEAR($E$2),MONTH($E$2)+(-3),1)),4,1))</f>
        <v>21</v>
      </c>
      <c r="DD5" s="521">
        <f>sumifs('Form responses'!EI2:EI53,'Form responses'!$C$2:$C53,"&lt;="&amp;$G$2,'Form responses'!$C$2:$C53,"&gt;="&amp;Date(YEAR(DATE(YEAR($E$2),MONTH($E$2)+(-3),1)),4,1))</f>
        <v>20</v>
      </c>
      <c r="DE5" s="521">
        <f>sumifs('Form responses'!FX2:FX53,'Form responses'!$C$2:$C53,"&lt;="&amp;$G$2,'Form responses'!$C$2:$C53,"&gt;="&amp;Date(YEAR(DATE(YEAR($E$2),MONTH($E$2)+(-3),1)),4,1))</f>
        <v>4</v>
      </c>
      <c r="DF5" s="521">
        <f>sumifs('Form responses'!FY2:FY53,'Form responses'!$C$2:$C53,"&lt;="&amp;$G$2,'Form responses'!$C$2:$C53,"&gt;="&amp;Date(YEAR(DATE(YEAR($E$2),MONTH($E$2)+(-3),1)),4,1))</f>
        <v>0</v>
      </c>
      <c r="DG5" s="521">
        <f>sumifs('Form responses'!FZ2:FZ53,'Form responses'!$C$2:$C53,"&lt;="&amp;$G$2,'Form responses'!$C$2:$C53,"&gt;="&amp;Date(YEAR(DATE(YEAR($E$2),MONTH($E$2)+(-3),1)),4,1))</f>
        <v>133</v>
      </c>
      <c r="DH5" s="521">
        <f>sumifs('Form responses'!GA2:GA53,'Form responses'!$C$2:$C53,"&lt;="&amp;$G$2,'Form responses'!$C$2:$C53,"&gt;="&amp;Date(YEAR(DATE(YEAR($E$2),MONTH($E$2)+(-3),1)),4,1))</f>
        <v>0</v>
      </c>
      <c r="DI5" s="521">
        <f>sumifs('Form responses'!GB2:GB53,'Form responses'!$C$2:$C53,"&lt;="&amp;$G$2,'Form responses'!$C$2:$C53,"&gt;="&amp;Date(YEAR(DATE(YEAR($E$2),MONTH($E$2)+(-3),1)),4,1))</f>
        <v>0</v>
      </c>
      <c r="DJ5" s="521">
        <f>sumifs('Form responses'!GC2:GC53,'Form responses'!$C$2:$C53,"&lt;="&amp;$G$2,'Form responses'!$C$2:$C53,"&gt;="&amp;Date(YEAR(DATE(YEAR($E$2),MONTH($E$2)+(-3),1)),4,1))</f>
        <v>0</v>
      </c>
      <c r="DK5" s="521">
        <f>sumifs('Form responses'!GL2:GL53,'Form responses'!$C$2:$C53,"&lt;="&amp;$G$2,'Form responses'!$C$2:$C53,"&gt;="&amp;Date(YEAR(DATE(YEAR($E$2),MONTH($E$2)+(-3),1)),4,1))</f>
        <v>0</v>
      </c>
      <c r="DL5" s="521">
        <f>sumifs('Form responses'!AC2:AC53,'Form responses'!$C$2:$C53,"&lt;="&amp;$G$2,'Form responses'!$C$2:$C53,"&gt;="&amp;Date(YEAR(DATE(YEAR($E$2),MONTH($E$2)+(-3),1)),4,1))</f>
        <v>0</v>
      </c>
      <c r="DM5" s="521">
        <f>sumifs('Form responses'!AD2:AD53,'Form responses'!$C$2:$C53,"&lt;="&amp;$G$2,'Form responses'!$C$2:$C53,"&gt;="&amp;Date(YEAR(DATE(YEAR($E$2),MONTH($E$2)+(-3),1)),4,1))</f>
        <v>0</v>
      </c>
      <c r="DN5" s="521">
        <f>sumifs('Form responses'!GH2:GH53,'Form responses'!$C$2:$C53,"&lt;="&amp;$G$2,'Form responses'!$C$2:$C53,"&gt;="&amp;Date(YEAR(DATE(YEAR($E$2),MONTH($E$2)+(-3),1)),4,1))</f>
        <v>0</v>
      </c>
      <c r="DO5" s="521">
        <f>sumifs('Form responses'!GI2:GI53,'Form responses'!$C$2:$C53,"&lt;="&amp;$G$2,'Form responses'!$C$2:$C53,"&gt;="&amp;Date(YEAR(DATE(YEAR($E$2),MONTH($E$2)+(-3),1)),4,1))</f>
        <v>0</v>
      </c>
      <c r="DP5" s="521">
        <f>sumifs('Form responses'!FH2:FH53,'Form responses'!$C$2:$C53,"&lt;="&amp;$G$2,'Form responses'!$C$2:$C53,"&gt;="&amp;Date(YEAR(DATE(YEAR($E$2),MONTH($E$2)+(-3),1)),4,1))</f>
        <v>85</v>
      </c>
      <c r="DQ5" s="521">
        <f>sumifs('Form responses'!FI2:FI53,'Form responses'!$C$2:$C53,"&lt;="&amp;$G$2,'Form responses'!$C$2:$C53,"&gt;="&amp;Date(YEAR(DATE(YEAR($E$2),MONTH($E$2)+(-3),1)),4,1))</f>
        <v>0</v>
      </c>
      <c r="DR5" s="521">
        <f>sumifs('Form responses'!FJ2:FJ53,'Form responses'!$C$2:$C53,"&lt;="&amp;$G$2,'Form responses'!$C$2:$C53,"&gt;="&amp;Date(YEAR(DATE(YEAR($E$2),MONTH($E$2)+(-3),1)),4,1))</f>
        <v>0</v>
      </c>
      <c r="DS5" s="521">
        <f>sumifs('Form responses'!FK2:FK53,'Form responses'!$C$2:$C53,"&lt;="&amp;$G$2,'Form responses'!$C$2:$C53,"&gt;="&amp;Date(YEAR(DATE(YEAR($E$2),MONTH($E$2)+(-3),1)),4,1))</f>
        <v>0</v>
      </c>
      <c r="DT5" s="521">
        <f>sumifs('Form responses'!FL2:FL53,'Form responses'!$C$2:$C53,"&lt;="&amp;$G$2,'Form responses'!$C$2:$C53,"&gt;="&amp;Date(YEAR(DATE(YEAR($E$2),MONTH($E$2)+(-3),1)),4,1))</f>
        <v>0</v>
      </c>
      <c r="DU5" s="521">
        <f>sumifs('Form responses'!FM2:FM53,'Form responses'!$C$2:$C53,"&lt;="&amp;$G$2,'Form responses'!$C$2:$C53,"&gt;="&amp;Date(YEAR(DATE(YEAR($E$2),MONTH($E$2)+(-3),1)),4,1))</f>
        <v>0</v>
      </c>
      <c r="DV5" s="521">
        <f>sumifs('Form responses'!FN2:FN53,'Form responses'!$C$2:$C53,"&lt;="&amp;$G$2,'Form responses'!$C$2:$C53,"&gt;="&amp;Date(YEAR(DATE(YEAR($E$2),MONTH($E$2)+(-3),1)),4,1))</f>
        <v>0</v>
      </c>
      <c r="DW5" s="521">
        <f>sumifs('Form responses'!FT2:FT53,'Form responses'!$C$2:$C53,"&lt;="&amp;$G$2,'Form responses'!$C$2:$C53,"&gt;="&amp;Date(YEAR(DATE(YEAR($E$2),MONTH($E$2)+(-3),1)),4,1))</f>
        <v>0</v>
      </c>
      <c r="DX5" s="521">
        <f>sumifs('Form responses'!FV2:FV53,'Form responses'!$C$2:$C53,"&lt;="&amp;$G$2,'Form responses'!$C$2:$C53,"&gt;="&amp;Date(YEAR(DATE(YEAR($E$2),MONTH($E$2)+(-3),1)),4,1))</f>
        <v>0</v>
      </c>
      <c r="DY5" s="521">
        <f>sumifs('Form responses'!FR2:FR53,'Form responses'!$C$2:$C53,"&lt;="&amp;$G$2,'Form responses'!$C$2:$C53,"&gt;="&amp;Date(YEAR(DATE(YEAR($E$2),MONTH($E$2)+(-3),1)),4,1))</f>
        <v>45</v>
      </c>
      <c r="DZ5" s="521">
        <f>sumifs('Form responses'!FS2:FS53,'Form responses'!$C$2:$C53,"&lt;="&amp;$G$2,'Form responses'!$C$2:$C53,"&gt;="&amp;Date(YEAR(DATE(YEAR($E$2),MONTH($E$2)+(-3),1)),4,1))</f>
        <v>0</v>
      </c>
      <c r="EA5" s="521">
        <f>sumifs('Form responses'!ER2:ER53,'Form responses'!$C$2:$C53,"&lt;="&amp;$G$2,'Form responses'!$C$2:$C53,"&gt;="&amp;Date(YEAR(DATE(YEAR($E$2),MONTH($E$2)+(-3),1)),4,1))</f>
        <v>445</v>
      </c>
      <c r="EB5" s="521">
        <f>sumifs('Form responses'!ES2:ES53,'Form responses'!$C$2:$C53,"&lt;="&amp;$G$2,'Form responses'!$C$2:$C53,"&gt;="&amp;Date(YEAR(DATE(YEAR($E$2),MONTH($E$2)+(-3),1)),4,1))</f>
        <v>0</v>
      </c>
      <c r="EC5" s="521">
        <f>sumifs('Form responses'!ET2:ET53,'Form responses'!$C$2:$C53,"&lt;="&amp;$G$2,'Form responses'!$C$2:$C53,"&gt;="&amp;Date(YEAR(DATE(YEAR($E$2),MONTH($E$2)+(-3),1)),4,1))</f>
        <v>0</v>
      </c>
      <c r="ED5" s="521">
        <f>sumifs('Form responses'!EU2:EU53,'Form responses'!$C$2:$C53,"&lt;="&amp;$G$2,'Form responses'!$C$2:$C53,"&gt;="&amp;Date(YEAR(DATE(YEAR($E$2),MONTH($E$2)+(-3),1)),4,1))</f>
        <v>195</v>
      </c>
      <c r="EE5" s="521">
        <f>sumifs('Form responses'!EV2:EV53,'Form responses'!$C$2:$C53,"&lt;="&amp;$G$2,'Form responses'!$C$2:$C53,"&gt;="&amp;Date(YEAR(DATE(YEAR($E$2),MONTH($E$2)+(-3),1)),4,1))</f>
        <v>180</v>
      </c>
      <c r="EF5" s="521">
        <f>sumifs('Form responses'!EW2:EW53,'Form responses'!$C$2:$C53,"&lt;="&amp;$G$2,'Form responses'!$C$2:$C53,"&gt;="&amp;Date(YEAR(DATE(YEAR($E$2),MONTH($E$2)+(-3),1)),4,1))</f>
        <v>0</v>
      </c>
      <c r="EG5" s="521">
        <f>sumifs('Form responses'!EX2:EX53,'Form responses'!$C$2:$C53,"&lt;="&amp;$G$2,'Form responses'!$C$2:$C53,"&gt;="&amp;Date(YEAR(DATE(YEAR($E$2),MONTH($E$2)+(-3),1)),4,1))</f>
        <v>0</v>
      </c>
      <c r="EH5" s="521">
        <f>sumifs('Form responses'!FD2:FD53,'Form responses'!$C$2:$C53,"&lt;="&amp;$G$2,'Form responses'!$C$2:$C53,"&gt;="&amp;Date(YEAR(DATE(YEAR($E$2),MONTH($E$2)+(-3),1)),4,1))</f>
        <v>0</v>
      </c>
      <c r="EI5" s="521">
        <f>sumifs('Form responses'!FF2:FF53,'Form responses'!$C$2:$C53,"&lt;="&amp;$G$2,'Form responses'!$C$2:$C53,"&gt;="&amp;Date(YEAR(DATE(YEAR($E$2),MONTH($E$2)+(-3),1)),4,1))</f>
        <v>0</v>
      </c>
      <c r="EJ5" s="521">
        <f>sumifs('Form responses'!FB2:FB53,'Form responses'!$C$2:$C53,"&lt;="&amp;$G$2,'Form responses'!$C$2:$C53,"&gt;="&amp;Date(YEAR(DATE(YEAR($E$2),MONTH($E$2)+(-3),1)),4,1))</f>
        <v>555</v>
      </c>
      <c r="EK5" s="521">
        <f>sumifs('Form responses'!FC2:FC53,'Form responses'!$C$2:$C53,"&lt;="&amp;$G$2,'Form responses'!$C$2:$C53,"&gt;="&amp;Date(YEAR(DATE(YEAR($E$2),MONTH($E$2)+(-3),1)),4,1))</f>
        <v>210</v>
      </c>
      <c r="EL5" s="520"/>
    </row>
    <row r="6" ht="8.25" customHeight="1">
      <c r="A6" s="522"/>
      <c r="B6" s="522"/>
      <c r="C6" s="522"/>
      <c r="D6" s="522"/>
      <c r="E6" s="522"/>
      <c r="F6" s="522"/>
      <c r="G6" s="522"/>
      <c r="H6" s="522"/>
      <c r="I6" s="522"/>
      <c r="J6" s="522"/>
      <c r="K6" s="522"/>
      <c r="L6" s="522"/>
      <c r="M6" s="522"/>
      <c r="N6" s="522"/>
      <c r="O6" s="522"/>
      <c r="P6" s="522"/>
      <c r="Q6" s="522"/>
      <c r="R6" s="522"/>
      <c r="S6" s="522"/>
      <c r="T6" s="522"/>
      <c r="U6" s="522"/>
      <c r="V6" s="522"/>
      <c r="W6" s="522"/>
      <c r="X6" s="522"/>
      <c r="Y6" s="522"/>
      <c r="Z6" s="522"/>
      <c r="AA6" s="522"/>
      <c r="AB6" s="522"/>
      <c r="AC6" s="522"/>
      <c r="AD6" s="522"/>
      <c r="AE6" s="522"/>
      <c r="AF6" s="522"/>
      <c r="AG6" s="522"/>
      <c r="AH6" s="522"/>
      <c r="AI6" s="522"/>
      <c r="AJ6" s="522"/>
      <c r="AK6" s="522"/>
      <c r="AL6" s="522"/>
      <c r="AM6" s="522"/>
      <c r="AN6" s="522"/>
      <c r="AO6" s="522"/>
      <c r="AP6" s="522"/>
      <c r="AQ6" s="522"/>
      <c r="AR6" s="522"/>
      <c r="AS6" s="522"/>
      <c r="AT6" s="522"/>
      <c r="AU6" s="522"/>
      <c r="AV6" s="522"/>
      <c r="AW6" s="522"/>
      <c r="AX6" s="522"/>
      <c r="AY6" s="522"/>
      <c r="AZ6" s="522"/>
      <c r="BA6" s="522"/>
      <c r="BB6" s="522"/>
      <c r="BC6" s="522"/>
      <c r="BD6" s="522"/>
      <c r="BE6" s="522"/>
      <c r="BF6" s="522"/>
      <c r="BG6" s="522"/>
      <c r="BH6" s="522"/>
      <c r="BI6" s="522"/>
      <c r="BJ6" s="522"/>
      <c r="BK6" s="522"/>
      <c r="BL6" s="522"/>
      <c r="BM6" s="522"/>
      <c r="BN6" s="522"/>
      <c r="BO6" s="522"/>
      <c r="BP6" s="522"/>
      <c r="BQ6" s="522"/>
      <c r="BR6" s="522"/>
      <c r="BS6" s="522"/>
      <c r="BT6" s="522"/>
      <c r="BU6" s="522"/>
      <c r="BV6" s="522"/>
      <c r="BW6" s="522"/>
      <c r="BX6" s="522"/>
      <c r="BY6" s="522"/>
      <c r="BZ6" s="522"/>
      <c r="CA6" s="522"/>
      <c r="CB6" s="522"/>
      <c r="CC6" s="522"/>
      <c r="CD6" s="522"/>
      <c r="CE6" s="522"/>
      <c r="CF6" s="522"/>
      <c r="CG6" s="522"/>
      <c r="CH6" s="522"/>
      <c r="CI6" s="522"/>
      <c r="CJ6" s="522"/>
      <c r="CK6" s="522"/>
      <c r="CL6" s="522"/>
      <c r="CM6" s="522"/>
      <c r="CN6" s="522"/>
      <c r="CO6" s="522"/>
      <c r="CP6" s="522"/>
      <c r="CQ6" s="522"/>
      <c r="CR6" s="522"/>
      <c r="CS6" s="522"/>
      <c r="CT6" s="522"/>
      <c r="CU6" s="522"/>
      <c r="CV6" s="522"/>
      <c r="CW6" s="522"/>
      <c r="CX6" s="522"/>
      <c r="CY6" s="522"/>
      <c r="CZ6" s="522"/>
      <c r="DA6" s="522"/>
      <c r="DB6" s="522"/>
      <c r="DC6" s="522"/>
      <c r="DD6" s="522"/>
      <c r="DE6" s="522"/>
      <c r="DF6" s="522"/>
      <c r="DG6" s="522"/>
      <c r="DH6" s="522"/>
      <c r="DI6" s="522"/>
      <c r="DJ6" s="522"/>
      <c r="DK6" s="522"/>
      <c r="DL6" s="522"/>
      <c r="DM6" s="522"/>
      <c r="DN6" s="522"/>
      <c r="DO6" s="522"/>
      <c r="DP6" s="522"/>
      <c r="DQ6" s="522"/>
      <c r="DR6" s="522"/>
      <c r="DS6" s="522"/>
      <c r="DT6" s="522"/>
      <c r="DU6" s="522"/>
      <c r="DV6" s="522"/>
      <c r="DW6" s="522"/>
      <c r="DX6" s="522"/>
      <c r="DY6" s="522"/>
      <c r="DZ6" s="522"/>
      <c r="EA6" s="522"/>
      <c r="EB6" s="522"/>
      <c r="EC6" s="522"/>
      <c r="ED6" s="522"/>
      <c r="EE6" s="522"/>
      <c r="EF6" s="522"/>
      <c r="EG6" s="522"/>
      <c r="EH6" s="522"/>
      <c r="EI6" s="522"/>
      <c r="EJ6" s="522"/>
      <c r="EK6" s="522"/>
      <c r="EL6" s="522"/>
    </row>
    <row r="7">
      <c r="A7" s="522"/>
      <c r="B7" s="523" t="s">
        <v>947</v>
      </c>
      <c r="C7" s="524"/>
      <c r="D7" s="524"/>
      <c r="E7" s="525"/>
      <c r="F7" s="525"/>
      <c r="G7" s="525"/>
      <c r="H7" s="525"/>
      <c r="I7" s="525"/>
      <c r="J7" s="525"/>
      <c r="K7" s="525"/>
      <c r="L7" s="525"/>
      <c r="M7" s="525"/>
      <c r="N7" s="525"/>
      <c r="O7" s="525"/>
      <c r="P7" s="525"/>
      <c r="Q7" s="525"/>
      <c r="R7" s="525"/>
      <c r="S7" s="525"/>
      <c r="T7" s="525"/>
      <c r="U7" s="525"/>
      <c r="V7" s="522"/>
      <c r="W7" s="522"/>
      <c r="X7" s="522"/>
      <c r="Y7" s="522"/>
      <c r="Z7" s="522"/>
      <c r="AA7" s="522"/>
      <c r="AB7" s="522"/>
      <c r="AC7" s="522"/>
      <c r="AD7" s="522"/>
      <c r="AE7" s="522"/>
      <c r="AF7" s="522"/>
      <c r="AG7" s="522"/>
      <c r="AH7" s="522"/>
      <c r="AI7" s="522"/>
      <c r="AJ7" s="522"/>
      <c r="AK7" s="522"/>
      <c r="AL7" s="522"/>
      <c r="AM7" s="522"/>
      <c r="AN7" s="522"/>
      <c r="AO7" s="522"/>
      <c r="AP7" s="522"/>
      <c r="AQ7" s="522"/>
      <c r="AR7" s="522"/>
      <c r="AS7" s="522"/>
      <c r="AT7" s="522"/>
      <c r="AU7" s="522"/>
      <c r="AV7" s="522"/>
      <c r="AW7" s="522"/>
      <c r="AX7" s="522"/>
      <c r="AY7" s="522"/>
      <c r="AZ7" s="522"/>
      <c r="BA7" s="522"/>
      <c r="BB7" s="522"/>
      <c r="BC7" s="522"/>
      <c r="BD7" s="522"/>
      <c r="BE7" s="522"/>
      <c r="BF7" s="522"/>
      <c r="BG7" s="522"/>
      <c r="BH7" s="522"/>
      <c r="BI7" s="522"/>
      <c r="BJ7" s="522"/>
      <c r="BK7" s="522"/>
      <c r="BL7" s="522"/>
      <c r="BM7" s="522"/>
      <c r="BN7" s="522"/>
      <c r="BO7" s="522"/>
      <c r="BP7" s="522"/>
      <c r="BQ7" s="522"/>
      <c r="BR7" s="522"/>
      <c r="BS7" s="522"/>
      <c r="BT7" s="522"/>
      <c r="BU7" s="522"/>
      <c r="BV7" s="522"/>
      <c r="BW7" s="522"/>
      <c r="BX7" s="522"/>
      <c r="BY7" s="522"/>
      <c r="BZ7" s="522"/>
      <c r="CA7" s="522"/>
      <c r="CB7" s="522"/>
      <c r="CC7" s="522"/>
      <c r="CD7" s="522"/>
      <c r="CE7" s="522"/>
      <c r="CF7" s="522"/>
      <c r="CG7" s="522"/>
      <c r="CH7" s="522"/>
      <c r="CI7" s="522"/>
      <c r="CJ7" s="522"/>
      <c r="CK7" s="522"/>
      <c r="CL7" s="522"/>
      <c r="CM7" s="522"/>
      <c r="CN7" s="522"/>
      <c r="CO7" s="522"/>
      <c r="CP7" s="522"/>
      <c r="CQ7" s="522"/>
      <c r="CR7" s="522"/>
      <c r="CS7" s="522"/>
      <c r="CT7" s="522"/>
      <c r="CU7" s="522"/>
      <c r="CV7" s="522"/>
      <c r="CW7" s="522"/>
      <c r="CX7" s="522"/>
      <c r="CY7" s="522"/>
      <c r="CZ7" s="522"/>
      <c r="DA7" s="522"/>
      <c r="DB7" s="522"/>
      <c r="DC7" s="522"/>
      <c r="DD7" s="522"/>
      <c r="DE7" s="522"/>
      <c r="DF7" s="522"/>
      <c r="DG7" s="522"/>
      <c r="DH7" s="522"/>
      <c r="DI7" s="522"/>
      <c r="DJ7" s="522"/>
      <c r="DK7" s="522"/>
      <c r="DL7" s="522"/>
      <c r="DM7" s="522"/>
      <c r="DN7" s="522"/>
      <c r="DO7" s="522"/>
      <c r="DP7" s="522"/>
      <c r="DQ7" s="522"/>
      <c r="DR7" s="522"/>
      <c r="DS7" s="522"/>
      <c r="DT7" s="522"/>
      <c r="DU7" s="522"/>
      <c r="DV7" s="522"/>
      <c r="DW7" s="522"/>
      <c r="DX7" s="522"/>
      <c r="DY7" s="522"/>
      <c r="DZ7" s="522"/>
      <c r="EA7" s="522"/>
      <c r="EB7" s="522"/>
      <c r="EC7" s="522"/>
      <c r="ED7" s="522"/>
      <c r="EE7" s="522"/>
      <c r="EF7" s="522"/>
      <c r="EG7" s="522"/>
      <c r="EH7" s="522"/>
      <c r="EI7" s="522"/>
      <c r="EJ7" s="522"/>
      <c r="EK7" s="522"/>
      <c r="EL7" s="522"/>
    </row>
    <row r="8">
      <c r="A8" s="526"/>
      <c r="B8" s="527" t="s">
        <v>948</v>
      </c>
      <c r="C8" s="527" t="s">
        <v>949</v>
      </c>
      <c r="D8" s="527" t="s">
        <v>950</v>
      </c>
      <c r="E8" s="527" t="s">
        <v>815</v>
      </c>
      <c r="F8" s="527" t="s">
        <v>951</v>
      </c>
      <c r="G8" s="527" t="s">
        <v>952</v>
      </c>
      <c r="H8" s="527" t="s">
        <v>953</v>
      </c>
      <c r="I8" s="527" t="s">
        <v>954</v>
      </c>
      <c r="J8" s="527" t="s">
        <v>955</v>
      </c>
      <c r="K8" s="527" t="s">
        <v>956</v>
      </c>
      <c r="L8" s="527" t="s">
        <v>957</v>
      </c>
      <c r="M8" s="527" t="s">
        <v>958</v>
      </c>
      <c r="N8" s="527" t="s">
        <v>959</v>
      </c>
      <c r="O8" s="528" t="s">
        <v>960</v>
      </c>
      <c r="P8" s="527" t="s">
        <v>961</v>
      </c>
      <c r="Q8" s="527" t="s">
        <v>962</v>
      </c>
      <c r="R8" s="527" t="s">
        <v>963</v>
      </c>
      <c r="S8" s="528" t="s">
        <v>964</v>
      </c>
      <c r="T8" s="528" t="s">
        <v>965</v>
      </c>
      <c r="U8" s="529" t="s">
        <v>966</v>
      </c>
      <c r="V8" s="530" t="s">
        <v>967</v>
      </c>
      <c r="W8" s="530" t="s">
        <v>968</v>
      </c>
      <c r="X8" s="530" t="s">
        <v>969</v>
      </c>
      <c r="Y8" s="531" t="s">
        <v>970</v>
      </c>
      <c r="Z8" s="532" t="s">
        <v>971</v>
      </c>
      <c r="AA8" s="533"/>
      <c r="AB8" s="533"/>
      <c r="AC8" s="533"/>
      <c r="AD8" s="533"/>
      <c r="AE8" s="533"/>
      <c r="AF8" s="533"/>
      <c r="AG8" s="533"/>
      <c r="AH8" s="533"/>
      <c r="AI8" s="533"/>
      <c r="AJ8" s="533"/>
      <c r="AK8" s="533"/>
      <c r="AL8" s="533"/>
      <c r="AM8" s="533"/>
      <c r="AN8" s="533"/>
      <c r="AO8" s="533"/>
      <c r="AP8" s="533"/>
      <c r="AQ8" s="533"/>
      <c r="AR8" s="533"/>
      <c r="AS8" s="533"/>
      <c r="AT8" s="533"/>
      <c r="AU8" s="533"/>
      <c r="AV8" s="533"/>
      <c r="AW8" s="533"/>
      <c r="AX8" s="533"/>
      <c r="AY8" s="533"/>
      <c r="AZ8" s="533"/>
      <c r="BA8" s="533"/>
      <c r="BB8" s="533"/>
      <c r="BC8" s="533"/>
      <c r="BD8" s="533"/>
      <c r="BE8" s="533"/>
      <c r="BF8" s="533"/>
      <c r="BG8" s="533"/>
      <c r="BH8" s="533"/>
      <c r="BI8" s="533"/>
      <c r="BJ8" s="533"/>
      <c r="BK8" s="533"/>
      <c r="BL8" s="533"/>
      <c r="BM8" s="533"/>
      <c r="BN8" s="533"/>
      <c r="BO8" s="533"/>
      <c r="BP8" s="533"/>
      <c r="BQ8" s="533"/>
      <c r="BR8" s="533"/>
      <c r="BS8" s="533"/>
      <c r="BT8" s="533"/>
      <c r="BU8" s="533"/>
      <c r="BV8" s="533"/>
      <c r="BW8" s="533"/>
      <c r="BX8" s="533"/>
      <c r="BY8" s="533"/>
      <c r="BZ8" s="533"/>
      <c r="CA8" s="533"/>
      <c r="CB8" s="533"/>
      <c r="CC8" s="533"/>
      <c r="CD8" s="533"/>
      <c r="CE8" s="533"/>
      <c r="CF8" s="533"/>
      <c r="CG8" s="533"/>
      <c r="CH8" s="533"/>
      <c r="CI8" s="533"/>
      <c r="CJ8" s="533"/>
      <c r="CK8" s="533"/>
      <c r="CL8" s="533"/>
      <c r="CM8" s="533"/>
      <c r="CN8" s="533"/>
      <c r="CO8" s="533"/>
      <c r="CP8" s="533"/>
      <c r="CQ8" s="533"/>
      <c r="CR8" s="533"/>
      <c r="CS8" s="533"/>
      <c r="CT8" s="533"/>
      <c r="CU8" s="533"/>
      <c r="CV8" s="533"/>
      <c r="CW8" s="533"/>
      <c r="CX8" s="533"/>
      <c r="CY8" s="533"/>
      <c r="CZ8" s="533"/>
      <c r="DA8" s="533"/>
      <c r="DB8" s="533"/>
      <c r="DC8" s="533"/>
      <c r="DD8" s="533"/>
      <c r="DE8" s="533"/>
      <c r="DF8" s="533"/>
      <c r="DG8" s="533"/>
      <c r="DH8" s="533"/>
      <c r="DI8" s="533"/>
      <c r="DJ8" s="533"/>
      <c r="DK8" s="533"/>
      <c r="DL8" s="533"/>
      <c r="DM8" s="533"/>
      <c r="DN8" s="533"/>
      <c r="DO8" s="533"/>
      <c r="DP8" s="533"/>
      <c r="DQ8" s="533"/>
      <c r="DR8" s="533"/>
      <c r="DS8" s="533"/>
      <c r="DT8" s="533"/>
      <c r="DU8" s="533"/>
      <c r="DV8" s="533"/>
      <c r="DW8" s="533"/>
      <c r="DX8" s="533"/>
      <c r="DY8" s="533"/>
      <c r="DZ8" s="533"/>
      <c r="EA8" s="533"/>
      <c r="EB8" s="533"/>
      <c r="EC8" s="533"/>
      <c r="ED8" s="533"/>
      <c r="EE8" s="533"/>
      <c r="EF8" s="533"/>
      <c r="EG8" s="533"/>
      <c r="EH8" s="533"/>
      <c r="EI8" s="533"/>
      <c r="EJ8" s="533"/>
      <c r="EK8" s="533"/>
      <c r="EL8" s="533"/>
    </row>
    <row r="9">
      <c r="A9" s="534" t="s">
        <v>945</v>
      </c>
      <c r="B9" s="535">
        <f>IFERROR(__xludf.DUMMYFUNCTION("FILTER(fees!C2:C53,Month($G$2)&amp;year($G$2) =Month(fees!$B$2:$B53)&amp;year(fees!$B$2:$B53))"),10.0)</f>
        <v>10</v>
      </c>
      <c r="C9" s="535">
        <f>IFERROR(__xludf.DUMMYFUNCTION("FILTER(fees!D2:D53,Month($G$2)&amp;year($G$2) =Month(fees!$B$2:$B53)&amp;year(fees!$B$2:$B53))"),50.0)</f>
        <v>50</v>
      </c>
      <c r="D9" s="535">
        <f>IFERROR(__xludf.DUMMYFUNCTION("FILTER(fees!E2:E53,Month($G$2)&amp;year($G$2) =Month(fees!$B$2:$B53)&amp;year(fees!$B$2:$B53))"),25.0)</f>
        <v>25</v>
      </c>
      <c r="E9" s="535">
        <f>IFERROR(__xludf.DUMMYFUNCTION("FILTER(fees!F2:F53,Month($G$2)&amp;year($G$2) =Month(fees!$B$2:$B53)&amp;year(fees!$B$2:$B53))"),50.0)</f>
        <v>50</v>
      </c>
      <c r="F9" s="535">
        <f>IFERROR(__xludf.DUMMYFUNCTION("FILTER(fees!G2:G53,Month($G$2)&amp;year($G$2) =Month(fees!$B$2:$B53)&amp;year(fees!$B$2:$B53))"),50.0)</f>
        <v>50</v>
      </c>
      <c r="G9" s="535">
        <f>IFERROR(__xludf.DUMMYFUNCTION("FILTER(fees!H2:H53,Month($G$2)&amp;year($G$2) =Month(fees!$B$2:$B53)&amp;year(fees!$B$2:$B53))"),100.0)</f>
        <v>100</v>
      </c>
      <c r="H9" s="535">
        <f>IFERROR(__xludf.DUMMYFUNCTION("FILTER(fees!I2:I53,Month($G$2)&amp;year($G$2) =Month(fees!$B$2:$B53)&amp;year(fees!$B$2:$B53))"),20.0)</f>
        <v>20</v>
      </c>
      <c r="I9" s="535">
        <f>IFERROR(__xludf.DUMMYFUNCTION("FILTER(fees!J2:J53,Month($G$2)&amp;year($G$2) =Month(fees!$B$2:$B53)&amp;year(fees!$B$2:$B53))"),100.0)</f>
        <v>100</v>
      </c>
      <c r="J9" s="535">
        <f>IFERROR(__xludf.DUMMYFUNCTION("FILTER(fees!K2:K53,Month($G$2)&amp;year($G$2) =Month(fees!$B$2:$B53)&amp;year(fees!$B$2:$B53))"),5.0)</f>
        <v>5</v>
      </c>
      <c r="K9" s="535">
        <f>IFERROR(__xludf.DUMMYFUNCTION("FILTER(fees!L2:L53,Month($G$2)&amp;year($G$2) =Month(fees!$B$2:$B53)&amp;year(fees!$B$2:$B53))"),0.0)</f>
        <v>0</v>
      </c>
      <c r="L9" s="535">
        <f>IFERROR(__xludf.DUMMYFUNCTION("FILTER(fees!M2:M53,Month($G$2)&amp;year($G$2) =Month(fees!$B$2:$B53)&amp;year(fees!$B$2:$B53))"),5.0)</f>
        <v>5</v>
      </c>
      <c r="M9" s="535">
        <f>IFERROR(__xludf.DUMMYFUNCTION("FILTER(fees!N2:N53,Month($G$2)&amp;year($G$2) =Month(fees!$B$2:$B53)&amp;year(fees!$B$2:$B53))"),0.0)</f>
        <v>0</v>
      </c>
      <c r="N9" s="535">
        <f>IFERROR(__xludf.DUMMYFUNCTION("FILTER(fees!O2:O53,Month($G$2)&amp;year($G$2) =Month(fees!$B$2:$B53)&amp;year(fees!$B$2:$B53))"),0.0)</f>
        <v>0</v>
      </c>
      <c r="O9" s="535">
        <f>IFERROR(__xludf.DUMMYFUNCTION("FILTER(fees!P2:P53,Month($G$2)&amp;year($G$2) =Month(fees!$B$2:$B53)&amp;year(fees!$B$2:$B53))"),0.0)</f>
        <v>0</v>
      </c>
      <c r="P9" s="535">
        <f>IFERROR(__xludf.DUMMYFUNCTION("FILTER(fees!Q2:Q53,Month($G$2)&amp;year($G$2) =Month(fees!$B$2:$B53)&amp;year(fees!$B$2:$B53))"),0.0)</f>
        <v>0</v>
      </c>
      <c r="Q9" s="535">
        <f>IFERROR(__xludf.DUMMYFUNCTION("FILTER(fees!R2:R53,Month($G$2)&amp;year($G$2) =Month(fees!$B$2:$B53)&amp;year(fees!$B$2:$B53))"),25.0)</f>
        <v>25</v>
      </c>
      <c r="R9" s="535">
        <f>IFERROR(__xludf.DUMMYFUNCTION("FILTER(fees!S2:S53,Month($G$2)&amp;year($G$2) =Month(fees!$B$2:$B53)&amp;year(fees!$B$2:$B53))"),35.0)</f>
        <v>35</v>
      </c>
      <c r="S9" s="535">
        <f>IFERROR(__xludf.DUMMYFUNCTION("FILTER(fees!T2:T53,Month($G$2)&amp;year($G$2) =Month(fees!$B$2:$B53)&amp;year(fees!$B$2:$B53))"),250.0)</f>
        <v>250</v>
      </c>
      <c r="T9" s="535">
        <f>IFERROR(__xludf.DUMMYFUNCTION("FILTER(fees!U2:U53,Month($G$2)&amp;year($G$2) =Month(fees!$B$2:$B53)&amp;year(fees!$B$2:$B53))"),50.0)</f>
        <v>50</v>
      </c>
      <c r="U9" s="535">
        <f>IFERROR(__xludf.DUMMYFUNCTION("FILTER(fees!V2:V53,Month($G$2)&amp;year($G$2) =Month(fees!$B$2:$B53)&amp;year(fees!$B$2:$B53))"),25.0)</f>
        <v>25</v>
      </c>
      <c r="V9" s="535">
        <f>IFERROR(__xludf.DUMMYFUNCTION("FILTER(fees!W2:W53,Month($G$2)&amp;year($G$2) =Month(fees!$B$2:$B53)&amp;year(fees!$B$2:$B53))"),40.0)</f>
        <v>40</v>
      </c>
      <c r="W9" s="535">
        <f>IFERROR(__xludf.DUMMYFUNCTION("FILTER(fees!X2:X53,Month($G$2)&amp;year($G$2) =Month(fees!$B$2:$B53)&amp;year(fees!$B$2:$B53))"),40.0)</f>
        <v>40</v>
      </c>
      <c r="X9" s="535">
        <f>IFERROR(__xludf.DUMMYFUNCTION("FILTER(fees!Y2:Y53,Month($G$2)&amp;year($G$2) =Month(fees!$B$2:$B53)&amp;year(fees!$B$2:$B53))"),2.0)</f>
        <v>2</v>
      </c>
      <c r="Y9" s="535">
        <f>IFERROR(__xludf.DUMMYFUNCTION("FILTER(fees!Z2:Z53,Month($G$2)&amp;year($G$2) =Month(fees!$B$2:$B53)&amp;year(fees!$B$2:$B53))"),2.0)</f>
        <v>2</v>
      </c>
      <c r="Z9" s="535">
        <f>IFERROR(__xludf.DUMMYFUNCTION("FILTER(fees!AA2:AA53,Month($G$2)&amp;year($G$2) =Month(fees!$B$2:$B53)&amp;year(fees!$B$2:$B53))"),200.0)</f>
        <v>200</v>
      </c>
      <c r="AA9" s="522"/>
      <c r="AB9" s="522"/>
      <c r="AC9" s="522"/>
      <c r="AD9" s="522"/>
      <c r="AE9" s="522"/>
      <c r="AF9" s="522"/>
      <c r="AG9" s="522"/>
      <c r="AH9" s="522"/>
      <c r="AI9" s="522"/>
      <c r="AJ9" s="522"/>
      <c r="AK9" s="522"/>
      <c r="AL9" s="522"/>
      <c r="AM9" s="522"/>
      <c r="AN9" s="522"/>
      <c r="AO9" s="522"/>
      <c r="AP9" s="522"/>
      <c r="AQ9" s="522"/>
      <c r="AR9" s="522"/>
      <c r="AS9" s="522"/>
      <c r="AT9" s="522"/>
      <c r="AU9" s="522"/>
      <c r="AV9" s="522"/>
      <c r="AW9" s="522"/>
      <c r="AX9" s="522"/>
      <c r="AY9" s="522"/>
      <c r="AZ9" s="522"/>
      <c r="BA9" s="522"/>
      <c r="BB9" s="522"/>
      <c r="BC9" s="522"/>
      <c r="BD9" s="522"/>
      <c r="BE9" s="522"/>
      <c r="BF9" s="522"/>
      <c r="BG9" s="522"/>
      <c r="BH9" s="522"/>
      <c r="BI9" s="522"/>
      <c r="BJ9" s="522"/>
      <c r="BK9" s="522"/>
      <c r="BL9" s="522"/>
      <c r="BM9" s="522"/>
      <c r="BN9" s="522"/>
      <c r="BO9" s="522"/>
      <c r="BP9" s="522"/>
      <c r="BQ9" s="522"/>
      <c r="BR9" s="522"/>
      <c r="BS9" s="522"/>
      <c r="BT9" s="522"/>
      <c r="BU9" s="522"/>
      <c r="BV9" s="522"/>
      <c r="BW9" s="522"/>
      <c r="BX9" s="522"/>
      <c r="BY9" s="522"/>
      <c r="BZ9" s="522"/>
      <c r="CA9" s="522"/>
      <c r="CB9" s="522"/>
      <c r="CC9" s="522"/>
      <c r="CD9" s="522"/>
      <c r="CE9" s="522"/>
      <c r="CF9" s="522"/>
      <c r="CG9" s="522"/>
      <c r="CH9" s="522"/>
      <c r="CI9" s="522"/>
      <c r="CJ9" s="522"/>
      <c r="CK9" s="522"/>
      <c r="CL9" s="522"/>
      <c r="CM9" s="522"/>
      <c r="CN9" s="522"/>
      <c r="CO9" s="522"/>
      <c r="CP9" s="522"/>
      <c r="CQ9" s="522"/>
      <c r="CR9" s="522"/>
      <c r="CS9" s="522"/>
      <c r="CT9" s="522"/>
      <c r="CU9" s="522"/>
      <c r="CV9" s="522"/>
      <c r="CW9" s="522"/>
      <c r="CX9" s="522"/>
      <c r="CY9" s="522"/>
      <c r="CZ9" s="522"/>
      <c r="DA9" s="522"/>
      <c r="DB9" s="522"/>
      <c r="DC9" s="522"/>
      <c r="DD9" s="522"/>
      <c r="DE9" s="522"/>
      <c r="DF9" s="522"/>
      <c r="DG9" s="522"/>
      <c r="DH9" s="522"/>
      <c r="DI9" s="522"/>
      <c r="DJ9" s="522"/>
      <c r="DK9" s="522"/>
      <c r="DL9" s="522"/>
      <c r="DM9" s="522"/>
      <c r="DN9" s="522"/>
      <c r="DO9" s="522"/>
      <c r="DP9" s="522"/>
      <c r="DQ9" s="522"/>
      <c r="DR9" s="522"/>
      <c r="DS9" s="522"/>
      <c r="DT9" s="522"/>
      <c r="DU9" s="522"/>
      <c r="DV9" s="522"/>
      <c r="DW9" s="522"/>
      <c r="DX9" s="522"/>
      <c r="DY9" s="522"/>
      <c r="DZ9" s="522"/>
      <c r="EA9" s="522"/>
      <c r="EB9" s="522"/>
      <c r="EC9" s="522"/>
      <c r="ED9" s="522"/>
      <c r="EE9" s="522"/>
      <c r="EF9" s="522"/>
      <c r="EG9" s="522"/>
      <c r="EH9" s="522"/>
      <c r="EI9" s="522"/>
      <c r="EJ9" s="522"/>
      <c r="EK9" s="522"/>
      <c r="EL9" s="522"/>
    </row>
    <row r="10">
      <c r="A10" s="522"/>
      <c r="B10" s="522"/>
      <c r="C10" s="522"/>
      <c r="D10" s="522"/>
      <c r="E10" s="522"/>
      <c r="F10" s="522"/>
      <c r="G10" s="522"/>
      <c r="H10" s="522"/>
      <c r="I10" s="522"/>
      <c r="J10" s="522"/>
      <c r="K10" s="522"/>
      <c r="L10" s="522"/>
      <c r="M10" s="522"/>
      <c r="N10" s="522"/>
      <c r="O10" s="522"/>
      <c r="P10" s="522"/>
      <c r="Q10" s="522"/>
      <c r="R10" s="522"/>
      <c r="S10" s="522"/>
      <c r="T10" s="522"/>
      <c r="U10" s="522"/>
      <c r="V10" s="522"/>
      <c r="W10" s="522"/>
      <c r="X10" s="522"/>
      <c r="Y10" s="522"/>
      <c r="Z10" s="522"/>
      <c r="AA10" s="522"/>
      <c r="AB10" s="522"/>
      <c r="AC10" s="522"/>
      <c r="AD10" s="522"/>
      <c r="AE10" s="522"/>
      <c r="AF10" s="522"/>
      <c r="AG10" s="522"/>
      <c r="AH10" s="522"/>
      <c r="AI10" s="522"/>
      <c r="AJ10" s="522"/>
      <c r="AK10" s="522"/>
      <c r="AL10" s="522"/>
      <c r="AM10" s="522"/>
      <c r="AN10" s="522"/>
      <c r="AO10" s="522"/>
      <c r="AP10" s="522"/>
      <c r="AQ10" s="522"/>
      <c r="AR10" s="522"/>
      <c r="AS10" s="522"/>
      <c r="AT10" s="522"/>
      <c r="AU10" s="522"/>
      <c r="AV10" s="522"/>
      <c r="AW10" s="522"/>
      <c r="AX10" s="522"/>
      <c r="AY10" s="522"/>
      <c r="AZ10" s="522"/>
      <c r="BA10" s="522"/>
      <c r="BB10" s="522"/>
      <c r="BC10" s="522"/>
      <c r="BD10" s="522"/>
      <c r="BE10" s="522"/>
      <c r="BF10" s="522"/>
      <c r="BG10" s="522"/>
      <c r="BH10" s="522"/>
      <c r="BI10" s="522"/>
      <c r="BJ10" s="522"/>
      <c r="BK10" s="522"/>
      <c r="BL10" s="522"/>
      <c r="BM10" s="522"/>
      <c r="BN10" s="522"/>
      <c r="BO10" s="522"/>
      <c r="BP10" s="522"/>
      <c r="BQ10" s="522"/>
      <c r="BR10" s="522"/>
      <c r="BS10" s="522"/>
      <c r="BT10" s="522"/>
      <c r="BU10" s="522"/>
      <c r="BV10" s="522"/>
      <c r="BW10" s="522"/>
      <c r="BX10" s="522"/>
      <c r="BY10" s="522"/>
      <c r="BZ10" s="522"/>
      <c r="CA10" s="522"/>
      <c r="CB10" s="522"/>
      <c r="CC10" s="522"/>
      <c r="CD10" s="522"/>
      <c r="CE10" s="522"/>
      <c r="CF10" s="522"/>
      <c r="CG10" s="522"/>
      <c r="CH10" s="522"/>
      <c r="CI10" s="522"/>
      <c r="CJ10" s="522"/>
      <c r="CK10" s="522"/>
      <c r="CL10" s="522"/>
      <c r="CM10" s="522"/>
      <c r="CN10" s="522"/>
      <c r="CO10" s="522"/>
      <c r="CP10" s="522"/>
      <c r="CQ10" s="522"/>
      <c r="CR10" s="522"/>
      <c r="CS10" s="522"/>
      <c r="CT10" s="522"/>
      <c r="CU10" s="522"/>
      <c r="CV10" s="522"/>
      <c r="CW10" s="522"/>
      <c r="CX10" s="522"/>
      <c r="CY10" s="522"/>
      <c r="CZ10" s="522"/>
      <c r="DA10" s="522"/>
      <c r="DB10" s="522"/>
      <c r="DC10" s="522"/>
      <c r="DD10" s="522"/>
      <c r="DE10" s="522"/>
      <c r="DF10" s="522"/>
      <c r="DG10" s="522"/>
      <c r="DH10" s="522"/>
      <c r="DI10" s="522"/>
      <c r="DJ10" s="522"/>
      <c r="DK10" s="522"/>
      <c r="DL10" s="522"/>
      <c r="DM10" s="522"/>
      <c r="DN10" s="522"/>
      <c r="DO10" s="522"/>
      <c r="DP10" s="522"/>
      <c r="DQ10" s="522"/>
      <c r="DR10" s="522"/>
      <c r="DS10" s="522"/>
      <c r="DT10" s="522"/>
      <c r="DU10" s="522"/>
      <c r="DV10" s="522"/>
      <c r="DW10" s="522"/>
      <c r="DX10" s="522"/>
      <c r="DY10" s="522"/>
      <c r="DZ10" s="522"/>
      <c r="EA10" s="522"/>
      <c r="EB10" s="522"/>
      <c r="EC10" s="522"/>
      <c r="ED10" s="522"/>
      <c r="EE10" s="522"/>
      <c r="EF10" s="522"/>
      <c r="EG10" s="522"/>
      <c r="EH10" s="522"/>
      <c r="EI10" s="522"/>
      <c r="EJ10" s="522"/>
      <c r="EK10" s="522"/>
      <c r="EL10" s="522"/>
    </row>
    <row r="11">
      <c r="A11" s="522"/>
      <c r="B11" s="536" t="s">
        <v>553</v>
      </c>
      <c r="C11" s="537" t="s">
        <v>554</v>
      </c>
      <c r="D11" s="537" t="s">
        <v>502</v>
      </c>
      <c r="E11" s="537" t="s">
        <v>554</v>
      </c>
      <c r="F11" s="537" t="s">
        <v>503</v>
      </c>
      <c r="G11" s="537" t="s">
        <v>554</v>
      </c>
      <c r="H11" s="537" t="s">
        <v>504</v>
      </c>
      <c r="I11" s="537" t="s">
        <v>554</v>
      </c>
      <c r="J11" s="538" t="s">
        <v>555</v>
      </c>
      <c r="K11" s="522"/>
      <c r="L11" s="522"/>
      <c r="M11" s="522"/>
      <c r="N11" s="522"/>
      <c r="O11" s="522"/>
      <c r="P11" s="522"/>
      <c r="Q11" s="522"/>
      <c r="R11" s="522"/>
      <c r="S11" s="522"/>
      <c r="T11" s="522"/>
      <c r="U11" s="522"/>
      <c r="V11" s="522"/>
      <c r="W11" s="522"/>
      <c r="X11" s="522"/>
      <c r="Y11" s="522"/>
      <c r="Z11" s="522"/>
      <c r="AA11" s="522"/>
      <c r="AB11" s="522"/>
      <c r="AC11" s="522"/>
      <c r="AD11" s="522"/>
      <c r="AE11" s="522"/>
      <c r="AF11" s="522"/>
      <c r="AG11" s="522"/>
      <c r="AH11" s="522"/>
      <c r="AI11" s="522"/>
      <c r="AJ11" s="522"/>
      <c r="AK11" s="522"/>
      <c r="AL11" s="522"/>
      <c r="AM11" s="522"/>
      <c r="AN11" s="522"/>
      <c r="AO11" s="522"/>
      <c r="AP11" s="522"/>
      <c r="AQ11" s="522"/>
      <c r="AR11" s="522"/>
      <c r="AS11" s="522"/>
      <c r="AT11" s="522"/>
      <c r="AU11" s="522"/>
      <c r="AV11" s="522"/>
      <c r="AW11" s="522"/>
      <c r="AX11" s="522"/>
      <c r="AY11" s="522"/>
      <c r="AZ11" s="522"/>
      <c r="BA11" s="522"/>
      <c r="BB11" s="522"/>
      <c r="BC11" s="522"/>
      <c r="BD11" s="522"/>
      <c r="BE11" s="522"/>
      <c r="BF11" s="522"/>
      <c r="BG11" s="522"/>
      <c r="BH11" s="522"/>
      <c r="BI11" s="522"/>
      <c r="BJ11" s="522"/>
      <c r="BK11" s="522"/>
      <c r="BL11" s="522"/>
      <c r="BM11" s="522"/>
      <c r="BN11" s="522"/>
      <c r="BO11" s="522"/>
      <c r="BP11" s="522"/>
      <c r="BQ11" s="522"/>
      <c r="BR11" s="522"/>
      <c r="BS11" s="522"/>
      <c r="BT11" s="522"/>
      <c r="BU11" s="522"/>
      <c r="BV11" s="522"/>
      <c r="BW11" s="522"/>
      <c r="BX11" s="522"/>
      <c r="BY11" s="522"/>
      <c r="BZ11" s="522"/>
      <c r="CA11" s="522"/>
      <c r="CB11" s="522"/>
      <c r="CC11" s="522"/>
      <c r="CD11" s="522"/>
      <c r="CE11" s="522"/>
      <c r="CF11" s="522"/>
      <c r="CG11" s="522"/>
      <c r="CH11" s="522"/>
      <c r="CI11" s="522"/>
      <c r="CJ11" s="522"/>
      <c r="CK11" s="522"/>
      <c r="CL11" s="522"/>
      <c r="CM11" s="522"/>
      <c r="CN11" s="522"/>
      <c r="CO11" s="522"/>
      <c r="CP11" s="522"/>
      <c r="CQ11" s="522"/>
      <c r="CR11" s="522"/>
      <c r="CS11" s="522"/>
      <c r="CT11" s="522"/>
      <c r="CU11" s="522"/>
      <c r="CV11" s="522"/>
      <c r="CW11" s="522"/>
      <c r="CX11" s="522"/>
      <c r="CY11" s="522"/>
      <c r="CZ11" s="522"/>
      <c r="DA11" s="522"/>
      <c r="DB11" s="522"/>
      <c r="DC11" s="522"/>
      <c r="DD11" s="522"/>
      <c r="DE11" s="522"/>
      <c r="DF11" s="522"/>
      <c r="DG11" s="522"/>
      <c r="DH11" s="522"/>
      <c r="DI11" s="522"/>
      <c r="DJ11" s="522"/>
      <c r="DK11" s="522"/>
      <c r="DL11" s="522"/>
      <c r="DM11" s="522"/>
      <c r="DN11" s="522"/>
      <c r="DO11" s="522"/>
      <c r="DP11" s="522"/>
      <c r="DQ11" s="522"/>
      <c r="DR11" s="522"/>
      <c r="DS11" s="522"/>
      <c r="DT11" s="522"/>
      <c r="DU11" s="522"/>
      <c r="DV11" s="522"/>
      <c r="DW11" s="522"/>
      <c r="DX11" s="522"/>
      <c r="DY11" s="522"/>
      <c r="DZ11" s="522"/>
      <c r="EA11" s="522"/>
      <c r="EB11" s="522"/>
      <c r="EC11" s="522"/>
      <c r="ED11" s="522"/>
      <c r="EE11" s="522"/>
      <c r="EF11" s="522"/>
      <c r="EG11" s="522"/>
      <c r="EH11" s="522"/>
      <c r="EI11" s="522"/>
      <c r="EJ11" s="522"/>
      <c r="EK11" s="522"/>
      <c r="EL11" s="522"/>
    </row>
    <row r="12">
      <c r="A12" s="518" t="s">
        <v>945</v>
      </c>
      <c r="B12" s="539">
        <f>sumifs('Form responses'!GN2:GN53,'Form responses'!$B$2:$B53,"&gt;="&amp;$E$2,'Form responses'!$C$2:$C53,"&lt;="&amp;$G$2)</f>
        <v>2</v>
      </c>
      <c r="C12" s="540">
        <f t="shared" ref="C12:C13" si="1">B12*$V$9</f>
        <v>80</v>
      </c>
      <c r="D12" s="540">
        <f>sumifs('Form responses'!GO2:GO53,'Form responses'!$B$2:$B53,"&gt;="&amp;$E$2,'Form responses'!$C$2:$C53,"&lt;="&amp;$G$2)</f>
        <v>2</v>
      </c>
      <c r="E12" s="540">
        <f t="shared" ref="E12:E13" si="2">D12*$W$9</f>
        <v>80</v>
      </c>
      <c r="F12" s="540">
        <f>sumifs('Form responses'!GP2:GP53,'Form responses'!$B$2:$B53,"&gt;="&amp;$E$2,'Form responses'!$C$2:$C53,"&lt;="&amp;$G$2)</f>
        <v>0</v>
      </c>
      <c r="G12" s="540">
        <f t="shared" ref="G12:G13" si="3">F12*$X$9</f>
        <v>0</v>
      </c>
      <c r="H12" s="540">
        <f>sumifs('Form responses'!GQ2:GQ53,'Form responses'!$B$2:$B53,"&gt;="&amp;$E$2,'Form responses'!$C$2:$C53,"&lt;="&amp;$G$2)</f>
        <v>20</v>
      </c>
      <c r="I12" s="540">
        <f t="shared" ref="I12:I13" si="4">H12*$Y$9</f>
        <v>40</v>
      </c>
      <c r="J12" s="541">
        <f>C12+E12+G12+I12</f>
        <v>200</v>
      </c>
      <c r="K12" s="522"/>
      <c r="L12" s="522"/>
      <c r="M12" s="522"/>
      <c r="N12" s="522"/>
      <c r="O12" s="522"/>
      <c r="P12" s="522"/>
      <c r="Q12" s="522"/>
      <c r="R12" s="522"/>
      <c r="S12" s="522"/>
      <c r="T12" s="522"/>
      <c r="U12" s="522"/>
      <c r="V12" s="522"/>
      <c r="W12" s="522"/>
      <c r="X12" s="522"/>
      <c r="Y12" s="522"/>
      <c r="Z12" s="522"/>
      <c r="AA12" s="522"/>
      <c r="AB12" s="522"/>
      <c r="AC12" s="522"/>
      <c r="AD12" s="522"/>
      <c r="AE12" s="522"/>
      <c r="AF12" s="522"/>
      <c r="AG12" s="522"/>
      <c r="AH12" s="522"/>
      <c r="AI12" s="522"/>
      <c r="AJ12" s="522"/>
      <c r="AK12" s="522"/>
      <c r="AL12" s="522"/>
      <c r="AM12" s="522"/>
      <c r="AN12" s="522"/>
      <c r="AO12" s="522"/>
      <c r="AP12" s="522"/>
      <c r="AQ12" s="522"/>
      <c r="AR12" s="522"/>
      <c r="AS12" s="522"/>
      <c r="AT12" s="522"/>
      <c r="AU12" s="522"/>
      <c r="AV12" s="522"/>
      <c r="AW12" s="522"/>
      <c r="AX12" s="522"/>
      <c r="AY12" s="522"/>
      <c r="AZ12" s="522"/>
      <c r="BA12" s="522"/>
      <c r="BB12" s="522"/>
      <c r="BC12" s="522"/>
      <c r="BD12" s="522"/>
      <c r="BE12" s="522"/>
      <c r="BF12" s="522"/>
      <c r="BG12" s="522"/>
      <c r="BH12" s="522"/>
      <c r="BI12" s="522"/>
      <c r="BJ12" s="522"/>
      <c r="BK12" s="522"/>
      <c r="BL12" s="522"/>
      <c r="BM12" s="522"/>
      <c r="BN12" s="522"/>
      <c r="BO12" s="522"/>
      <c r="BP12" s="522"/>
      <c r="BQ12" s="522"/>
      <c r="BR12" s="522"/>
      <c r="BS12" s="522"/>
      <c r="BT12" s="522"/>
      <c r="BU12" s="522"/>
      <c r="BV12" s="522"/>
      <c r="BW12" s="522"/>
      <c r="BX12" s="522"/>
      <c r="BY12" s="522"/>
      <c r="BZ12" s="522"/>
      <c r="CA12" s="522"/>
      <c r="CB12" s="522"/>
      <c r="CC12" s="522"/>
      <c r="CD12" s="522"/>
      <c r="CE12" s="522"/>
      <c r="CF12" s="522"/>
      <c r="CG12" s="522"/>
      <c r="CH12" s="522"/>
      <c r="CI12" s="522"/>
      <c r="CJ12" s="522"/>
      <c r="CK12" s="522"/>
      <c r="CL12" s="522"/>
      <c r="CM12" s="522"/>
      <c r="CN12" s="522"/>
      <c r="CO12" s="522"/>
      <c r="CP12" s="522"/>
      <c r="CQ12" s="522"/>
      <c r="CR12" s="522"/>
      <c r="CS12" s="522"/>
      <c r="CT12" s="522"/>
      <c r="CU12" s="522"/>
      <c r="CV12" s="522"/>
      <c r="CW12" s="522"/>
      <c r="CX12" s="522"/>
      <c r="CY12" s="522"/>
      <c r="CZ12" s="522"/>
      <c r="DA12" s="522"/>
      <c r="DB12" s="522"/>
      <c r="DC12" s="522"/>
      <c r="DD12" s="522"/>
      <c r="DE12" s="522"/>
      <c r="DF12" s="522"/>
      <c r="DG12" s="522"/>
      <c r="DH12" s="522"/>
      <c r="DI12" s="522"/>
      <c r="DJ12" s="522"/>
      <c r="DK12" s="522"/>
      <c r="DL12" s="522"/>
      <c r="DM12" s="522"/>
      <c r="DN12" s="522"/>
      <c r="DO12" s="522"/>
      <c r="DP12" s="522"/>
      <c r="DQ12" s="522"/>
      <c r="DR12" s="522"/>
      <c r="DS12" s="522"/>
      <c r="DT12" s="522"/>
      <c r="DU12" s="522"/>
      <c r="DV12" s="522"/>
      <c r="DW12" s="522"/>
      <c r="DX12" s="522"/>
      <c r="DY12" s="522"/>
      <c r="DZ12" s="522"/>
      <c r="EA12" s="522"/>
      <c r="EB12" s="522"/>
      <c r="EC12" s="522"/>
      <c r="ED12" s="522"/>
      <c r="EE12" s="522"/>
      <c r="EF12" s="522"/>
      <c r="EG12" s="522"/>
      <c r="EH12" s="522"/>
      <c r="EI12" s="522"/>
      <c r="EJ12" s="522"/>
      <c r="EK12" s="522"/>
      <c r="EL12" s="522"/>
    </row>
    <row r="13">
      <c r="A13" s="518" t="s">
        <v>946</v>
      </c>
      <c r="B13" s="542">
        <f>sumifs('Form responses'!GN2:GN53,'Form responses'!$B$2:$B53,"&gt;="&amp;Date(YEAR(DATE(YEAR($G$2),MONTH($G$2)+(-3),1)),4,1),'Form responses'!$C$2:$C53,"&lt;="&amp;$G$2)</f>
        <v>2</v>
      </c>
      <c r="C13" s="543">
        <f t="shared" si="1"/>
        <v>80</v>
      </c>
      <c r="D13" s="543">
        <f>sumifs('Form responses'!GO2:GO53,'Form responses'!$B$2:$B53,"&gt;="&amp;Date(YEAR(DATE(YEAR($G$2),MONTH($G$2)+(-3),1)),4,1),'Form responses'!$C$2:$C53,"&lt;="&amp;$G$2)</f>
        <v>2</v>
      </c>
      <c r="E13" s="543">
        <f t="shared" si="2"/>
        <v>80</v>
      </c>
      <c r="F13" s="543">
        <f>sumifs('Form responses'!GP2:GP53,'Form responses'!$B$2:$B53,"&gt;="&amp;Date(YEAR(DATE(YEAR($G$2),MONTH($G$2)+(-3),1)),4,1),'Form responses'!$C$2:$C53,"&lt;="&amp;$G$2)</f>
        <v>0</v>
      </c>
      <c r="G13" s="543">
        <f t="shared" si="3"/>
        <v>0</v>
      </c>
      <c r="H13" s="543">
        <f>sumifs('Form responses'!GQ2:GQ53,'Form responses'!$B$2:$B53,"&gt;="&amp;Date(YEAR(DATE(YEAR($G$2),MONTH($G$2)+(-3),1)),4,1),'Form responses'!$C$2:$C53,"&lt;="&amp;$G$2)</f>
        <v>20</v>
      </c>
      <c r="I13" s="543">
        <f t="shared" si="4"/>
        <v>40</v>
      </c>
      <c r="J13" s="544">
        <f>C12+E12+G12+I12</f>
        <v>200</v>
      </c>
      <c r="K13" s="522"/>
      <c r="L13" s="522"/>
      <c r="M13" s="522"/>
      <c r="N13" s="522"/>
      <c r="O13" s="522"/>
      <c r="P13" s="522"/>
      <c r="Q13" s="522"/>
      <c r="R13" s="522"/>
      <c r="S13" s="522"/>
      <c r="T13" s="522"/>
      <c r="U13" s="522"/>
      <c r="V13" s="522"/>
      <c r="W13" s="522"/>
      <c r="X13" s="522"/>
      <c r="Y13" s="522"/>
      <c r="Z13" s="522"/>
      <c r="AA13" s="522"/>
      <c r="AB13" s="522"/>
      <c r="AC13" s="522"/>
      <c r="AD13" s="522"/>
      <c r="AE13" s="522"/>
      <c r="AF13" s="522"/>
      <c r="AG13" s="522"/>
      <c r="AH13" s="522"/>
      <c r="AI13" s="522"/>
      <c r="AJ13" s="522"/>
      <c r="AK13" s="522"/>
      <c r="AL13" s="522"/>
      <c r="AM13" s="522"/>
      <c r="AN13" s="522"/>
      <c r="AO13" s="522"/>
      <c r="AP13" s="522"/>
      <c r="AQ13" s="522"/>
      <c r="AR13" s="522"/>
      <c r="AS13" s="522"/>
      <c r="AT13" s="522"/>
      <c r="AU13" s="522"/>
      <c r="AV13" s="522"/>
      <c r="AW13" s="522"/>
      <c r="AX13" s="522"/>
      <c r="AY13" s="522"/>
      <c r="AZ13" s="522"/>
      <c r="BA13" s="522"/>
      <c r="BB13" s="522"/>
      <c r="BC13" s="522"/>
      <c r="BD13" s="522"/>
      <c r="BE13" s="522"/>
      <c r="BF13" s="522"/>
      <c r="BG13" s="522"/>
      <c r="BH13" s="522"/>
      <c r="BI13" s="522"/>
      <c r="BJ13" s="522"/>
      <c r="BK13" s="522"/>
      <c r="BL13" s="522"/>
      <c r="BM13" s="522"/>
      <c r="BN13" s="522"/>
      <c r="BO13" s="522"/>
      <c r="BP13" s="522"/>
      <c r="BQ13" s="522"/>
      <c r="BR13" s="522"/>
      <c r="BS13" s="522"/>
      <c r="BT13" s="522"/>
      <c r="BU13" s="522"/>
      <c r="BV13" s="522"/>
      <c r="BW13" s="522"/>
      <c r="BX13" s="522"/>
      <c r="BY13" s="522"/>
      <c r="BZ13" s="522"/>
      <c r="CA13" s="522"/>
      <c r="CB13" s="522"/>
      <c r="CC13" s="522"/>
      <c r="CD13" s="522"/>
      <c r="CE13" s="522"/>
      <c r="CF13" s="522"/>
      <c r="CG13" s="522"/>
      <c r="CH13" s="522"/>
      <c r="CI13" s="522"/>
      <c r="CJ13" s="522"/>
      <c r="CK13" s="522"/>
      <c r="CL13" s="522"/>
      <c r="CM13" s="522"/>
      <c r="CN13" s="522"/>
      <c r="CO13" s="522"/>
      <c r="CP13" s="522"/>
      <c r="CQ13" s="522"/>
      <c r="CR13" s="522"/>
      <c r="CS13" s="522"/>
      <c r="CT13" s="522"/>
      <c r="CU13" s="522"/>
      <c r="CV13" s="522"/>
      <c r="CW13" s="522"/>
      <c r="CX13" s="522"/>
      <c r="CY13" s="522"/>
      <c r="CZ13" s="522"/>
      <c r="DA13" s="522"/>
      <c r="DB13" s="522"/>
      <c r="DC13" s="522"/>
      <c r="DD13" s="522"/>
      <c r="DE13" s="522"/>
      <c r="DF13" s="522"/>
      <c r="DG13" s="522"/>
      <c r="DH13" s="522"/>
      <c r="DI13" s="522"/>
      <c r="DJ13" s="522"/>
      <c r="DK13" s="522"/>
      <c r="DL13" s="522"/>
      <c r="DM13" s="522"/>
      <c r="DN13" s="522"/>
      <c r="DO13" s="522"/>
      <c r="DP13" s="522"/>
      <c r="DQ13" s="522"/>
      <c r="DR13" s="522"/>
      <c r="DS13" s="522"/>
      <c r="DT13" s="522"/>
      <c r="DU13" s="522"/>
      <c r="DV13" s="522"/>
      <c r="DW13" s="522"/>
      <c r="DX13" s="522"/>
      <c r="DY13" s="522"/>
      <c r="DZ13" s="522"/>
      <c r="EA13" s="522"/>
      <c r="EB13" s="522"/>
      <c r="EC13" s="522"/>
      <c r="ED13" s="522"/>
      <c r="EE13" s="522"/>
      <c r="EF13" s="522"/>
      <c r="EG13" s="522"/>
      <c r="EH13" s="522"/>
      <c r="EI13" s="522"/>
      <c r="EJ13" s="522"/>
      <c r="EK13" s="522"/>
      <c r="EL13" s="522"/>
    </row>
    <row r="14">
      <c r="A14" s="545"/>
      <c r="B14" s="545"/>
      <c r="C14" s="545"/>
      <c r="D14" s="545"/>
      <c r="E14" s="545"/>
      <c r="F14" s="545"/>
      <c r="G14" s="545"/>
      <c r="H14" s="545"/>
      <c r="I14" s="545"/>
      <c r="J14" s="545"/>
      <c r="K14" s="545"/>
      <c r="L14" s="545"/>
      <c r="M14" s="545"/>
      <c r="N14" s="545"/>
      <c r="O14" s="545"/>
      <c r="P14" s="545"/>
      <c r="Q14" s="545"/>
      <c r="R14" s="545"/>
      <c r="S14" s="545"/>
      <c r="T14" s="545"/>
      <c r="U14" s="545"/>
      <c r="V14" s="545"/>
      <c r="W14" s="545"/>
      <c r="X14" s="545"/>
      <c r="Y14" s="545"/>
      <c r="Z14" s="545"/>
      <c r="AA14" s="545"/>
      <c r="AB14" s="545"/>
      <c r="AC14" s="545"/>
      <c r="AD14" s="545"/>
      <c r="AE14" s="545"/>
      <c r="AF14" s="545"/>
      <c r="AG14" s="545"/>
      <c r="AH14" s="545"/>
      <c r="AI14" s="545"/>
      <c r="AJ14" s="545"/>
      <c r="AK14" s="545"/>
      <c r="AL14" s="545"/>
      <c r="AM14" s="545"/>
      <c r="AN14" s="545"/>
      <c r="AO14" s="545"/>
      <c r="AP14" s="545"/>
      <c r="AQ14" s="545"/>
      <c r="AR14" s="545"/>
      <c r="AS14" s="545"/>
      <c r="AT14" s="545"/>
      <c r="AU14" s="545"/>
      <c r="AV14" s="545"/>
      <c r="AW14" s="545"/>
      <c r="AX14" s="545"/>
      <c r="AY14" s="545"/>
      <c r="AZ14" s="545"/>
      <c r="BA14" s="545"/>
      <c r="BB14" s="545"/>
      <c r="BC14" s="545"/>
      <c r="BD14" s="545"/>
      <c r="BE14" s="545"/>
      <c r="BF14" s="545"/>
      <c r="BG14" s="545"/>
      <c r="BH14" s="545"/>
      <c r="BI14" s="545"/>
      <c r="BJ14" s="545"/>
      <c r="BK14" s="545"/>
      <c r="BL14" s="545"/>
      <c r="BM14" s="545"/>
      <c r="BN14" s="545"/>
      <c r="BO14" s="545"/>
      <c r="BP14" s="545"/>
      <c r="BQ14" s="545"/>
      <c r="BR14" s="545"/>
      <c r="BS14" s="545"/>
      <c r="BT14" s="545"/>
      <c r="BU14" s="545"/>
      <c r="BV14" s="545"/>
      <c r="BW14" s="545"/>
      <c r="BX14" s="545"/>
      <c r="BY14" s="545"/>
      <c r="BZ14" s="545"/>
      <c r="CA14" s="545"/>
      <c r="CB14" s="545"/>
      <c r="CC14" s="545"/>
      <c r="CD14" s="545"/>
      <c r="CE14" s="545"/>
      <c r="CF14" s="545"/>
      <c r="CG14" s="545"/>
      <c r="CH14" s="545"/>
      <c r="CI14" s="545"/>
      <c r="CJ14" s="545"/>
      <c r="CK14" s="545"/>
      <c r="CL14" s="545"/>
      <c r="CM14" s="545"/>
      <c r="CN14" s="545"/>
      <c r="CO14" s="545"/>
      <c r="CP14" s="545"/>
      <c r="CQ14" s="545"/>
      <c r="CR14" s="545"/>
      <c r="CS14" s="545"/>
      <c r="CT14" s="545"/>
      <c r="CU14" s="545"/>
      <c r="CV14" s="545"/>
      <c r="CW14" s="545"/>
      <c r="CX14" s="545"/>
      <c r="CY14" s="545"/>
      <c r="CZ14" s="545"/>
      <c r="DA14" s="545"/>
      <c r="DB14" s="545"/>
      <c r="DC14" s="545"/>
      <c r="DD14" s="545"/>
      <c r="DE14" s="545"/>
      <c r="DF14" s="545"/>
      <c r="DG14" s="545"/>
      <c r="DH14" s="545"/>
      <c r="DI14" s="545"/>
      <c r="DJ14" s="545"/>
      <c r="DK14" s="545"/>
      <c r="DL14" s="545"/>
      <c r="DM14" s="545"/>
      <c r="DN14" s="545"/>
      <c r="DO14" s="545"/>
      <c r="DP14" s="545"/>
      <c r="DQ14" s="545"/>
      <c r="DR14" s="545"/>
      <c r="DS14" s="545"/>
      <c r="DT14" s="545"/>
      <c r="DU14" s="545"/>
      <c r="DV14" s="545"/>
      <c r="DW14" s="545"/>
      <c r="DX14" s="545"/>
      <c r="DY14" s="545"/>
      <c r="DZ14" s="545"/>
      <c r="EA14" s="545"/>
      <c r="EB14" s="545"/>
      <c r="EC14" s="545"/>
      <c r="ED14" s="545"/>
      <c r="EE14" s="545"/>
      <c r="EF14" s="545"/>
      <c r="EG14" s="545"/>
      <c r="EH14" s="545"/>
      <c r="EI14" s="545"/>
      <c r="EJ14" s="545"/>
      <c r="EK14" s="522"/>
      <c r="EL14" s="522"/>
    </row>
    <row r="16">
      <c r="A16" s="546"/>
      <c r="B16" s="547" t="s">
        <v>972</v>
      </c>
      <c r="E16" s="548">
        <f>E2</f>
        <v>46113</v>
      </c>
      <c r="F16" s="549" t="s">
        <v>509</v>
      </c>
      <c r="G16" s="550">
        <f>G2</f>
        <v>46142</v>
      </c>
      <c r="H16" s="551"/>
      <c r="I16" s="552"/>
      <c r="J16" s="552"/>
      <c r="K16" s="551"/>
      <c r="L16" s="552"/>
      <c r="M16" s="551"/>
      <c r="N16" s="551"/>
      <c r="O16" s="551"/>
      <c r="P16" s="552"/>
      <c r="Q16" s="552"/>
      <c r="R16" s="552"/>
      <c r="S16" s="552"/>
      <c r="T16" s="552"/>
      <c r="U16" s="552"/>
      <c r="V16" s="552"/>
      <c r="W16" s="552"/>
      <c r="X16" s="552"/>
      <c r="Y16" s="552"/>
      <c r="Z16" s="552"/>
      <c r="AA16" s="552"/>
      <c r="AB16" s="552"/>
      <c r="AC16" s="552"/>
      <c r="AD16" s="552"/>
      <c r="AE16" s="552"/>
      <c r="AF16" s="552"/>
      <c r="AG16" s="552"/>
      <c r="AH16" s="552"/>
      <c r="AI16" s="552"/>
      <c r="AJ16" s="552"/>
      <c r="AK16" s="552"/>
      <c r="AL16" s="552"/>
      <c r="AM16" s="552"/>
      <c r="AN16" s="552"/>
      <c r="AO16" s="552"/>
      <c r="AP16" s="552"/>
      <c r="AQ16" s="552"/>
      <c r="AR16" s="552"/>
      <c r="AS16" s="552"/>
      <c r="AT16" s="552"/>
      <c r="AU16" s="552"/>
      <c r="AV16" s="552"/>
      <c r="AW16" s="552"/>
      <c r="AX16" s="552"/>
      <c r="AY16" s="552"/>
      <c r="AZ16" s="552"/>
      <c r="BA16" s="552"/>
      <c r="BB16" s="552"/>
      <c r="BC16" s="552"/>
      <c r="BD16" s="552"/>
      <c r="BE16" s="552"/>
      <c r="BF16" s="552"/>
      <c r="BG16" s="552"/>
      <c r="BH16" s="552"/>
      <c r="BI16" s="552"/>
      <c r="BJ16" s="552"/>
      <c r="BK16" s="552"/>
      <c r="BL16" s="552"/>
      <c r="BM16" s="552"/>
      <c r="BN16" s="552"/>
      <c r="BO16" s="552"/>
      <c r="BP16" s="552"/>
      <c r="BQ16" s="552"/>
      <c r="BR16" s="552"/>
      <c r="BS16" s="552"/>
      <c r="BT16" s="552"/>
      <c r="BU16" s="552"/>
      <c r="BV16" s="552"/>
      <c r="BW16" s="552"/>
      <c r="BX16" s="552"/>
      <c r="BY16" s="552"/>
      <c r="BZ16" s="552"/>
      <c r="CA16" s="552"/>
      <c r="CB16" s="552"/>
      <c r="CC16" s="552"/>
      <c r="CD16" s="552"/>
      <c r="CE16" s="552"/>
      <c r="CF16" s="552"/>
      <c r="CG16" s="552"/>
      <c r="CH16" s="552"/>
      <c r="CI16" s="552"/>
      <c r="CJ16" s="552"/>
      <c r="CK16" s="552"/>
      <c r="CL16" s="552"/>
      <c r="CM16" s="552"/>
      <c r="CN16" s="552"/>
      <c r="CO16" s="552"/>
      <c r="CP16" s="552"/>
      <c r="CQ16" s="552"/>
      <c r="CR16" s="552"/>
      <c r="CS16" s="552"/>
      <c r="CT16" s="552"/>
      <c r="CU16" s="552"/>
      <c r="CV16" s="552"/>
      <c r="CW16" s="552"/>
      <c r="CX16" s="552"/>
      <c r="CY16" s="552"/>
      <c r="CZ16" s="552"/>
      <c r="DA16" s="552"/>
      <c r="DB16" s="552"/>
      <c r="DC16" s="552"/>
      <c r="DD16" s="552"/>
      <c r="DE16" s="552"/>
      <c r="DF16" s="552"/>
      <c r="DG16" s="552"/>
      <c r="DH16" s="552"/>
      <c r="DI16" s="552"/>
      <c r="DJ16" s="552"/>
      <c r="DK16" s="552"/>
      <c r="DL16" s="552"/>
      <c r="DM16" s="552"/>
      <c r="DN16" s="552"/>
      <c r="DO16" s="552"/>
      <c r="DP16" s="552"/>
      <c r="DQ16" s="552"/>
      <c r="DR16" s="552"/>
      <c r="DS16" s="552"/>
      <c r="DT16" s="552"/>
      <c r="DU16" s="552"/>
      <c r="DV16" s="552"/>
      <c r="DW16" s="552"/>
      <c r="DX16" s="552"/>
      <c r="DY16" s="552"/>
      <c r="DZ16" s="552"/>
      <c r="EA16" s="552"/>
      <c r="EB16" s="552"/>
      <c r="EC16" s="552"/>
      <c r="ED16" s="552"/>
      <c r="EE16" s="552"/>
      <c r="EF16" s="552"/>
      <c r="EG16" s="552"/>
      <c r="EH16" s="552"/>
      <c r="EI16" s="552"/>
      <c r="EJ16" s="552"/>
      <c r="EK16" s="552"/>
      <c r="EL16" s="552"/>
    </row>
    <row r="17">
      <c r="A17" s="4"/>
      <c r="B17" s="80" t="s">
        <v>876</v>
      </c>
      <c r="C17" s="80" t="s">
        <v>877</v>
      </c>
      <c r="D17" s="80" t="s">
        <v>878</v>
      </c>
      <c r="E17" s="80" t="s">
        <v>879</v>
      </c>
      <c r="F17" s="80" t="s">
        <v>880</v>
      </c>
      <c r="G17" s="80" t="s">
        <v>881</v>
      </c>
      <c r="H17" s="80" t="s">
        <v>882</v>
      </c>
      <c r="I17" s="80" t="s">
        <v>883</v>
      </c>
      <c r="J17" s="80" t="s">
        <v>884</v>
      </c>
      <c r="K17" s="81" t="s">
        <v>885</v>
      </c>
      <c r="L17" s="80" t="s">
        <v>886</v>
      </c>
      <c r="M17" s="80" t="s">
        <v>887</v>
      </c>
      <c r="N17" s="80" t="s">
        <v>888</v>
      </c>
      <c r="O17" s="81" t="s">
        <v>889</v>
      </c>
      <c r="P17" s="80" t="s">
        <v>890</v>
      </c>
      <c r="Q17" s="80" t="s">
        <v>891</v>
      </c>
      <c r="R17" s="80" t="s">
        <v>892</v>
      </c>
      <c r="S17" s="80" t="s">
        <v>893</v>
      </c>
      <c r="T17" s="80" t="s">
        <v>383</v>
      </c>
      <c r="U17" s="80" t="s">
        <v>894</v>
      </c>
      <c r="V17" s="80" t="s">
        <v>895</v>
      </c>
      <c r="W17" s="80" t="s">
        <v>896</v>
      </c>
      <c r="X17" s="80" t="s">
        <v>596</v>
      </c>
      <c r="Y17" s="80" t="s">
        <v>897</v>
      </c>
      <c r="Z17" s="80" t="s">
        <v>598</v>
      </c>
      <c r="AA17" s="80" t="s">
        <v>898</v>
      </c>
      <c r="AB17" s="80" t="s">
        <v>600</v>
      </c>
      <c r="AC17" s="80" t="s">
        <v>899</v>
      </c>
      <c r="AD17" s="80" t="s">
        <v>397</v>
      </c>
      <c r="AE17" s="80" t="s">
        <v>900</v>
      </c>
      <c r="AF17" s="80" t="s">
        <v>901</v>
      </c>
      <c r="AG17" s="80" t="s">
        <v>902</v>
      </c>
      <c r="AH17" s="81" t="s">
        <v>903</v>
      </c>
      <c r="AI17" s="81" t="s">
        <v>904</v>
      </c>
      <c r="AJ17" s="80" t="s">
        <v>905</v>
      </c>
      <c r="AK17" s="80" t="s">
        <v>906</v>
      </c>
      <c r="AL17" s="80" t="s">
        <v>907</v>
      </c>
      <c r="AM17" s="80" t="s">
        <v>908</v>
      </c>
      <c r="AN17" s="80" t="s">
        <v>909</v>
      </c>
      <c r="AO17" s="80" t="s">
        <v>910</v>
      </c>
      <c r="AP17" s="80" t="s">
        <v>621</v>
      </c>
      <c r="AQ17" s="80" t="s">
        <v>911</v>
      </c>
      <c r="AR17" s="80" t="s">
        <v>413</v>
      </c>
      <c r="AS17" s="80" t="s">
        <v>912</v>
      </c>
      <c r="AT17" s="80" t="s">
        <v>421</v>
      </c>
      <c r="AU17" s="80" t="s">
        <v>422</v>
      </c>
      <c r="AV17" s="80" t="s">
        <v>423</v>
      </c>
      <c r="AW17" s="80" t="s">
        <v>913</v>
      </c>
      <c r="AX17" s="80" t="s">
        <v>425</v>
      </c>
      <c r="AY17" s="80" t="s">
        <v>914</v>
      </c>
      <c r="AZ17" s="80" t="s">
        <v>427</v>
      </c>
      <c r="BA17" s="80" t="s">
        <v>428</v>
      </c>
      <c r="BB17" s="80" t="s">
        <v>429</v>
      </c>
      <c r="BC17" s="80" t="s">
        <v>430</v>
      </c>
      <c r="BD17" s="81" t="s">
        <v>431</v>
      </c>
      <c r="BE17" s="81" t="s">
        <v>432</v>
      </c>
      <c r="BF17" s="80" t="s">
        <v>915</v>
      </c>
      <c r="BG17" s="80" t="s">
        <v>916</v>
      </c>
      <c r="BH17" s="80" t="s">
        <v>917</v>
      </c>
      <c r="BI17" s="80" t="s">
        <v>918</v>
      </c>
      <c r="BJ17" s="80" t="s">
        <v>919</v>
      </c>
      <c r="BK17" s="80" t="s">
        <v>920</v>
      </c>
      <c r="BL17" s="80" t="s">
        <v>441</v>
      </c>
      <c r="BM17" s="80" t="s">
        <v>442</v>
      </c>
      <c r="BN17" s="80" t="s">
        <v>443</v>
      </c>
      <c r="BO17" s="80" t="s">
        <v>444</v>
      </c>
      <c r="BP17" s="80" t="s">
        <v>921</v>
      </c>
      <c r="BQ17" s="80" t="s">
        <v>486</v>
      </c>
      <c r="BR17" s="80" t="s">
        <v>922</v>
      </c>
      <c r="BS17" s="80" t="s">
        <v>488</v>
      </c>
      <c r="BT17" s="80" t="s">
        <v>489</v>
      </c>
      <c r="BU17" s="81" t="s">
        <v>923</v>
      </c>
      <c r="BV17" s="80" t="s">
        <v>924</v>
      </c>
      <c r="BW17" s="80" t="s">
        <v>925</v>
      </c>
      <c r="BX17" s="80" t="s">
        <v>926</v>
      </c>
      <c r="BY17" s="80" t="s">
        <v>927</v>
      </c>
      <c r="BZ17" s="80" t="s">
        <v>928</v>
      </c>
      <c r="CA17" s="80" t="s">
        <v>929</v>
      </c>
      <c r="CB17" s="80" t="s">
        <v>930</v>
      </c>
      <c r="CC17" s="80" t="s">
        <v>471</v>
      </c>
      <c r="CD17" s="80" t="s">
        <v>472</v>
      </c>
      <c r="CE17" s="80" t="s">
        <v>473</v>
      </c>
      <c r="CF17" s="81" t="s">
        <v>474</v>
      </c>
      <c r="CG17" s="80" t="s">
        <v>931</v>
      </c>
      <c r="CH17" s="80" t="s">
        <v>932</v>
      </c>
      <c r="CI17" s="80" t="s">
        <v>933</v>
      </c>
      <c r="CJ17" s="80" t="s">
        <v>479</v>
      </c>
      <c r="CK17" s="80" t="s">
        <v>480</v>
      </c>
      <c r="CL17" s="81" t="s">
        <v>934</v>
      </c>
      <c r="CM17" s="81" t="s">
        <v>935</v>
      </c>
      <c r="CN17" s="81" t="s">
        <v>936</v>
      </c>
      <c r="CO17" s="81" t="s">
        <v>937</v>
      </c>
      <c r="CP17" s="81" t="s">
        <v>938</v>
      </c>
      <c r="CQ17" s="81" t="s">
        <v>939</v>
      </c>
      <c r="CR17" s="81" t="s">
        <v>940</v>
      </c>
      <c r="CS17" s="81" t="s">
        <v>941</v>
      </c>
      <c r="CT17" s="81" t="s">
        <v>942</v>
      </c>
      <c r="CU17" s="81" t="s">
        <v>943</v>
      </c>
      <c r="CV17" s="553" t="s">
        <v>944</v>
      </c>
    </row>
    <row r="18">
      <c r="A18" s="7" t="s">
        <v>945</v>
      </c>
      <c r="B18" s="554">
        <f>sumifs('Form responses'!BF2:BF53,'Form responses'!$C$2:$C53,"&gt;="&amp;$E$2,'Form responses'!$C$2:$C53,"&lt;="&amp;$G$2,'Form responses'!$F$2:$F53,"&lt;=4")</f>
        <v>376</v>
      </c>
      <c r="C18" s="554">
        <f>sumifs('Form responses'!BH2:BH53,'Form responses'!$C$2:$C53,"&gt;="&amp;$E$2,'Form responses'!$C$2:$C53,"&lt;="&amp;$G$2,'Form responses'!$F$2:$F53,"&lt;=4")</f>
        <v>30</v>
      </c>
      <c r="D18" s="554">
        <f>sumifs('Form responses'!BJ2:BJ53,'Form responses'!$C$2:$C53,"&gt;="&amp;$E$2,'Form responses'!$C$2:$C53,"&lt;="&amp;$G$2,'Form responses'!$F$2:$F53,"&lt;=4")</f>
        <v>45</v>
      </c>
      <c r="E18" s="554">
        <f>sumifs('Form responses'!BL2:BL53,'Form responses'!$C$2:$C53,"&gt;="&amp;$E$2,'Form responses'!$C$2:$C53,"&lt;="&amp;$G$2,'Form responses'!$F$2:$F53,"&lt;=4")</f>
        <v>170</v>
      </c>
      <c r="F18" s="554">
        <f>sumifs('Form responses'!BG2:BG53,'Form responses'!$C$2:$C53,"&gt;="&amp;$E$2,'Form responses'!$C$2:$C53,"&lt;="&amp;$G$2,'Form responses'!$F$2:$F53,"&lt;=4")</f>
        <v>292</v>
      </c>
      <c r="G18" s="554">
        <f>sumifs('Form responses'!BI2:BI53,'Form responses'!$C$2:$C53,"&gt;="&amp;$E$2,'Form responses'!$C$2:$C53,"&lt;="&amp;$G$2,'Form responses'!$F$2:$F53,"&lt;=4")</f>
        <v>20</v>
      </c>
      <c r="H18" s="554">
        <f>sumifs('Form responses'!BK2:BK53,'Form responses'!$C$2:$C53,"&gt;="&amp;$E$2,'Form responses'!$C$2:$C53,"&lt;="&amp;$G$2,'Form responses'!$F$2:$F53,"&lt;=4")</f>
        <v>35</v>
      </c>
      <c r="I18" s="554">
        <f>sumifs('Form responses'!BM2:BM53,'Form responses'!$C$2:$C53,"&gt;="&amp;$E$2,'Form responses'!$C$2:$C53,"&lt;="&amp;$G$2,'Form responses'!$F$2:$F53,"&lt;=4")</f>
        <v>130</v>
      </c>
      <c r="J18" s="554">
        <f>sumifs('Form responses'!BN2:BN53,'Form responses'!$C$2:$C53,"&gt;="&amp;$E$2,'Form responses'!$C$2:$C53,"&lt;="&amp;$G$2,'Form responses'!$F$2:$F53,"&lt;=4")</f>
        <v>176</v>
      </c>
      <c r="K18" s="554">
        <f>sumifs('Form responses'!BP2:BP53,'Form responses'!$C$2:$C53,"&gt;="&amp;$E$2,'Form responses'!$C$2:$C53,"&lt;="&amp;$G$2,'Form responses'!$F$2:$F53,"&lt;=4")</f>
        <v>0</v>
      </c>
      <c r="L18" s="554">
        <f>sumifs('Form responses'!BR2:BR53,'Form responses'!$C$2:$C53,"&gt;="&amp;$E$2,'Form responses'!$C$2:$C53,"&lt;="&amp;$G$2,'Form responses'!$F$2:$F53,"&lt;=4")</f>
        <v>0</v>
      </c>
      <c r="M18" s="554">
        <f>sumifs('Form responses'!CD2:CD53,'Form responses'!$C$2:$C53,"&gt;="&amp;$E$2,'Form responses'!$C$2:$C53,"&lt;="&amp;$G$2,'Form responses'!$F$2:$F53,"&lt;=4")</f>
        <v>0</v>
      </c>
      <c r="N18" s="554">
        <f>sumifs('Form responses'!BO2:BO53,'Form responses'!$C$2:$C53,"&gt;="&amp;$E$2,'Form responses'!$C$2:$C53,"&lt;="&amp;$G$2,'Form responses'!$F$2:$F53,"&lt;=4")</f>
        <v>125</v>
      </c>
      <c r="O18" s="554">
        <f>sumifs('Form responses'!BQ2:BQ53,'Form responses'!$C$2:$C53,"&gt;="&amp;$E$2,'Form responses'!$C$2:$C53,"&lt;="&amp;$G$2,'Form responses'!$F$2:$F53,"&lt;=4")</f>
        <v>0</v>
      </c>
      <c r="P18" s="554">
        <f>sumifs('Form responses'!BS2:BS53,'Form responses'!$C$2:$C53,"&gt;="&amp;$E$2,'Form responses'!$C$2:$C53,"&lt;="&amp;$G$2,'Form responses'!$F$2:$F53,"&lt;=4")</f>
        <v>0</v>
      </c>
      <c r="Q18" s="554">
        <f>sumifs('Form responses'!CE2:CE53,'Form responses'!$C$2:$C53,"&gt;="&amp;$E$2,'Form responses'!$C$2:$C53,"&lt;="&amp;$G$2,'Form responses'!$F$2:$F53,"&lt;=4")</f>
        <v>0</v>
      </c>
      <c r="R18" s="554">
        <f>sumifs('Form responses'!BC2:BC53,'Form responses'!$C$2:$C53,"&gt;="&amp;$E$2,'Form responses'!$C$2:$C53,"&lt;="&amp;$G$2,'Form responses'!$F$2:$F53,"&lt;=4")</f>
        <v>0</v>
      </c>
      <c r="S18" s="554">
        <f>sumifs('Form responses'!BD2:BD53,'Form responses'!$C$2:$C53,"&gt;="&amp;$E$2,'Form responses'!$C$2:$C53,"&lt;="&amp;$G$2,'Form responses'!$F$2:$F53,"&lt;=4")</f>
        <v>24</v>
      </c>
      <c r="T18" s="554">
        <f>sumifs('Form responses'!BZ2:BZ53,'Form responses'!$C$2:$C53,"&gt;="&amp;$E$2,'Form responses'!$C$2:$C53,"&lt;="&amp;$G$2,'Form responses'!$F$2:$F53,"&lt;=4")</f>
        <v>364</v>
      </c>
      <c r="U18" s="554">
        <f>sumifs('Form responses'!CB2:CB53,'Form responses'!$C$2:$C53,"&gt;="&amp;$E$2,'Form responses'!$C$2:$C53,"&lt;="&amp;$G$2,'Form responses'!$F$2:$F53,"&lt;=4")</f>
        <v>272</v>
      </c>
      <c r="V18" s="554">
        <f>sumifs('Form responses'!CA2:CA53,'Form responses'!$C$2:$C53,"&gt;="&amp;$E$2,'Form responses'!$C$2:$C53,"&lt;="&amp;$G$2,'Form responses'!$F$2:$F53,"&lt;=4")</f>
        <v>270</v>
      </c>
      <c r="W18" s="554">
        <f>sumifs('Form responses'!CC2:CC53,'Form responses'!$C$2:$C53,"&gt;="&amp;$E$2,'Form responses'!$C$2:$C53,"&lt;="&amp;$G$2,'Form responses'!$F$2:$F53,"&lt;=4")</f>
        <v>184</v>
      </c>
      <c r="X18" s="554">
        <f>sumifs('Form responses'!CH2:CH53,'Form responses'!$C$2:$C53,"&gt;="&amp;$E$2,'Form responses'!$C$2:$C53,"&lt;="&amp;$G$2,'Form responses'!$F$2:$F53,"&lt;=4")</f>
        <v>0</v>
      </c>
      <c r="Y18" s="554">
        <f>sumifs('Form responses'!CI2:CI53,'Form responses'!$C$2:$C53,"&gt;="&amp;$E$2,'Form responses'!$C$2:$C53,"&lt;="&amp;$G$2,'Form responses'!$F$2:$F53,"&lt;=4")</f>
        <v>0</v>
      </c>
      <c r="Z18" s="554">
        <f>sumifs('Form responses'!CJ2:CJ53,'Form responses'!$C$2:$C53,"&gt;="&amp;$E$2,'Form responses'!$C$2:$C53,"&lt;="&amp;$G$2,'Form responses'!$F$2:$F53,"&lt;=4")</f>
        <v>0</v>
      </c>
      <c r="AA18" s="554">
        <f>sumifs('Form responses'!CK2:CK53,'Form responses'!$C$2:$C53,"&gt;="&amp;$E$2,'Form responses'!$C$2:$C53,"&lt;="&amp;$G$2,'Form responses'!$F$2:$F53,"&lt;=4")</f>
        <v>0</v>
      </c>
      <c r="AB18" s="554">
        <f>sumifs('Form responses'!CL2:CL53,'Form responses'!$C$2:$C53,"&gt;="&amp;$E$2,'Form responses'!$C$2:$C53,"&lt;="&amp;$G$2,'Form responses'!$F$2:$F53,"&lt;=4")</f>
        <v>14</v>
      </c>
      <c r="AC18" s="554">
        <f>sumifs('Form responses'!CM2:CM53,'Form responses'!$C$2:$C53,"&gt;="&amp;$E$2,'Form responses'!$C$2:$C53,"&lt;="&amp;$G$2,'Form responses'!$F$2:$F53,"&lt;=4")</f>
        <v>7</v>
      </c>
      <c r="AD18" s="554">
        <f>sumifs('Form responses'!CN2:CN53,'Form responses'!$C$2:$C53,"&gt;="&amp;$E$2,'Form responses'!$C$2:$C53,"&lt;="&amp;$G$2,'Form responses'!$F$2:$F53,"&lt;=4")</f>
        <v>76</v>
      </c>
      <c r="AE18" s="554">
        <f>sumifs('Form responses'!CO2:CO53,'Form responses'!$C$2:$C53,"&gt;="&amp;$E$2,'Form responses'!$C$2:$C53,"&lt;="&amp;$G$2,'Form responses'!$F$2:$F53,"&lt;=4")</f>
        <v>43</v>
      </c>
      <c r="AF18" s="554">
        <f>sumifs('Form responses'!CP2:CP53,'Form responses'!$C$2:$C53,"&gt;="&amp;$E$2,'Form responses'!$C$2:$C53,"&lt;="&amp;$G$2,'Form responses'!$F$2:$F53,"&lt;=4")</f>
        <v>588</v>
      </c>
      <c r="AG18" s="554">
        <f>sumifs('Form responses'!CQ2:CQ53,'Form responses'!$C$2:$C53,"&gt;="&amp;$E$2,'Form responses'!$C$2:$C53,"&lt;="&amp;$G$2,'Form responses'!$F$2:$F53,"&lt;=4")</f>
        <v>312</v>
      </c>
      <c r="AH18" s="554">
        <f>sumifs('Form responses'!CR2:CR53,'Form responses'!$C$2:$C53,"&gt;="&amp;$E$2,'Form responses'!$C$2:$C53,"&lt;="&amp;$G$2,'Form responses'!$F$2:$F53,"&lt;=4")</f>
        <v>0</v>
      </c>
      <c r="AI18" s="554">
        <f>sumifs('Form responses'!CS2:CS53,'Form responses'!$C$2:$C53,"&gt;="&amp;$E$2,'Form responses'!$C$2:$C53,"&lt;="&amp;$G$2,'Form responses'!$F$2:$F53,"&lt;=4")</f>
        <v>0</v>
      </c>
      <c r="AJ18" s="554">
        <f>sumifs('Form responses'!CT2:CT53,'Form responses'!$C$2:$C53,"&gt;="&amp;$E$2,'Form responses'!$C$2:$C53,"&lt;="&amp;$G$2,'Form responses'!$F$2:$F53,"&lt;=4")</f>
        <v>144</v>
      </c>
      <c r="AK18" s="554">
        <f>sumifs('Form responses'!CU2:CU53,'Form responses'!$C$2:$C53,"&gt;="&amp;$E$2,'Form responses'!$C$2:$C53,"&lt;="&amp;$G$2,'Form responses'!$F$2:$F53,"&lt;=4")</f>
        <v>56</v>
      </c>
      <c r="AL18" s="554">
        <f>sumifs('Form responses'!DF2:DF53,'Form responses'!$C$2:$C53,"&gt;="&amp;$E$2,'Form responses'!$C$2:$C53,"&lt;="&amp;$G$2,'Form responses'!$F$2:$F53,"&lt;=4")</f>
        <v>0</v>
      </c>
      <c r="AM18" s="554">
        <f>sumifs('Form responses'!DG2:DG53,'Form responses'!$C$2:$C53,"&gt;="&amp;$E$2,'Form responses'!$C$2:$C53,"&lt;="&amp;$G$2,'Form responses'!$F$2:$F53,"&lt;=4")</f>
        <v>0</v>
      </c>
      <c r="AN18" s="554">
        <f>sumifs('Form responses'!BA2:BA53,'Form responses'!$C$2:$C53,"&gt;="&amp;$E$2,'Form responses'!$C$2:$C53,"&lt;="&amp;$G$2,'Form responses'!$F$2:$F53,"&lt;=4")</f>
        <v>0</v>
      </c>
      <c r="AO18" s="554">
        <f>sumifs('Form responses'!BB2:BB53,'Form responses'!$C$2:$C53,"&gt;="&amp;$E$2,'Form responses'!$C$2:$C53,"&lt;="&amp;$G$2,'Form responses'!$F$2:$F53,"&lt;=4")</f>
        <v>0</v>
      </c>
      <c r="AP18" s="554">
        <f>sumifs('Form responses'!DB2:DB53,'Form responses'!$C$2:$C53,"&gt;="&amp;$E$2,'Form responses'!$C$2:$C53,"&lt;="&amp;$G$2,'Form responses'!$F$2:$F53,"&lt;=4")</f>
        <v>776</v>
      </c>
      <c r="AQ18" s="554">
        <f>sumifs('Form responses'!DC2:DC53,'Form responses'!$C$2:$C53,"&gt;="&amp;$E$2,'Form responses'!$C$2:$C53,"&lt;="&amp;$G$2,'Form responses'!$F$2:$F53,"&lt;=4")</f>
        <v>430</v>
      </c>
      <c r="AR18" s="554">
        <f>sumifs('Form responses'!DD2:DD53,'Form responses'!$C$2:$C53,"&gt;="&amp;$E$2,'Form responses'!$C$2:$C53,"&lt;="&amp;$G$2,'Form responses'!$F$2:$F53,"&lt;=4")</f>
        <v>13</v>
      </c>
      <c r="AS18" s="554">
        <f>sumifs('Form responses'!DE2:DE53,'Form responses'!$C$2:$C53,"&gt;="&amp;$E$2,'Form responses'!$C$2:$C53,"&lt;="&amp;$G$2,'Form responses'!$F$2:$F53,"&lt;=4")</f>
        <v>8</v>
      </c>
      <c r="AT18" s="554">
        <f>sumifs('Form responses'!DL2:DL53,'Form responses'!$C$2:$C53,"&gt;="&amp;$E$2,'Form responses'!$C$2:$C53,"&lt;="&amp;$G$2,'Form responses'!$F$2:$F53,"&lt;=4")</f>
        <v>6</v>
      </c>
      <c r="AU18" s="554">
        <f>sumifs('Form responses'!DM2:DM53,'Form responses'!$C$2:$C53,"&gt;="&amp;$E$2,'Form responses'!$C$2:$C53,"&lt;="&amp;$G$2,'Form responses'!$F$2:$F53,"&lt;=4")</f>
        <v>2</v>
      </c>
      <c r="AV18" s="554">
        <f>sumifs('Form responses'!DN2:DN53,'Form responses'!$C$2:$C53,"&gt;="&amp;$E$2,'Form responses'!$C$2:$C53,"&lt;="&amp;$G$2,'Form responses'!$F$2:$F53,"&lt;=4")</f>
        <v>1</v>
      </c>
      <c r="AW18" s="554">
        <f>sumifs('Form responses'!DO2:DO53,'Form responses'!$C$2:$C53,"&gt;="&amp;$E$2,'Form responses'!$C$2:$C53,"&lt;="&amp;$G$2,'Form responses'!$F$2:$F53,"&lt;=4")</f>
        <v>1</v>
      </c>
      <c r="AX18" s="554">
        <f>sumifs('Form responses'!DP2:DP53,'Form responses'!$C$2:$C53,"&gt;="&amp;$E$2,'Form responses'!$C$2:$C53,"&lt;="&amp;$G$2,'Form responses'!$F$2:$F53,"&lt;=4")</f>
        <v>3</v>
      </c>
      <c r="AY18" s="554">
        <f>sumifs('Form responses'!DQ2:DQ53,'Form responses'!$C$2:$C53,"&gt;="&amp;$E$2,'Form responses'!$C$2:$C53,"&lt;="&amp;$G$2,'Form responses'!$F$2:$F53,"&lt;=4")</f>
        <v>2</v>
      </c>
      <c r="AZ18" s="554">
        <f>sumifs('Form responses'!DR2:DR53,'Form responses'!$C$2:$C53,"&gt;="&amp;$E$2,'Form responses'!$C$2:$C53,"&lt;="&amp;$G$2,'Form responses'!$F$2:$F53,"&lt;=4")</f>
        <v>25</v>
      </c>
      <c r="BA18" s="554">
        <f>sumifs('Form responses'!DS2:DS53,'Form responses'!$C$2:$C53,"&gt;="&amp;$E$2,'Form responses'!$C$2:$C53,"&lt;="&amp;$G$2,'Form responses'!$F$2:$F53,"&lt;=4")</f>
        <v>28</v>
      </c>
      <c r="BB18" s="554">
        <f>sumifs('Form responses'!DT2:DT53,'Form responses'!$C$2:$C53,"&gt;="&amp;$E$2,'Form responses'!$C$2:$C53,"&lt;="&amp;$G$2,'Form responses'!$F$2:$F53,"&lt;=4")</f>
        <v>111</v>
      </c>
      <c r="BC18" s="554">
        <f>sumifs('Form responses'!DU2:DU53,'Form responses'!$C$2:$C53,"&gt;="&amp;$E$2,'Form responses'!$C$2:$C53,"&lt;="&amp;$G$2,'Form responses'!$F$2:$F53,"&lt;=4")</f>
        <v>103</v>
      </c>
      <c r="BD18" s="554">
        <f>sumifs('Form responses'!DV2:DV53,'Form responses'!$C$2:$C53,"&gt;="&amp;$E$2,'Form responses'!$C$2:$C53,"&lt;="&amp;$G$2,'Form responses'!$F$2:$F53,"&lt;=4")</f>
        <v>0</v>
      </c>
      <c r="BE18" s="554">
        <f>sumifs('Form responses'!DW2:DW53,'Form responses'!$C$2:$C53,"&gt;="&amp;$E$2,'Form responses'!$C$2:$C53,"&lt;="&amp;$G$2,'Form responses'!$F$2:$F53,"&lt;=4")</f>
        <v>0</v>
      </c>
      <c r="BF18" s="554">
        <f>sumifs('Form responses'!DX2:DX53,'Form responses'!$C$2:$C53,"&gt;="&amp;$E$2,'Form responses'!$C$2:$C53,"&lt;="&amp;$G$2,'Form responses'!$F$2:$F53,"&lt;=4")</f>
        <v>0</v>
      </c>
      <c r="BG18" s="554">
        <f>sumifs('Form responses'!DY2:DY53,'Form responses'!$C$2:$C53,"&gt;="&amp;$E$2,'Form responses'!$C$2:$C53,"&lt;="&amp;$G$2,'Form responses'!$F$2:$F53,"&lt;=4")</f>
        <v>15</v>
      </c>
      <c r="BH18" s="554">
        <f>sumifs('Form responses'!EJ2:EJ53,'Form responses'!$C$2:$C53,"&gt;="&amp;$E$2,'Form responses'!$C$2:$C53,"&lt;="&amp;$G$2,'Form responses'!$F$2:$F53,"&lt;=4")</f>
        <v>0</v>
      </c>
      <c r="BI18" s="554">
        <f>sumifs('Form responses'!EK2:EK53,'Form responses'!$C$2:$C53,"&gt;="&amp;$E$2,'Form responses'!$C$2:$C53,"&lt;="&amp;$G$2,'Form responses'!$F$2:$F53,"&lt;=4")</f>
        <v>0</v>
      </c>
      <c r="BJ18" s="554">
        <f>sumifs('Form responses'!EN2:EN53,'Form responses'!$C$2:$C53,"&gt;="&amp;$E$2,'Form responses'!$C$2:$C53,"&lt;="&amp;$G$2,'Form responses'!$F$2:$F53,"&lt;=4")</f>
        <v>0</v>
      </c>
      <c r="BK18" s="554">
        <f>sumifs('Form responses'!EO2:EO53,'Form responses'!$C$2:$C53,"&gt;="&amp;$E$2,'Form responses'!$C$2:$C53,"&lt;="&amp;$G$2,'Form responses'!$F$2:$F53,"&lt;=4")</f>
        <v>0</v>
      </c>
      <c r="BL18" s="554">
        <f>sumifs('Form responses'!EF2:EF53,'Form responses'!$C$2:$C53,"&gt;="&amp;$E$2,'Form responses'!$C$2:$C53,"&lt;="&amp;$G$2,'Form responses'!$F$2:$F53,"&lt;=4")</f>
        <v>66</v>
      </c>
      <c r="BM18" s="554">
        <f>sumifs('Form responses'!EG2:EG53,'Form responses'!$C$2:$C53,"&gt;="&amp;$E$2,'Form responses'!$C$2:$C53,"&lt;="&amp;$G$2,'Form responses'!$F$2:$F53,"&lt;=4")</f>
        <v>60</v>
      </c>
      <c r="BN18" s="554">
        <f>sumifs('Form responses'!EH2:EH53,'Form responses'!$C$2:$C53,"&gt;="&amp;$E$2,'Form responses'!$C$2:$C53,"&lt;="&amp;$G$2,'Form responses'!$F$2:$F53,"&lt;=4")</f>
        <v>21</v>
      </c>
      <c r="BO18" s="554">
        <f>sumifs('Form responses'!EI2:EI53,'Form responses'!$C$2:$C53,"&gt;="&amp;$E$2,'Form responses'!$C$2:$C53,"&lt;="&amp;$G$2,'Form responses'!$F$2:$F53,"&lt;=4")</f>
        <v>20</v>
      </c>
      <c r="BP18" s="554">
        <f>sumifs('Form responses'!FX2:FX53,'Form responses'!$C$2:$C53,"&gt;="&amp;$E$2,'Form responses'!$C$2:$C53,"&lt;="&amp;$G$2,'Form responses'!$F$2:$F53,"&lt;=4")</f>
        <v>4</v>
      </c>
      <c r="BQ18" s="554">
        <f>sumifs('Form responses'!FY2:FY53,'Form responses'!$C$2:$C53,"&gt;="&amp;$E$2,'Form responses'!$C$2:$C53,"&lt;="&amp;$G$2,'Form responses'!$F$2:$F53,"&lt;=4")</f>
        <v>0</v>
      </c>
      <c r="BR18" s="554">
        <f>sumifs('Form responses'!FZ2:FZ53,'Form responses'!$C$2:$C53,"&gt;="&amp;$E$2,'Form responses'!$C$2:$C53,"&lt;="&amp;$G$2,'Form responses'!$F$2:$F53,"&lt;=4")</f>
        <v>133</v>
      </c>
      <c r="BS18" s="554">
        <f>sumifs('Form responses'!GA2:GA53,'Form responses'!$C$2:$C53,"&gt;="&amp;$E$2,'Form responses'!$C$2:$C53,"&lt;="&amp;$G$2,'Form responses'!$F$2:$F53,"&lt;=4")</f>
        <v>0</v>
      </c>
      <c r="BT18" s="554">
        <f>sumifs('Form responses'!GB2:GB53,'Form responses'!$C$2:$C53,"&gt;="&amp;$E$2,'Form responses'!$C$2:$C53,"&lt;="&amp;$G$2,'Form responses'!$F$2:$F53,"&lt;=4")</f>
        <v>0</v>
      </c>
      <c r="BU18" s="554">
        <f>sumifs('Form responses'!GC2:GC53,'Form responses'!$C$2:$C53,"&gt;="&amp;$E$2,'Form responses'!$C$2:$C53,"&lt;="&amp;$G$2,'Form responses'!$F$2:$F53,"&lt;=4")</f>
        <v>0</v>
      </c>
      <c r="BV18" s="554">
        <f>sumifs('Form responses'!GL2:GL53,'Form responses'!$C$2:$C53,"&gt;="&amp;$E$2,'Form responses'!$C$2:$C53,"&lt;="&amp;$G$2,'Form responses'!$F$2:$F53,"&lt;=4")</f>
        <v>0</v>
      </c>
      <c r="BW18" s="554">
        <f>sumifs('Form responses'!AC2:AC53,'Form responses'!$C$2:$C53,"&gt;="&amp;$E$2,'Form responses'!$C$2:$C53,"&lt;="&amp;$G$2,'Form responses'!$F$2:$F53,"&lt;=4")</f>
        <v>0</v>
      </c>
      <c r="BX18" s="554">
        <f>sumifs('Form responses'!AD2:AD53,'Form responses'!$C$2:$C53,"&gt;="&amp;$E$2,'Form responses'!$C$2:$C53,"&lt;="&amp;$G$2,'Form responses'!$F$2:$F53,"&lt;=4")</f>
        <v>0</v>
      </c>
      <c r="BY18" s="554">
        <f>sumifs('Form responses'!GH2:GH53,'Form responses'!$C$2:$C53,"&gt;="&amp;$E$2,'Form responses'!$C$2:$C53,"&lt;="&amp;$G$2,'Form responses'!$F$2:$F53,"&lt;=4")</f>
        <v>0</v>
      </c>
      <c r="BZ18" s="554">
        <f>sumifs('Form responses'!GI2:GI53,'Form responses'!$C$2:$C53,"&gt;="&amp;$E$2,'Form responses'!$C$2:$C53,"&lt;="&amp;$G$2,'Form responses'!$F$2:$F53,"&lt;=4")</f>
        <v>0</v>
      </c>
      <c r="CA18" s="554">
        <f>sumifs('Form responses'!FH2:FH53,'Form responses'!$C$2:$C53,"&gt;="&amp;$E$2,'Form responses'!$C$2:$C53,"&lt;="&amp;$G$2,'Form responses'!$F$2:$F53,"&lt;=4")</f>
        <v>85</v>
      </c>
      <c r="CB18" s="554">
        <f>sumifs('Form responses'!FI2:FI53,'Form responses'!$C$2:$C53,"&gt;="&amp;$E$2,'Form responses'!$C$2:$C53,"&lt;="&amp;$G$2,'Form responses'!$F$2:$F53,"&lt;=4")</f>
        <v>0</v>
      </c>
      <c r="CC18" s="554">
        <f>sumifs('Form responses'!FJ2:FJ53,'Form responses'!$C$2:$C53,"&gt;="&amp;$E$2,'Form responses'!$C$2:$C53,"&lt;="&amp;$G$2,'Form responses'!$F$2:$F53,"&lt;=4")</f>
        <v>0</v>
      </c>
      <c r="CD18" s="554">
        <f>sumifs('Form responses'!FK2:FK53,'Form responses'!$C$2:$C53,"&gt;="&amp;$E$2,'Form responses'!$C$2:$C53,"&lt;="&amp;$G$2,'Form responses'!$F$2:$F53,"&lt;=4")</f>
        <v>0</v>
      </c>
      <c r="CE18" s="554">
        <f>sumifs('Form responses'!FL2:FL53,'Form responses'!$C$2:$C53,"&gt;="&amp;$E$2,'Form responses'!$C$2:$C53,"&lt;="&amp;$G$2,'Form responses'!$F$2:$F53,"&lt;=4")</f>
        <v>0</v>
      </c>
      <c r="CF18" s="554">
        <f>sumifs('Form responses'!FM2:FM53,'Form responses'!$C$2:$C53,"&gt;="&amp;$E$2,'Form responses'!$C$2:$C53,"&lt;="&amp;$G$2,'Form responses'!$F$2:$F53,"&lt;=4")</f>
        <v>0</v>
      </c>
      <c r="CG18" s="554">
        <f>sumifs('Form responses'!FN2:FN53,'Form responses'!$C$2:$C53,"&gt;="&amp;$E$2,'Form responses'!$C$2:$C53,"&lt;="&amp;$G$2,'Form responses'!$F$2:$F53,"&lt;=4")</f>
        <v>0</v>
      </c>
      <c r="CH18" s="554">
        <f>sumifs('Form responses'!FT2:FT53,'Form responses'!$C$2:$C53,"&gt;="&amp;$E$2,'Form responses'!$C$2:$C53,"&lt;="&amp;$G$2,'Form responses'!$F$2:$F53,"&lt;=4")</f>
        <v>0</v>
      </c>
      <c r="CI18" s="554">
        <f>sumifs('Form responses'!FV2:FV53,'Form responses'!$C$2:$C53,"&gt;="&amp;$E$2,'Form responses'!$C$2:$C53,"&lt;="&amp;$G$2,'Form responses'!$F$2:$F53,"&lt;=4")</f>
        <v>0</v>
      </c>
      <c r="CJ18" s="554">
        <f>sumifs('Form responses'!FR2:FR53,'Form responses'!$C$2:$C53,"&gt;="&amp;$E$2,'Form responses'!$C$2:$C53,"&lt;="&amp;$G$2,'Form responses'!$F$2:$F53,"&lt;=4")</f>
        <v>45</v>
      </c>
      <c r="CK18" s="554">
        <f>sumifs('Form responses'!FS2:FS53,'Form responses'!$C$2:$C53,"&gt;="&amp;$E$2,'Form responses'!$C$2:$C53,"&lt;="&amp;$G$2,'Form responses'!$F$2:$F53,"&lt;=4")</f>
        <v>0</v>
      </c>
      <c r="CL18" s="554">
        <f>sumifs('Form responses'!ER2:ER53,'Form responses'!$C$2:$C53,"&gt;="&amp;$E$2,'Form responses'!$C$2:$C53,"&lt;="&amp;$G$2,'Form responses'!$F$2:$F53,"&lt;=4")</f>
        <v>445</v>
      </c>
      <c r="CM18" s="554">
        <f>sumifs('Form responses'!ES2:ES53,'Form responses'!$C$2:$C53,"&gt;="&amp;$E$2,'Form responses'!$C$2:$C53,"&lt;="&amp;$G$2,'Form responses'!$F$2:$F53,"&lt;=4")</f>
        <v>0</v>
      </c>
      <c r="CN18" s="554">
        <f>sumifs('Form responses'!ET2:ET53,'Form responses'!$C$2:$C53,"&gt;="&amp;$E$2,'Form responses'!$C$2:$C53,"&lt;="&amp;$G$2,'Form responses'!$F$2:$F53,"&lt;=4")</f>
        <v>0</v>
      </c>
      <c r="CO18" s="554">
        <f>sumifs('Form responses'!EU2:EU53,'Form responses'!$C$2:$C53,"&gt;="&amp;$E$2,'Form responses'!$C$2:$C53,"&lt;="&amp;$G$2,'Form responses'!$F$2:$F53,"&lt;=4")</f>
        <v>195</v>
      </c>
      <c r="CP18" s="554">
        <f>sumifs('Form responses'!EV2:EV53,'Form responses'!$C$2:$C53,"&gt;="&amp;$E$2,'Form responses'!$C$2:$C53,"&lt;="&amp;$G$2,'Form responses'!$F$2:$F53,"&lt;=4")</f>
        <v>180</v>
      </c>
      <c r="CQ18" s="554">
        <f>sumifs('Form responses'!EW2:EW53,'Form responses'!$C$2:$C53,"&gt;="&amp;$E$2,'Form responses'!$C$2:$C53,"&lt;="&amp;$G$2,'Form responses'!$F$2:$F53,"&lt;=4")</f>
        <v>0</v>
      </c>
      <c r="CR18" s="554">
        <f>sumifs('Form responses'!EX2:EX53,'Form responses'!$C$2:$C53,"&gt;="&amp;$E$2,'Form responses'!$C$2:$C53,"&lt;="&amp;$G$2,'Form responses'!$F$2:$F53,"&lt;=4")</f>
        <v>0</v>
      </c>
      <c r="CS18" s="554">
        <f>sumifs('Form responses'!FD2:FD53,'Form responses'!$C$2:$C53,"&gt;="&amp;$E$2,'Form responses'!$C$2:$C53,"&lt;="&amp;$G$2,'Form responses'!$F$2:$F53,"&lt;=4")</f>
        <v>0</v>
      </c>
      <c r="CT18" s="554">
        <f>sumifs('Form responses'!FF2:FF53,'Form responses'!$C$2:$C53,"&gt;="&amp;$E$2,'Form responses'!$C$2:$C53,"&lt;="&amp;$G$2,'Form responses'!$F$2:$F53,"&lt;=4")</f>
        <v>0</v>
      </c>
      <c r="CU18" s="554">
        <f>sumifs('Form responses'!FB2:FB53,'Form responses'!$C$2:$C53,"&gt;="&amp;$E$2,'Form responses'!$C$2:$C53,"&lt;="&amp;$G$2,'Form responses'!$F$2:$F53,"&lt;=4")</f>
        <v>555</v>
      </c>
      <c r="CV18" s="554">
        <f>sumifs('Form responses'!FC2:FC53,'Form responses'!$C$2:$C53,"&gt;="&amp;$E$2,'Form responses'!$C$2:$C53,"&lt;="&amp;$G$2,'Form responses'!$F$2:$F53,"&lt;=4")</f>
        <v>210</v>
      </c>
    </row>
    <row r="19">
      <c r="A19" s="7" t="s">
        <v>946</v>
      </c>
      <c r="B19" s="555">
        <f>sumifs('Form responses'!BF2:BF53,'Form responses'!$C$2:$C53,"&lt;="&amp;$G$2,'Form responses'!$C$2:$C53,"&gt;="&amp;Date(YEAR(DATE(YEAR($G$2),MONTH($G$2)+(-3),1)),4,1),'Form responses'!$F$2:$F53,"&lt;=4")</f>
        <v>376</v>
      </c>
      <c r="C19" s="555">
        <f>sumifs('Form responses'!BH2:BH53,'Form responses'!$C$2:$C53,"&lt;="&amp;$G$2,'Form responses'!$C$2:$C53,"&gt;="&amp;Date(YEAR(DATE(YEAR($G$2),MONTH($G$2)+(-3),1)),4,1),'Form responses'!$F$2:$F53,"&lt;=4")</f>
        <v>30</v>
      </c>
      <c r="D19" s="555">
        <f>sumifs('Form responses'!BJ2:BJ53,'Form responses'!$C$2:$C53,"&lt;="&amp;$G$2,'Form responses'!$C$2:$C53,"&gt;="&amp;Date(YEAR(DATE(YEAR($G$2),MONTH($G$2)+(-3),1)),4,1),'Form responses'!$F$2:$F53,"&lt;=4")</f>
        <v>45</v>
      </c>
      <c r="E19" s="555">
        <f>sumifs('Form responses'!BL2:BL53,'Form responses'!$C$2:$C53,"&lt;="&amp;$G$2,'Form responses'!$C$2:$C53,"&gt;="&amp;Date(YEAR(DATE(YEAR($G$2),MONTH($G$2)+(-3),1)),4,1),'Form responses'!$F$2:$F53,"&lt;=4")</f>
        <v>170</v>
      </c>
      <c r="F19" s="555">
        <f>sumifs('Form responses'!BG2:BG53,'Form responses'!$C$2:$C53,"&lt;="&amp;$G$2,'Form responses'!$C$2:$C53,"&gt;="&amp;Date(YEAR(DATE(YEAR($G$2),MONTH($G$2)+(-3),1)),4,1),'Form responses'!$F$2:$F53,"&lt;=4")</f>
        <v>292</v>
      </c>
      <c r="G19" s="555">
        <f>sumifs('Form responses'!BI2:BI53,'Form responses'!$C$2:$C53,"&lt;="&amp;$G$2,'Form responses'!$C$2:$C53,"&gt;="&amp;Date(YEAR(DATE(YEAR($G$2),MONTH($G$2)+(-3),1)),4,1),'Form responses'!$F$2:$F53,"&lt;=4")</f>
        <v>20</v>
      </c>
      <c r="H19" s="555">
        <f>sumifs('Form responses'!BK2:BK53,'Form responses'!$C$2:$C53,"&lt;="&amp;$G$2,'Form responses'!$C$2:$C53,"&gt;="&amp;Date(YEAR(DATE(YEAR($G$2),MONTH($G$2)+(-3),1)),4,1),'Form responses'!$F$2:$F53,"&lt;=4")</f>
        <v>35</v>
      </c>
      <c r="I19" s="555">
        <f>sumifs('Form responses'!BM2:BM53,'Form responses'!$C$2:$C53,"&lt;="&amp;$G$2,'Form responses'!$C$2:$C53,"&gt;="&amp;Date(YEAR(DATE(YEAR($G$2),MONTH($G$2)+(-3),1)),4,1),'Form responses'!$F$2:$F53,"&lt;=4")</f>
        <v>130</v>
      </c>
      <c r="J19" s="555">
        <f>sumifs('Form responses'!BN2:BN53,'Form responses'!$C$2:$C53,"&lt;="&amp;$G$2,'Form responses'!$C$2:$C53,"&gt;="&amp;Date(YEAR(DATE(YEAR($G$2),MONTH($G$2)+(-3),1)),4,1),'Form responses'!$F$2:$F53,"&lt;=4")</f>
        <v>176</v>
      </c>
      <c r="K19" s="555">
        <f>sumifs('Form responses'!BP2:BP53,'Form responses'!$C$2:$C53,"&lt;="&amp;$G$2,'Form responses'!$C$2:$C53,"&gt;="&amp;Date(YEAR(DATE(YEAR($G$2),MONTH($G$2)+(-3),1)),4,1),'Form responses'!$F$2:$F53,"&lt;=4")</f>
        <v>0</v>
      </c>
      <c r="L19" s="555">
        <f>sumifs('Form responses'!BR2:BR53,'Form responses'!$C$2:$C53,"&lt;="&amp;$G$2,'Form responses'!$C$2:$C53,"&gt;="&amp;Date(YEAR(DATE(YEAR($G$2),MONTH($G$2)+(-3),1)),4,1),'Form responses'!$F$2:$F53,"&lt;=4")</f>
        <v>0</v>
      </c>
      <c r="M19" s="555">
        <f>sumifs('Form responses'!CD2:CD53,'Form responses'!$C$2:$C53,"&lt;="&amp;$G$2,'Form responses'!$C$2:$C53,"&gt;="&amp;Date(YEAR(DATE(YEAR($G$2),MONTH($G$2)+(-3),1)),4,1),'Form responses'!$F$2:$F53,"&lt;=4")</f>
        <v>0</v>
      </c>
      <c r="N19" s="555">
        <f>sumifs('Form responses'!BO2:BO53,'Form responses'!$C$2:$C53,"&lt;="&amp;$G$2,'Form responses'!$C$2:$C53,"&gt;="&amp;Date(YEAR(DATE(YEAR($G$2),MONTH($G$2)+(-3),1)),4,1),'Form responses'!$F$2:$F53,"&lt;=4")</f>
        <v>125</v>
      </c>
      <c r="O19" s="555">
        <f>sumifs('Form responses'!BQ2:BQ53,'Form responses'!$C$2:$C53,"&lt;="&amp;$G$2,'Form responses'!$C$2:$C53,"&gt;="&amp;Date(YEAR(DATE(YEAR($G$2),MONTH($G$2)+(-3),1)),4,1),'Form responses'!$F$2:$F53,"&lt;=4")</f>
        <v>0</v>
      </c>
      <c r="P19" s="555">
        <f>sumifs('Form responses'!BS2:BS53,'Form responses'!$C$2:$C53,"&lt;="&amp;$G$2,'Form responses'!$C$2:$C53,"&gt;="&amp;Date(YEAR(DATE(YEAR($G$2),MONTH($G$2)+(-3),1)),4,1),'Form responses'!$F$2:$F53,"&lt;=4")</f>
        <v>0</v>
      </c>
      <c r="Q19" s="555">
        <f>sumifs('Form responses'!CE2:CE53,'Form responses'!$C$2:$C53,"&lt;="&amp;$G$2,'Form responses'!$C$2:$C53,"&gt;="&amp;Date(YEAR(DATE(YEAR($G$2),MONTH($G$2)+(-3),1)),4,1),'Form responses'!$F$2:$F53,"&lt;=4")</f>
        <v>0</v>
      </c>
      <c r="R19" s="555">
        <f>sumifs('Form responses'!BC2:BC53,'Form responses'!$C$2:$C53,"&lt;="&amp;$G$2,'Form responses'!$C$2:$C53,"&gt;="&amp;Date(YEAR(DATE(YEAR($G$2),MONTH($G$2)+(-3),1)),4,1),'Form responses'!$F$2:$F53,"&lt;=4")</f>
        <v>0</v>
      </c>
      <c r="S19" s="555">
        <f>sumifs('Form responses'!BD2:BD53,'Form responses'!$C$2:$C53,"&lt;="&amp;$G$2,'Form responses'!$C$2:$C53,"&gt;="&amp;Date(YEAR(DATE(YEAR($G$2),MONTH($G$2)+(-3),1)),4,1),'Form responses'!$F$2:$F53,"&lt;=4")</f>
        <v>24</v>
      </c>
      <c r="T19" s="555">
        <f>sumifs('Form responses'!BZ2:BZ53,'Form responses'!$C$2:$C53,"&lt;="&amp;$G$2,'Form responses'!$C$2:$C53,"&gt;="&amp;Date(YEAR(DATE(YEAR($G$2),MONTH($G$2)+(-3),1)),4,1),'Form responses'!$F$2:$F53,"&lt;=4")</f>
        <v>364</v>
      </c>
      <c r="U19" s="555">
        <f>sumifs('Form responses'!CB2:CB53,'Form responses'!$C$2:$C53,"&lt;="&amp;$G$2,'Form responses'!$C$2:$C53,"&gt;="&amp;Date(YEAR(DATE(YEAR($G$2),MONTH($G$2)+(-3),1)),4,1),'Form responses'!$F$2:$F53,"&lt;=4")</f>
        <v>272</v>
      </c>
      <c r="V19" s="555">
        <f>sumifs('Form responses'!CA2:CA53,'Form responses'!$C$2:$C53,"&lt;="&amp;$G$2,'Form responses'!$C$2:$C53,"&gt;="&amp;Date(YEAR(DATE(YEAR($G$2),MONTH($G$2)+(-3),1)),4,1),'Form responses'!$F$2:$F53,"&lt;=4")</f>
        <v>270</v>
      </c>
      <c r="W19" s="555">
        <f>sumifs('Form responses'!CC2:CC53,'Form responses'!$C$2:$C53,"&lt;="&amp;$G$2,'Form responses'!$C$2:$C53,"&gt;="&amp;Date(YEAR(DATE(YEAR($G$2),MONTH($G$2)+(-3),1)),4,1),'Form responses'!$F$2:$F53,"&lt;=4")</f>
        <v>184</v>
      </c>
      <c r="X19" s="555">
        <f>sumifs('Form responses'!CH2:CH53,'Form responses'!$C$2:$C53,"&lt;="&amp;$G$2,'Form responses'!$C$2:$C53,"&gt;="&amp;Date(YEAR(DATE(YEAR($G$2),MONTH($G$2)+(-3),1)),4,1),'Form responses'!$F$2:$F53,"&lt;=4")</f>
        <v>0</v>
      </c>
      <c r="Y19" s="555">
        <f>sumifs('Form responses'!CI2:CI53,'Form responses'!$C$2:$C53,"&lt;="&amp;$G$2,'Form responses'!$C$2:$C53,"&gt;="&amp;Date(YEAR(DATE(YEAR($G$2),MONTH($G$2)+(-3),1)),4,1),'Form responses'!$F$2:$F53,"&lt;=4")</f>
        <v>0</v>
      </c>
      <c r="Z19" s="555">
        <f>sumifs('Form responses'!CJ2:CJ53,'Form responses'!$C$2:$C53,"&lt;="&amp;$G$2,'Form responses'!$C$2:$C53,"&gt;="&amp;Date(YEAR(DATE(YEAR($G$2),MONTH($G$2)+(-3),1)),4,1),'Form responses'!$F$2:$F53,"&lt;=4")</f>
        <v>0</v>
      </c>
      <c r="AA19" s="555">
        <f>sumifs('Form responses'!CK2:CK53,'Form responses'!$C$2:$C53,"&lt;="&amp;$G$2,'Form responses'!$C$2:$C53,"&gt;="&amp;Date(YEAR(DATE(YEAR($G$2),MONTH($G$2)+(-3),1)),4,1),'Form responses'!$F$2:$F53,"&lt;=4")</f>
        <v>0</v>
      </c>
      <c r="AB19" s="555">
        <f>sumifs('Form responses'!CL2:CL53,'Form responses'!$C$2:$C53,"&lt;="&amp;$G$2,'Form responses'!$C$2:$C53,"&gt;="&amp;Date(YEAR(DATE(YEAR($G$2),MONTH($G$2)+(-3),1)),4,1),'Form responses'!$F$2:$F53,"&lt;=4")</f>
        <v>14</v>
      </c>
      <c r="AC19" s="555">
        <f>sumifs('Form responses'!CM2:CM53,'Form responses'!$C$2:$C53,"&lt;="&amp;$G$2,'Form responses'!$C$2:$C53,"&gt;="&amp;Date(YEAR(DATE(YEAR($G$2),MONTH($G$2)+(-3),1)),4,1),'Form responses'!$F$2:$F53,"&lt;=4")</f>
        <v>7</v>
      </c>
      <c r="AD19" s="555">
        <f>sumifs('Form responses'!CN2:CN53,'Form responses'!$C$2:$C53,"&lt;="&amp;$G$2,'Form responses'!$C$2:$C53,"&gt;="&amp;Date(YEAR(DATE(YEAR($G$2),MONTH($G$2)+(-3),1)),4,1),'Form responses'!$F$2:$F53,"&lt;=4")</f>
        <v>76</v>
      </c>
      <c r="AE19" s="555">
        <f>sumifs('Form responses'!CO2:CO53,'Form responses'!$C$2:$C53,"&lt;="&amp;$G$2,'Form responses'!$C$2:$C53,"&gt;="&amp;Date(YEAR(DATE(YEAR($G$2),MONTH($G$2)+(-3),1)),4,1),'Form responses'!$F$2:$F53,"&lt;=4")</f>
        <v>43</v>
      </c>
      <c r="AF19" s="555">
        <f>sumifs('Form responses'!CP2:CP53,'Form responses'!$C$2:$C53,"&lt;="&amp;$G$2,'Form responses'!$C$2:$C53,"&gt;="&amp;Date(YEAR(DATE(YEAR($G$2),MONTH($G$2)+(-3),1)),4,1),'Form responses'!$F$2:$F53,"&lt;=4")</f>
        <v>588</v>
      </c>
      <c r="AG19" s="555">
        <f>sumifs('Form responses'!CQ2:CQ53,'Form responses'!$C$2:$C53,"&lt;="&amp;$G$2,'Form responses'!$C$2:$C53,"&gt;="&amp;Date(YEAR(DATE(YEAR($G$2),MONTH($G$2)+(-3),1)),4,1),'Form responses'!$F$2:$F53,"&lt;=4")</f>
        <v>312</v>
      </c>
      <c r="AH19" s="555">
        <f>sumifs('Form responses'!CR2:CR53,'Form responses'!$C$2:$C53,"&lt;="&amp;$G$2,'Form responses'!$C$2:$C53,"&gt;="&amp;Date(YEAR(DATE(YEAR($G$2),MONTH($G$2)+(-3),1)),4,1),'Form responses'!$F$2:$F53,"&lt;=4")</f>
        <v>0</v>
      </c>
      <c r="AI19" s="555">
        <f>sumifs('Form responses'!CS2:CS53,'Form responses'!$C$2:$C53,"&lt;="&amp;$G$2,'Form responses'!$C$2:$C53,"&gt;="&amp;Date(YEAR(DATE(YEAR($G$2),MONTH($G$2)+(-3),1)),4,1),'Form responses'!$F$2:$F53,"&lt;=4")</f>
        <v>0</v>
      </c>
      <c r="AJ19" s="555">
        <f>sumifs('Form responses'!CT2:CT53,'Form responses'!$C$2:$C53,"&lt;="&amp;$G$2,'Form responses'!$C$2:$C53,"&gt;="&amp;Date(YEAR(DATE(YEAR($G$2),MONTH($G$2)+(-3),1)),4,1),'Form responses'!$F$2:$F53,"&lt;=4")</f>
        <v>144</v>
      </c>
      <c r="AK19" s="555">
        <f>sumifs('Form responses'!CU2:CU53,'Form responses'!$C$2:$C53,"&lt;="&amp;$G$2,'Form responses'!$C$2:$C53,"&gt;="&amp;Date(YEAR(DATE(YEAR($G$2),MONTH($G$2)+(-3),1)),4,1),'Form responses'!$F$2:$F53,"&lt;=4")</f>
        <v>56</v>
      </c>
      <c r="AL19" s="555">
        <f>sumifs('Form responses'!DF2:DF53,'Form responses'!$C$2:$C53,"&lt;="&amp;$G$2,'Form responses'!$C$2:$C53,"&gt;="&amp;Date(YEAR(DATE(YEAR($G$2),MONTH($G$2)+(-3),1)),4,1),'Form responses'!$F$2:$F53,"&lt;=4")</f>
        <v>0</v>
      </c>
      <c r="AM19" s="555">
        <f>sumifs('Form responses'!DG2:DG53,'Form responses'!$C$2:$C53,"&lt;="&amp;$G$2,'Form responses'!$C$2:$C53,"&gt;="&amp;Date(YEAR(DATE(YEAR($G$2),MONTH($G$2)+(-3),1)),4,1),'Form responses'!$F$2:$F53,"&lt;=4")</f>
        <v>0</v>
      </c>
      <c r="AN19" s="555">
        <f>sumifs('Form responses'!BA2:BA53,'Form responses'!$C$2:$C53,"&lt;="&amp;$G$2,'Form responses'!$C$2:$C53,"&gt;="&amp;Date(YEAR(DATE(YEAR($G$2),MONTH($G$2)+(-3),1)),4,1),'Form responses'!$F$2:$F53,"&lt;=4")</f>
        <v>0</v>
      </c>
      <c r="AO19" s="555">
        <f>sumifs('Form responses'!BB2:BB53,'Form responses'!$C$2:$C53,"&lt;="&amp;$G$2,'Form responses'!$C$2:$C53,"&gt;="&amp;Date(YEAR(DATE(YEAR($G$2),MONTH($G$2)+(-3),1)),4,1),'Form responses'!$F$2:$F53,"&lt;=4")</f>
        <v>0</v>
      </c>
      <c r="AP19" s="555">
        <f>sumifs('Form responses'!DB2:DB53,'Form responses'!$C$2:$C53,"&lt;="&amp;$G$2,'Form responses'!$C$2:$C53,"&gt;="&amp;Date(YEAR(DATE(YEAR($G$2),MONTH($G$2)+(-3),1)),4,1),'Form responses'!$F$2:$F53,"&lt;=4")</f>
        <v>776</v>
      </c>
      <c r="AQ19" s="555">
        <f>sumifs('Form responses'!DC2:DC53,'Form responses'!$C$2:$C53,"&lt;="&amp;$G$2,'Form responses'!$C$2:$C53,"&gt;="&amp;Date(YEAR(DATE(YEAR($G$2),MONTH($G$2)+(-3),1)),4,1),'Form responses'!$F$2:$F53,"&lt;=4")</f>
        <v>430</v>
      </c>
      <c r="AR19" s="555">
        <f>sumifs('Form responses'!DD2:DD53,'Form responses'!$C$2:$C53,"&lt;="&amp;$G$2,'Form responses'!$C$2:$C53,"&gt;="&amp;Date(YEAR(DATE(YEAR($G$2),MONTH($G$2)+(-3),1)),4,1),'Form responses'!$F$2:$F53,"&lt;=4")</f>
        <v>13</v>
      </c>
      <c r="AS19" s="555">
        <f>sumifs('Form responses'!DE2:DE53,'Form responses'!$C$2:$C53,"&lt;="&amp;$G$2,'Form responses'!$C$2:$C53,"&gt;="&amp;Date(YEAR(DATE(YEAR($G$2),MONTH($G$2)+(-3),1)),4,1),'Form responses'!$F$2:$F53,"&lt;=4")</f>
        <v>8</v>
      </c>
      <c r="AT19" s="555">
        <f>sumifs('Form responses'!DL2:DL53,'Form responses'!$C$2:$C53,"&lt;="&amp;$G$2,'Form responses'!$C$2:$C53,"&gt;="&amp;Date(YEAR(DATE(YEAR($G$2),MONTH($G$2)+(-3),1)),4,1),'Form responses'!$F$2:$F53,"&lt;=4")</f>
        <v>6</v>
      </c>
      <c r="AU19" s="555">
        <f>sumifs('Form responses'!DM2:DM53,'Form responses'!$C$2:$C53,"&lt;="&amp;$G$2,'Form responses'!$C$2:$C53,"&gt;="&amp;Date(YEAR(DATE(YEAR($G$2),MONTH($G$2)+(-3),1)),4,1),'Form responses'!$F$2:$F53,"&lt;=4")</f>
        <v>2</v>
      </c>
      <c r="AV19" s="555">
        <f>sumifs('Form responses'!DN2:DN53,'Form responses'!$C$2:$C53,"&lt;="&amp;$G$2,'Form responses'!$C$2:$C53,"&gt;="&amp;Date(YEAR(DATE(YEAR($G$2),MONTH($G$2)+(-3),1)),4,1),'Form responses'!$F$2:$F53,"&lt;=4")</f>
        <v>1</v>
      </c>
      <c r="AW19" s="555">
        <f>sumifs('Form responses'!DO2:DO53,'Form responses'!$C$2:$C53,"&lt;="&amp;$G$2,'Form responses'!$C$2:$C53,"&gt;="&amp;Date(YEAR(DATE(YEAR($G$2),MONTH($G$2)+(-3),1)),4,1),'Form responses'!$F$2:$F53,"&lt;=4")</f>
        <v>1</v>
      </c>
      <c r="AX19" s="555">
        <f>sumifs('Form responses'!DP2:DP53,'Form responses'!$C$2:$C53,"&lt;="&amp;$G$2,'Form responses'!$C$2:$C53,"&gt;="&amp;Date(YEAR(DATE(YEAR($G$2),MONTH($G$2)+(-3),1)),4,1),'Form responses'!$F$2:$F53,"&lt;=4")</f>
        <v>3</v>
      </c>
      <c r="AY19" s="555">
        <f>sumifs('Form responses'!DQ2:DQ53,'Form responses'!$C$2:$C53,"&lt;="&amp;$G$2,'Form responses'!$C$2:$C53,"&gt;="&amp;Date(YEAR(DATE(YEAR($G$2),MONTH($G$2)+(-3),1)),4,1),'Form responses'!$F$2:$F53,"&lt;=4")</f>
        <v>2</v>
      </c>
      <c r="AZ19" s="555">
        <f>sumifs('Form responses'!DR2:DR53,'Form responses'!$C$2:$C53,"&lt;="&amp;$G$2,'Form responses'!$C$2:$C53,"&gt;="&amp;Date(YEAR(DATE(YEAR($G$2),MONTH($G$2)+(-3),1)),4,1),'Form responses'!$F$2:$F53,"&lt;=4")</f>
        <v>25</v>
      </c>
      <c r="BA19" s="555">
        <f>sumifs('Form responses'!DS2:DS53,'Form responses'!$C$2:$C53,"&lt;="&amp;$G$2,'Form responses'!$C$2:$C53,"&gt;="&amp;Date(YEAR(DATE(YEAR($G$2),MONTH($G$2)+(-3),1)),4,1),'Form responses'!$F$2:$F53,"&lt;=4")</f>
        <v>28</v>
      </c>
      <c r="BB19" s="555">
        <f>sumifs('Form responses'!DT2:DT53,'Form responses'!$C$2:$C53,"&lt;="&amp;$G$2,'Form responses'!$C$2:$C53,"&gt;="&amp;Date(YEAR(DATE(YEAR($G$2),MONTH($G$2)+(-3),1)),4,1),'Form responses'!$F$2:$F53,"&lt;=4")</f>
        <v>111</v>
      </c>
      <c r="BC19" s="555">
        <f>sumifs('Form responses'!DU2:DU53,'Form responses'!$C$2:$C53,"&lt;="&amp;$G$2,'Form responses'!$C$2:$C53,"&gt;="&amp;Date(YEAR(DATE(YEAR($G$2),MONTH($G$2)+(-3),1)),4,1),'Form responses'!$F$2:$F53,"&lt;=4")</f>
        <v>103</v>
      </c>
      <c r="BD19" s="555">
        <f>sumifs('Form responses'!DV2:DV53,'Form responses'!$C$2:$C53,"&lt;="&amp;$G$2,'Form responses'!$C$2:$C53,"&gt;="&amp;Date(YEAR(DATE(YEAR($G$2),MONTH($G$2)+(-3),1)),4,1),'Form responses'!$F$2:$F53,"&lt;=4")</f>
        <v>0</v>
      </c>
      <c r="BE19" s="555">
        <f>sumifs('Form responses'!DW2:DW53,'Form responses'!$C$2:$C53,"&lt;="&amp;$G$2,'Form responses'!$C$2:$C53,"&gt;="&amp;Date(YEAR(DATE(YEAR($G$2),MONTH($G$2)+(-3),1)),4,1),'Form responses'!$F$2:$F53,"&lt;=4")</f>
        <v>0</v>
      </c>
      <c r="BF19" s="555">
        <f>sumifs('Form responses'!DX2:DX53,'Form responses'!$C$2:$C53,"&lt;="&amp;$G$2,'Form responses'!$C$2:$C53,"&gt;="&amp;Date(YEAR(DATE(YEAR($G$2),MONTH($G$2)+(-3),1)),4,1),'Form responses'!$F$2:$F53,"&lt;=4")</f>
        <v>0</v>
      </c>
      <c r="BG19" s="555">
        <f>sumifs('Form responses'!DY2:DY53,'Form responses'!$C$2:$C53,"&lt;="&amp;$G$2,'Form responses'!$C$2:$C53,"&gt;="&amp;Date(YEAR(DATE(YEAR($G$2),MONTH($G$2)+(-3),1)),4,1),'Form responses'!$F$2:$F53,"&lt;=4")</f>
        <v>15</v>
      </c>
      <c r="BH19" s="555">
        <f>sumifs('Form responses'!EJ2:EJ53,'Form responses'!$C$2:$C53,"&lt;="&amp;$G$2,'Form responses'!$C$2:$C53,"&gt;="&amp;Date(YEAR(DATE(YEAR($G$2),MONTH($G$2)+(-3),1)),4,1),'Form responses'!$F$2:$F53,"&lt;=4")</f>
        <v>0</v>
      </c>
      <c r="BI19" s="555">
        <f>sumifs('Form responses'!EK2:EK53,'Form responses'!$C$2:$C53,"&lt;="&amp;$G$2,'Form responses'!$C$2:$C53,"&gt;="&amp;Date(YEAR(DATE(YEAR($G$2),MONTH($G$2)+(-3),1)),4,1),'Form responses'!$F$2:$F53,"&lt;=4")</f>
        <v>0</v>
      </c>
      <c r="BJ19" s="555">
        <f>sumifs('Form responses'!EN2:EN53,'Form responses'!$C$2:$C53,"&lt;="&amp;$G$2,'Form responses'!$C$2:$C53,"&gt;="&amp;Date(YEAR(DATE(YEAR($G$2),MONTH($G$2)+(-3),1)),4,1),'Form responses'!$F$2:$F53,"&lt;=4")</f>
        <v>0</v>
      </c>
      <c r="BK19" s="555">
        <f>sumifs('Form responses'!EO2:EO53,'Form responses'!$C$2:$C53,"&lt;="&amp;$G$2,'Form responses'!$C$2:$C53,"&gt;="&amp;Date(YEAR(DATE(YEAR($G$2),MONTH($G$2)+(-3),1)),4,1),'Form responses'!$F$2:$F53,"&lt;=4")</f>
        <v>0</v>
      </c>
      <c r="BL19" s="555">
        <f>sumifs('Form responses'!EF2:EF53,'Form responses'!$C$2:$C53,"&lt;="&amp;$G$2,'Form responses'!$C$2:$C53,"&gt;="&amp;Date(YEAR(DATE(YEAR($G$2),MONTH($G$2)+(-3),1)),4,1),'Form responses'!$F$2:$F53,"&lt;=4")</f>
        <v>66</v>
      </c>
      <c r="BM19" s="555">
        <f>sumifs('Form responses'!EG2:EG53,'Form responses'!$C$2:$C53,"&lt;="&amp;$G$2,'Form responses'!$C$2:$C53,"&gt;="&amp;Date(YEAR(DATE(YEAR($G$2),MONTH($G$2)+(-3),1)),4,1),'Form responses'!$F$2:$F53,"&lt;=4")</f>
        <v>60</v>
      </c>
      <c r="BN19" s="555">
        <f>sumifs('Form responses'!EH2:EH53,'Form responses'!$C$2:$C53,"&lt;="&amp;$G$2,'Form responses'!$C$2:$C53,"&gt;="&amp;Date(YEAR(DATE(YEAR($G$2),MONTH($G$2)+(-3),1)),4,1),'Form responses'!$F$2:$F53,"&lt;=4")</f>
        <v>21</v>
      </c>
      <c r="BO19" s="555">
        <f>sumifs('Form responses'!EI2:EI53,'Form responses'!$C$2:$C53,"&lt;="&amp;$G$2,'Form responses'!$C$2:$C53,"&gt;="&amp;Date(YEAR(DATE(YEAR($G$2),MONTH($G$2)+(-3),1)),4,1),'Form responses'!$F$2:$F53,"&lt;=4")</f>
        <v>20</v>
      </c>
      <c r="BP19" s="555">
        <f>sumifs('Form responses'!FX2:FX53,'Form responses'!$C$2:$C53,"&lt;="&amp;$G$2,'Form responses'!$C$2:$C53,"&gt;="&amp;Date(YEAR(DATE(YEAR($G$2),MONTH($G$2)+(-3),1)),4,1),'Form responses'!$F$2:$F53,"&lt;=4")</f>
        <v>4</v>
      </c>
      <c r="BQ19" s="555">
        <f>sumifs('Form responses'!FY2:FY53,'Form responses'!$C$2:$C53,"&lt;="&amp;$G$2,'Form responses'!$C$2:$C53,"&gt;="&amp;Date(YEAR(DATE(YEAR($G$2),MONTH($G$2)+(-3),1)),4,1),'Form responses'!$F$2:$F53,"&lt;=4")</f>
        <v>0</v>
      </c>
      <c r="BR19" s="555">
        <f>sumifs('Form responses'!FZ2:FZ53,'Form responses'!$C$2:$C53,"&lt;="&amp;$G$2,'Form responses'!$C$2:$C53,"&gt;="&amp;Date(YEAR(DATE(YEAR($G$2),MONTH($G$2)+(-3),1)),4,1),'Form responses'!$F$2:$F53,"&lt;=4")</f>
        <v>133</v>
      </c>
      <c r="BS19" s="555">
        <f>sumifs('Form responses'!GA2:GA53,'Form responses'!$C$2:$C53,"&lt;="&amp;$G$2,'Form responses'!$C$2:$C53,"&gt;="&amp;Date(YEAR(DATE(YEAR($G$2),MONTH($G$2)+(-3),1)),4,1),'Form responses'!$F$2:$F53,"&lt;=4")</f>
        <v>0</v>
      </c>
      <c r="BT19" s="555">
        <f>sumifs('Form responses'!GB2:GB53,'Form responses'!$C$2:$C53,"&lt;="&amp;$G$2,'Form responses'!$C$2:$C53,"&gt;="&amp;Date(YEAR(DATE(YEAR($G$2),MONTH($G$2)+(-3),1)),4,1),'Form responses'!$F$2:$F53,"&lt;=4")</f>
        <v>0</v>
      </c>
      <c r="BU19" s="555">
        <f>sumifs('Form responses'!GC2:GC53,'Form responses'!$C$2:$C53,"&lt;="&amp;$G$2,'Form responses'!$C$2:$C53,"&gt;="&amp;Date(YEAR(DATE(YEAR($G$2),MONTH($G$2)+(-3),1)),4,1),'Form responses'!$F$2:$F53,"&lt;=4")</f>
        <v>0</v>
      </c>
      <c r="BV19" s="555">
        <f>sumifs('Form responses'!GL2:GL53,'Form responses'!$C$2:$C53,"&lt;="&amp;$G$2,'Form responses'!$C$2:$C53,"&gt;="&amp;Date(YEAR(DATE(YEAR($G$2),MONTH($G$2)+(-3),1)),4,1),'Form responses'!$F$2:$F53,"&lt;=4")</f>
        <v>0</v>
      </c>
      <c r="BW19" s="555">
        <f>sumifs('Form responses'!AC2:AC53,'Form responses'!$C$2:$C53,"&lt;="&amp;$G$2,'Form responses'!$C$2:$C53,"&gt;="&amp;Date(YEAR(DATE(YEAR($G$2),MONTH($G$2)+(-3),1)),4,1),'Form responses'!$F$2:$F53,"&lt;=4")</f>
        <v>0</v>
      </c>
      <c r="BX19" s="555">
        <f>sumifs('Form responses'!AD2:AD53,'Form responses'!$C$2:$C53,"&lt;="&amp;$G$2,'Form responses'!$C$2:$C53,"&gt;="&amp;Date(YEAR(DATE(YEAR($G$2),MONTH($G$2)+(-3),1)),4,1),'Form responses'!$F$2:$F53,"&lt;=4")</f>
        <v>0</v>
      </c>
      <c r="BY19" s="555">
        <f>sumifs('Form responses'!GH2:GH53,'Form responses'!$C$2:$C53,"&lt;="&amp;$G$2,'Form responses'!$C$2:$C53,"&gt;="&amp;Date(YEAR(DATE(YEAR($G$2),MONTH($G$2)+(-3),1)),4,1),'Form responses'!$F$2:$F53,"&lt;=4")</f>
        <v>0</v>
      </c>
      <c r="BZ19" s="555">
        <f>sumifs('Form responses'!GI2:GI53,'Form responses'!$C$2:$C53,"&lt;="&amp;$G$2,'Form responses'!$C$2:$C53,"&gt;="&amp;Date(YEAR(DATE(YEAR($G$2),MONTH($G$2)+(-3),1)),4,1),'Form responses'!$F$2:$F53,"&lt;=4")</f>
        <v>0</v>
      </c>
      <c r="CA19" s="555">
        <f>sumifs('Form responses'!FH2:FH53,'Form responses'!$C$2:$C53,"&lt;="&amp;$G$2,'Form responses'!$C$2:$C53,"&gt;="&amp;Date(YEAR(DATE(YEAR($G$2),MONTH($G$2)+(-3),1)),4,1),'Form responses'!$F$2:$F53,"&lt;=4")</f>
        <v>85</v>
      </c>
      <c r="CB19" s="555">
        <f>sumifs('Form responses'!FI2:FI53,'Form responses'!$C$2:$C53,"&lt;="&amp;$G$2,'Form responses'!$C$2:$C53,"&gt;="&amp;Date(YEAR(DATE(YEAR($G$2),MONTH($G$2)+(-3),1)),4,1),'Form responses'!$F$2:$F53,"&lt;=4")</f>
        <v>0</v>
      </c>
      <c r="CC19" s="555">
        <f>sumifs('Form responses'!FJ2:FJ53,'Form responses'!$C$2:$C53,"&lt;="&amp;$G$2,'Form responses'!$C$2:$C53,"&gt;="&amp;Date(YEAR(DATE(YEAR($G$2),MONTH($G$2)+(-3),1)),4,1),'Form responses'!$F$2:$F53,"&lt;=4")</f>
        <v>0</v>
      </c>
      <c r="CD19" s="555">
        <f>sumifs('Form responses'!FK2:FK53,'Form responses'!$C$2:$C53,"&lt;="&amp;$G$2,'Form responses'!$C$2:$C53,"&gt;="&amp;Date(YEAR(DATE(YEAR($G$2),MONTH($G$2)+(-3),1)),4,1),'Form responses'!$F$2:$F53,"&lt;=4")</f>
        <v>0</v>
      </c>
      <c r="CE19" s="555">
        <f>sumifs('Form responses'!FL2:FL53,'Form responses'!$C$2:$C53,"&lt;="&amp;$G$2,'Form responses'!$C$2:$C53,"&gt;="&amp;Date(YEAR(DATE(YEAR($G$2),MONTH($G$2)+(-3),1)),4,1),'Form responses'!$F$2:$F53,"&lt;=4")</f>
        <v>0</v>
      </c>
      <c r="CF19" s="555">
        <f>sumifs('Form responses'!FM2:FM53,'Form responses'!$C$2:$C53,"&lt;="&amp;$G$2,'Form responses'!$C$2:$C53,"&gt;="&amp;Date(YEAR(DATE(YEAR($G$2),MONTH($G$2)+(-3),1)),4,1),'Form responses'!$F$2:$F53,"&lt;=4")</f>
        <v>0</v>
      </c>
      <c r="CG19" s="555">
        <f>sumifs('Form responses'!FN2:FN53,'Form responses'!$C$2:$C53,"&lt;="&amp;$G$2,'Form responses'!$C$2:$C53,"&gt;="&amp;Date(YEAR(DATE(YEAR($G$2),MONTH($G$2)+(-3),1)),4,1),'Form responses'!$F$2:$F53,"&lt;=4")</f>
        <v>0</v>
      </c>
      <c r="CH19" s="555">
        <f>sumifs('Form responses'!FT2:FT53,'Form responses'!$C$2:$C53,"&lt;="&amp;$G$2,'Form responses'!$C$2:$C53,"&gt;="&amp;Date(YEAR(DATE(YEAR($G$2),MONTH($G$2)+(-3),1)),4,1),'Form responses'!$F$2:$F53,"&lt;=4")</f>
        <v>0</v>
      </c>
      <c r="CI19" s="555">
        <f>sumifs('Form responses'!FV2:FV53,'Form responses'!$C$2:$C53,"&lt;="&amp;$G$2,'Form responses'!$C$2:$C53,"&gt;="&amp;Date(YEAR(DATE(YEAR($G$2),MONTH($G$2)+(-3),1)),4,1),'Form responses'!$F$2:$F53,"&lt;=4")</f>
        <v>0</v>
      </c>
      <c r="CJ19" s="555">
        <f>sumifs('Form responses'!FR2:FR53,'Form responses'!$C$2:$C53,"&lt;="&amp;$G$2,'Form responses'!$C$2:$C53,"&gt;="&amp;Date(YEAR(DATE(YEAR($G$2),MONTH($G$2)+(-3),1)),4,1),'Form responses'!$F$2:$F53,"&lt;=4")</f>
        <v>45</v>
      </c>
      <c r="CK19" s="555">
        <f>sumifs('Form responses'!FS2:FS53,'Form responses'!$C$2:$C53,"&lt;="&amp;$G$2,'Form responses'!$C$2:$C53,"&gt;="&amp;Date(YEAR(DATE(YEAR($G$2),MONTH($G$2)+(-3),1)),4,1),'Form responses'!$F$2:$F53,"&lt;=4")</f>
        <v>0</v>
      </c>
      <c r="CL19" s="555">
        <f>sumifs('Form responses'!ER2:ER53,'Form responses'!$C$2:$C53,"&lt;="&amp;$G$2,'Form responses'!$C$2:$C53,"&gt;="&amp;Date(YEAR(DATE(YEAR($G$2),MONTH($G$2)+(-3),1)),4,1),'Form responses'!$F$2:$F53,"&lt;=4")</f>
        <v>445</v>
      </c>
      <c r="CM19" s="555">
        <f>sumifs('Form responses'!ES2:ES53,'Form responses'!$C$2:$C53,"&lt;="&amp;$G$2,'Form responses'!$C$2:$C53,"&gt;="&amp;Date(YEAR(DATE(YEAR($G$2),MONTH($G$2)+(-3),1)),4,1),'Form responses'!$F$2:$F53,"&lt;=4")</f>
        <v>0</v>
      </c>
      <c r="CN19" s="555">
        <f>sumifs('Form responses'!ET2:ET53,'Form responses'!$C$2:$C53,"&lt;="&amp;$G$2,'Form responses'!$C$2:$C53,"&gt;="&amp;Date(YEAR(DATE(YEAR($G$2),MONTH($G$2)+(-3),1)),4,1),'Form responses'!$F$2:$F53,"&lt;=4")</f>
        <v>0</v>
      </c>
      <c r="CO19" s="555">
        <f>sumifs('Form responses'!EU2:EU53,'Form responses'!$C$2:$C53,"&lt;="&amp;$G$2,'Form responses'!$C$2:$C53,"&gt;="&amp;Date(YEAR(DATE(YEAR($G$2),MONTH($G$2)+(-3),1)),4,1),'Form responses'!$F$2:$F53,"&lt;=4")</f>
        <v>195</v>
      </c>
      <c r="CP19" s="555">
        <f>sumifs('Form responses'!EV2:EV53,'Form responses'!$C$2:$C53,"&lt;="&amp;$G$2,'Form responses'!$C$2:$C53,"&gt;="&amp;Date(YEAR(DATE(YEAR($G$2),MONTH($G$2)+(-3),1)),4,1),'Form responses'!$F$2:$F53,"&lt;=4")</f>
        <v>180</v>
      </c>
      <c r="CQ19" s="555">
        <f>sumifs('Form responses'!EW2:EW53,'Form responses'!$C$2:$C53,"&lt;="&amp;$G$2,'Form responses'!$C$2:$C53,"&gt;="&amp;Date(YEAR(DATE(YEAR($G$2),MONTH($G$2)+(-3),1)),4,1),'Form responses'!$F$2:$F53,"&lt;=4")</f>
        <v>0</v>
      </c>
      <c r="CR19" s="555">
        <f>sumifs('Form responses'!EX2:EX53,'Form responses'!$C$2:$C53,"&lt;="&amp;$G$2,'Form responses'!$C$2:$C53,"&gt;="&amp;Date(YEAR(DATE(YEAR($G$2),MONTH($G$2)+(-3),1)),4,1),'Form responses'!$F$2:$F53,"&lt;=4")</f>
        <v>0</v>
      </c>
      <c r="CS19" s="555">
        <f>sumifs('Form responses'!FD2:FD53,'Form responses'!$C$2:$C53,"&lt;="&amp;$G$2,'Form responses'!$C$2:$C53,"&gt;="&amp;Date(YEAR(DATE(YEAR($G$2),MONTH($G$2)+(-3),1)),4,1),'Form responses'!$F$2:$F53,"&lt;=4")</f>
        <v>0</v>
      </c>
      <c r="CT19" s="555">
        <f>sumifs('Form responses'!FF2:FF53,'Form responses'!$C$2:$C53,"&lt;="&amp;$G$2,'Form responses'!$C$2:$C53,"&gt;="&amp;Date(YEAR(DATE(YEAR($G$2),MONTH($G$2)+(-3),1)),4,1),'Form responses'!$F$2:$F53,"&lt;=4")</f>
        <v>0</v>
      </c>
      <c r="CU19" s="555">
        <f>sumifs('Form responses'!FB2:FB53,'Form responses'!$C$2:$C53,"&lt;="&amp;$G$2,'Form responses'!$C$2:$C53,"&gt;="&amp;Date(YEAR(DATE(YEAR($G$2),MONTH($G$2)+(-3),1)),4,1),'Form responses'!$F$2:$F53,"&lt;=4")</f>
        <v>555</v>
      </c>
      <c r="CV19" s="555">
        <f>sumifs('Form responses'!FC2:FC53,'Form responses'!$C$2:$C53,"&lt;="&amp;$G$2,'Form responses'!$C$2:$C53,"&gt;="&amp;Date(YEAR(DATE(YEAR($G$2),MONTH($G$2)+(-3),1)),4,1),'Form responses'!$F$2:$F53,"&lt;=4")</f>
        <v>210</v>
      </c>
    </row>
    <row r="20">
      <c r="A20" s="556"/>
      <c r="B20" s="556"/>
      <c r="C20" s="556"/>
      <c r="D20" s="556"/>
      <c r="E20" s="556"/>
      <c r="F20" s="556"/>
      <c r="G20" s="556"/>
      <c r="H20" s="556"/>
      <c r="I20" s="556"/>
      <c r="J20" s="556"/>
      <c r="K20" s="556"/>
      <c r="L20" s="556"/>
      <c r="M20" s="556"/>
      <c r="N20" s="556"/>
      <c r="O20" s="556"/>
      <c r="P20" s="556"/>
      <c r="Q20" s="556"/>
      <c r="R20" s="556"/>
      <c r="S20" s="556"/>
      <c r="T20" s="556"/>
      <c r="U20" s="556"/>
      <c r="V20" s="556"/>
      <c r="W20" s="556"/>
      <c r="X20" s="556"/>
      <c r="Y20" s="556"/>
      <c r="Z20" s="556"/>
      <c r="AA20" s="556"/>
      <c r="AB20" s="556"/>
      <c r="AC20" s="556"/>
      <c r="AD20" s="556"/>
      <c r="AE20" s="556"/>
      <c r="AF20" s="556"/>
      <c r="AG20" s="556"/>
      <c r="AH20" s="556"/>
      <c r="AI20" s="556"/>
      <c r="AJ20" s="556"/>
      <c r="AK20" s="556"/>
      <c r="AL20" s="556"/>
      <c r="AM20" s="556"/>
      <c r="AN20" s="556"/>
      <c r="AO20" s="556"/>
      <c r="AP20" s="556"/>
      <c r="AQ20" s="556"/>
      <c r="AR20" s="556"/>
      <c r="AS20" s="556"/>
      <c r="AT20" s="556"/>
      <c r="AU20" s="556"/>
      <c r="AV20" s="556"/>
      <c r="AW20" s="556"/>
      <c r="AX20" s="556"/>
      <c r="AY20" s="556"/>
      <c r="AZ20" s="556"/>
      <c r="BA20" s="556"/>
      <c r="BB20" s="556"/>
      <c r="BC20" s="556"/>
      <c r="BD20" s="556"/>
      <c r="BE20" s="556"/>
      <c r="BF20" s="556"/>
      <c r="BG20" s="556"/>
      <c r="BH20" s="556"/>
      <c r="BI20" s="556"/>
      <c r="BJ20" s="556"/>
      <c r="BK20" s="556"/>
      <c r="BL20" s="556"/>
      <c r="BM20" s="556"/>
      <c r="BN20" s="556"/>
      <c r="BO20" s="556"/>
      <c r="BP20" s="556"/>
      <c r="BQ20" s="556"/>
      <c r="BR20" s="556"/>
      <c r="BS20" s="556"/>
      <c r="BT20" s="556"/>
      <c r="BU20" s="556"/>
      <c r="BV20" s="556"/>
      <c r="BW20" s="556"/>
      <c r="BX20" s="556"/>
      <c r="BY20" s="556"/>
      <c r="BZ20" s="556"/>
      <c r="CA20" s="556"/>
      <c r="CB20" s="556"/>
      <c r="CC20" s="556"/>
      <c r="CD20" s="556"/>
      <c r="CE20" s="556"/>
      <c r="CF20" s="556"/>
      <c r="CG20" s="556"/>
      <c r="CH20" s="556"/>
      <c r="CI20" s="556"/>
      <c r="CJ20" s="556"/>
      <c r="CK20" s="556"/>
      <c r="CL20" s="556"/>
      <c r="CM20" s="556"/>
      <c r="CN20" s="556"/>
      <c r="CO20" s="556"/>
      <c r="CP20" s="556"/>
      <c r="CQ20" s="556"/>
      <c r="CR20" s="556"/>
      <c r="CS20" s="556"/>
      <c r="CT20" s="556"/>
      <c r="CU20" s="556"/>
      <c r="CV20" s="556"/>
      <c r="CW20" s="556"/>
      <c r="CX20" s="556"/>
      <c r="CY20" s="556"/>
      <c r="CZ20" s="556"/>
      <c r="DA20" s="556"/>
      <c r="DB20" s="556"/>
      <c r="DC20" s="556"/>
      <c r="DD20" s="556"/>
      <c r="DE20" s="556"/>
      <c r="DF20" s="556"/>
      <c r="DG20" s="556"/>
      <c r="DH20" s="556"/>
      <c r="DI20" s="556"/>
      <c r="DJ20" s="556"/>
      <c r="DK20" s="556"/>
      <c r="DL20" s="556"/>
      <c r="DM20" s="556"/>
      <c r="DN20" s="556"/>
      <c r="DO20" s="556"/>
      <c r="DP20" s="556"/>
      <c r="DQ20" s="556"/>
      <c r="DR20" s="556"/>
      <c r="DS20" s="556"/>
      <c r="DT20" s="556"/>
      <c r="DU20" s="556"/>
      <c r="DV20" s="556"/>
      <c r="DW20" s="556"/>
      <c r="DX20" s="556"/>
      <c r="DY20" s="556"/>
      <c r="DZ20" s="556"/>
      <c r="EA20" s="556"/>
      <c r="EB20" s="556"/>
      <c r="EC20" s="556"/>
      <c r="ED20" s="556"/>
      <c r="EE20" s="556"/>
      <c r="EF20" s="556"/>
      <c r="EG20" s="556"/>
      <c r="EH20" s="556"/>
      <c r="EI20" s="556"/>
      <c r="EJ20" s="556"/>
      <c r="EK20" s="557"/>
      <c r="EL20" s="557"/>
    </row>
    <row r="21">
      <c r="A21" s="520"/>
      <c r="B21" s="520"/>
      <c r="C21" s="520"/>
      <c r="D21" s="520"/>
      <c r="E21" s="520"/>
      <c r="F21" s="520"/>
      <c r="G21" s="520"/>
      <c r="H21" s="520"/>
      <c r="I21" s="520"/>
      <c r="J21" s="520"/>
      <c r="K21" s="520"/>
      <c r="L21" s="520"/>
      <c r="M21" s="520"/>
      <c r="N21" s="520"/>
      <c r="O21" s="520"/>
      <c r="P21" s="520"/>
      <c r="Q21" s="520"/>
      <c r="R21" s="520"/>
      <c r="S21" s="520"/>
      <c r="T21" s="520"/>
      <c r="U21" s="520"/>
      <c r="V21" s="520"/>
      <c r="W21" s="520"/>
      <c r="X21" s="520"/>
      <c r="Y21" s="520"/>
      <c r="Z21" s="520"/>
      <c r="AA21" s="520"/>
      <c r="AB21" s="520"/>
      <c r="AC21" s="520"/>
      <c r="AD21" s="520"/>
      <c r="AE21" s="520"/>
      <c r="AF21" s="520"/>
      <c r="AG21" s="520"/>
      <c r="AH21" s="520"/>
      <c r="AI21" s="520"/>
      <c r="AJ21" s="520"/>
      <c r="AK21" s="520"/>
      <c r="AL21" s="520"/>
      <c r="AM21" s="520"/>
      <c r="AN21" s="520"/>
      <c r="AO21" s="520"/>
      <c r="AP21" s="520"/>
      <c r="AQ21" s="520"/>
      <c r="AR21" s="520"/>
      <c r="AS21" s="520"/>
      <c r="AT21" s="520"/>
      <c r="AU21" s="520"/>
      <c r="AV21" s="520"/>
      <c r="AW21" s="520"/>
      <c r="AX21" s="520"/>
      <c r="AY21" s="520"/>
      <c r="AZ21" s="520"/>
      <c r="BA21" s="520"/>
      <c r="BB21" s="520"/>
      <c r="BC21" s="520"/>
      <c r="BD21" s="520"/>
      <c r="BE21" s="520"/>
      <c r="BF21" s="520"/>
      <c r="BG21" s="520"/>
      <c r="BH21" s="520"/>
      <c r="BI21" s="520"/>
      <c r="BJ21" s="520"/>
      <c r="BK21" s="520"/>
      <c r="BL21" s="520"/>
      <c r="BM21" s="520"/>
      <c r="BN21" s="520"/>
      <c r="BO21" s="520"/>
      <c r="BP21" s="520"/>
      <c r="BQ21" s="520"/>
      <c r="BR21" s="520"/>
      <c r="BS21" s="520"/>
      <c r="BT21" s="520"/>
      <c r="BU21" s="520"/>
      <c r="BV21" s="520"/>
      <c r="BW21" s="520"/>
      <c r="BX21" s="520"/>
      <c r="BY21" s="520"/>
      <c r="BZ21" s="520"/>
      <c r="CA21" s="520"/>
      <c r="CB21" s="520"/>
      <c r="CC21" s="520"/>
      <c r="CD21" s="520"/>
      <c r="CE21" s="520"/>
      <c r="CF21" s="520"/>
      <c r="CG21" s="520"/>
      <c r="CH21" s="520"/>
      <c r="CI21" s="520"/>
      <c r="CJ21" s="520"/>
      <c r="CK21" s="520"/>
      <c r="CL21" s="520"/>
      <c r="CM21" s="520"/>
      <c r="CN21" s="520"/>
      <c r="CO21" s="520"/>
      <c r="CP21" s="520"/>
      <c r="CQ21" s="520"/>
      <c r="CR21" s="520"/>
      <c r="CS21" s="520"/>
      <c r="CT21" s="520"/>
      <c r="CU21" s="520"/>
      <c r="CV21" s="520"/>
      <c r="CW21" s="520"/>
      <c r="CX21" s="520"/>
      <c r="CY21" s="520"/>
      <c r="CZ21" s="520"/>
      <c r="DA21" s="520"/>
      <c r="DB21" s="520"/>
      <c r="DC21" s="520"/>
      <c r="DD21" s="520"/>
      <c r="DE21" s="520"/>
      <c r="DF21" s="520"/>
      <c r="DG21" s="520"/>
      <c r="DH21" s="520"/>
      <c r="DI21" s="520"/>
      <c r="DJ21" s="520"/>
      <c r="DK21" s="520"/>
      <c r="DL21" s="520"/>
      <c r="DM21" s="520"/>
      <c r="DN21" s="520"/>
      <c r="DO21" s="520"/>
      <c r="DP21" s="520"/>
      <c r="DQ21" s="520"/>
      <c r="DR21" s="520"/>
      <c r="DS21" s="520"/>
      <c r="DT21" s="520"/>
      <c r="DU21" s="520"/>
      <c r="DV21" s="520"/>
      <c r="DW21" s="520"/>
      <c r="DX21" s="520"/>
      <c r="DY21" s="520"/>
      <c r="DZ21" s="520"/>
      <c r="EA21" s="520"/>
      <c r="EB21" s="520"/>
      <c r="EC21" s="520"/>
      <c r="ED21" s="520"/>
      <c r="EE21" s="520"/>
      <c r="EF21" s="520"/>
      <c r="EG21" s="520"/>
      <c r="EH21" s="520"/>
      <c r="EI21" s="520"/>
      <c r="EJ21" s="520"/>
      <c r="EK21" s="520"/>
      <c r="EL21" s="520"/>
    </row>
    <row r="22">
      <c r="A22" s="506"/>
      <c r="B22" s="506" t="s">
        <v>973</v>
      </c>
      <c r="E22" s="507">
        <f>E16</f>
        <v>46113</v>
      </c>
      <c r="F22" s="508" t="s">
        <v>509</v>
      </c>
      <c r="G22" s="509">
        <f>G16</f>
        <v>46142</v>
      </c>
      <c r="H22" s="510"/>
      <c r="I22" s="511"/>
      <c r="J22" s="511"/>
      <c r="K22" s="510"/>
      <c r="L22" s="511"/>
      <c r="M22" s="510"/>
      <c r="N22" s="510"/>
      <c r="O22" s="510"/>
      <c r="P22" s="511"/>
      <c r="Q22" s="511"/>
      <c r="R22" s="511"/>
      <c r="S22" s="511"/>
      <c r="T22" s="511"/>
      <c r="U22" s="511"/>
      <c r="V22" s="511"/>
      <c r="W22" s="511"/>
      <c r="X22" s="511"/>
      <c r="Y22" s="511"/>
      <c r="Z22" s="511"/>
      <c r="AA22" s="511"/>
      <c r="AB22" s="511"/>
      <c r="AC22" s="511"/>
      <c r="AD22" s="511"/>
      <c r="AE22" s="511"/>
      <c r="AF22" s="511"/>
      <c r="AG22" s="511"/>
      <c r="AH22" s="511"/>
      <c r="AI22" s="511"/>
      <c r="AJ22" s="511"/>
      <c r="AK22" s="511"/>
      <c r="AL22" s="511"/>
      <c r="AM22" s="511"/>
      <c r="AN22" s="511"/>
      <c r="AO22" s="511"/>
      <c r="AP22" s="511"/>
      <c r="AQ22" s="511"/>
      <c r="AR22" s="511"/>
      <c r="AS22" s="511"/>
      <c r="AT22" s="511"/>
      <c r="AU22" s="511"/>
      <c r="AV22" s="511"/>
      <c r="AW22" s="511"/>
      <c r="AX22" s="511"/>
      <c r="AY22" s="511"/>
      <c r="AZ22" s="511"/>
      <c r="BA22" s="511"/>
      <c r="BB22" s="511"/>
      <c r="BC22" s="511"/>
      <c r="BD22" s="511"/>
      <c r="BE22" s="511"/>
      <c r="BF22" s="511"/>
      <c r="BG22" s="511"/>
      <c r="BH22" s="511"/>
      <c r="BI22" s="511"/>
      <c r="BJ22" s="511"/>
      <c r="BK22" s="511"/>
      <c r="BL22" s="511"/>
      <c r="BM22" s="511"/>
      <c r="BN22" s="511"/>
      <c r="BO22" s="511"/>
      <c r="BP22" s="511"/>
      <c r="BQ22" s="511"/>
      <c r="BR22" s="511"/>
      <c r="BS22" s="511"/>
      <c r="BT22" s="511"/>
      <c r="BU22" s="511"/>
      <c r="BV22" s="511"/>
      <c r="BW22" s="511"/>
      <c r="BX22" s="511"/>
      <c r="BY22" s="511"/>
      <c r="BZ22" s="511"/>
      <c r="CA22" s="511"/>
      <c r="CB22" s="511"/>
      <c r="CC22" s="511"/>
      <c r="CD22" s="511"/>
      <c r="CE22" s="511"/>
      <c r="CF22" s="511"/>
      <c r="CG22" s="511"/>
      <c r="CH22" s="511"/>
      <c r="CI22" s="511"/>
      <c r="CJ22" s="511"/>
      <c r="CK22" s="511"/>
      <c r="CL22" s="511"/>
      <c r="CM22" s="511"/>
      <c r="CN22" s="511"/>
      <c r="CO22" s="511"/>
      <c r="CP22" s="511"/>
      <c r="CQ22" s="511"/>
      <c r="CR22" s="511"/>
      <c r="CS22" s="511"/>
      <c r="CT22" s="511"/>
      <c r="CU22" s="511"/>
      <c r="CV22" s="511"/>
      <c r="CW22" s="511"/>
      <c r="CX22" s="511"/>
      <c r="CY22" s="511"/>
      <c r="CZ22" s="511"/>
      <c r="DA22" s="511"/>
      <c r="DB22" s="511"/>
      <c r="DC22" s="511"/>
      <c r="DD22" s="511"/>
      <c r="DE22" s="511"/>
      <c r="DF22" s="511"/>
      <c r="DG22" s="511"/>
      <c r="DH22" s="511"/>
      <c r="DI22" s="511"/>
      <c r="DJ22" s="511"/>
      <c r="DK22" s="511"/>
      <c r="DL22" s="511"/>
      <c r="DM22" s="511"/>
      <c r="DN22" s="511"/>
      <c r="DO22" s="511"/>
      <c r="DP22" s="511"/>
      <c r="DQ22" s="511"/>
      <c r="DR22" s="511"/>
      <c r="DS22" s="511"/>
      <c r="DT22" s="511"/>
      <c r="DU22" s="511"/>
      <c r="DV22" s="511"/>
      <c r="DW22" s="511"/>
      <c r="DX22" s="511"/>
      <c r="DY22" s="511"/>
      <c r="DZ22" s="511"/>
      <c r="EA22" s="511"/>
      <c r="EB22" s="511"/>
      <c r="EC22" s="511"/>
      <c r="ED22" s="511"/>
      <c r="EE22" s="511"/>
      <c r="EF22" s="511"/>
      <c r="EG22" s="511"/>
      <c r="EH22" s="511"/>
      <c r="EI22" s="511"/>
      <c r="EJ22" s="511"/>
      <c r="EK22" s="511"/>
      <c r="EL22" s="511"/>
    </row>
    <row r="23">
      <c r="A23" s="512"/>
      <c r="B23" s="514" t="s">
        <v>876</v>
      </c>
      <c r="C23" s="514" t="s">
        <v>877</v>
      </c>
      <c r="D23" s="514" t="s">
        <v>878</v>
      </c>
      <c r="E23" s="514" t="s">
        <v>879</v>
      </c>
      <c r="F23" s="514" t="s">
        <v>880</v>
      </c>
      <c r="G23" s="514" t="s">
        <v>881</v>
      </c>
      <c r="H23" s="514" t="s">
        <v>882</v>
      </c>
      <c r="I23" s="514" t="s">
        <v>883</v>
      </c>
      <c r="J23" s="514" t="s">
        <v>884</v>
      </c>
      <c r="K23" s="515" t="s">
        <v>885</v>
      </c>
      <c r="L23" s="514" t="s">
        <v>886</v>
      </c>
      <c r="M23" s="514" t="s">
        <v>887</v>
      </c>
      <c r="N23" s="514" t="s">
        <v>888</v>
      </c>
      <c r="O23" s="515" t="s">
        <v>889</v>
      </c>
      <c r="P23" s="514" t="s">
        <v>890</v>
      </c>
      <c r="Q23" s="514" t="s">
        <v>891</v>
      </c>
      <c r="R23" s="514" t="s">
        <v>892</v>
      </c>
      <c r="S23" s="514" t="s">
        <v>893</v>
      </c>
      <c r="T23" s="514" t="s">
        <v>383</v>
      </c>
      <c r="U23" s="514" t="s">
        <v>894</v>
      </c>
      <c r="V23" s="514" t="s">
        <v>895</v>
      </c>
      <c r="W23" s="514" t="s">
        <v>896</v>
      </c>
      <c r="X23" s="514" t="s">
        <v>596</v>
      </c>
      <c r="Y23" s="514" t="s">
        <v>897</v>
      </c>
      <c r="Z23" s="514" t="s">
        <v>598</v>
      </c>
      <c r="AA23" s="514" t="s">
        <v>898</v>
      </c>
      <c r="AB23" s="514" t="s">
        <v>600</v>
      </c>
      <c r="AC23" s="514" t="s">
        <v>899</v>
      </c>
      <c r="AD23" s="514" t="s">
        <v>397</v>
      </c>
      <c r="AE23" s="514" t="s">
        <v>900</v>
      </c>
      <c r="AF23" s="514" t="s">
        <v>901</v>
      </c>
      <c r="AG23" s="514" t="s">
        <v>902</v>
      </c>
      <c r="AH23" s="515" t="s">
        <v>903</v>
      </c>
      <c r="AI23" s="515" t="s">
        <v>904</v>
      </c>
      <c r="AJ23" s="514" t="s">
        <v>905</v>
      </c>
      <c r="AK23" s="514" t="s">
        <v>906</v>
      </c>
      <c r="AL23" s="514" t="s">
        <v>907</v>
      </c>
      <c r="AM23" s="514" t="s">
        <v>908</v>
      </c>
      <c r="AN23" s="514" t="s">
        <v>909</v>
      </c>
      <c r="AO23" s="514" t="s">
        <v>910</v>
      </c>
      <c r="AP23" s="514" t="s">
        <v>621</v>
      </c>
      <c r="AQ23" s="514" t="s">
        <v>911</v>
      </c>
      <c r="AR23" s="514" t="s">
        <v>413</v>
      </c>
      <c r="AS23" s="514" t="s">
        <v>912</v>
      </c>
      <c r="AT23" s="514" t="s">
        <v>421</v>
      </c>
      <c r="AU23" s="514" t="s">
        <v>422</v>
      </c>
      <c r="AV23" s="514" t="s">
        <v>423</v>
      </c>
      <c r="AW23" s="514" t="s">
        <v>913</v>
      </c>
      <c r="AX23" s="514" t="s">
        <v>425</v>
      </c>
      <c r="AY23" s="514" t="s">
        <v>914</v>
      </c>
      <c r="AZ23" s="514" t="s">
        <v>427</v>
      </c>
      <c r="BA23" s="514" t="s">
        <v>428</v>
      </c>
      <c r="BB23" s="514" t="s">
        <v>429</v>
      </c>
      <c r="BC23" s="514" t="s">
        <v>430</v>
      </c>
      <c r="BD23" s="515" t="s">
        <v>431</v>
      </c>
      <c r="BE23" s="515" t="s">
        <v>432</v>
      </c>
      <c r="BF23" s="514" t="s">
        <v>915</v>
      </c>
      <c r="BG23" s="514" t="s">
        <v>916</v>
      </c>
      <c r="BH23" s="514" t="s">
        <v>917</v>
      </c>
      <c r="BI23" s="514" t="s">
        <v>918</v>
      </c>
      <c r="BJ23" s="514" t="s">
        <v>919</v>
      </c>
      <c r="BK23" s="514" t="s">
        <v>920</v>
      </c>
      <c r="BL23" s="514" t="s">
        <v>441</v>
      </c>
      <c r="BM23" s="514" t="s">
        <v>442</v>
      </c>
      <c r="BN23" s="514" t="s">
        <v>443</v>
      </c>
      <c r="BO23" s="514" t="s">
        <v>444</v>
      </c>
      <c r="BP23" s="514" t="s">
        <v>921</v>
      </c>
      <c r="BQ23" s="514" t="s">
        <v>486</v>
      </c>
      <c r="BR23" s="514" t="s">
        <v>922</v>
      </c>
      <c r="BS23" s="514" t="s">
        <v>488</v>
      </c>
      <c r="BT23" s="514" t="s">
        <v>489</v>
      </c>
      <c r="BU23" s="515" t="s">
        <v>923</v>
      </c>
      <c r="BV23" s="514" t="s">
        <v>924</v>
      </c>
      <c r="BW23" s="514" t="s">
        <v>925</v>
      </c>
      <c r="BX23" s="514" t="s">
        <v>926</v>
      </c>
      <c r="BY23" s="514" t="s">
        <v>927</v>
      </c>
      <c r="BZ23" s="514" t="s">
        <v>928</v>
      </c>
      <c r="CA23" s="514" t="s">
        <v>929</v>
      </c>
      <c r="CB23" s="514" t="s">
        <v>930</v>
      </c>
      <c r="CC23" s="514" t="s">
        <v>471</v>
      </c>
      <c r="CD23" s="514" t="s">
        <v>472</v>
      </c>
      <c r="CE23" s="514" t="s">
        <v>473</v>
      </c>
      <c r="CF23" s="515" t="s">
        <v>474</v>
      </c>
      <c r="CG23" s="514" t="s">
        <v>931</v>
      </c>
      <c r="CH23" s="514" t="s">
        <v>932</v>
      </c>
      <c r="CI23" s="514" t="s">
        <v>933</v>
      </c>
      <c r="CJ23" s="514" t="s">
        <v>479</v>
      </c>
      <c r="CK23" s="514" t="s">
        <v>480</v>
      </c>
      <c r="CL23" s="515" t="s">
        <v>934</v>
      </c>
      <c r="CM23" s="515" t="s">
        <v>935</v>
      </c>
      <c r="CN23" s="515" t="s">
        <v>936</v>
      </c>
      <c r="CO23" s="515" t="s">
        <v>937</v>
      </c>
      <c r="CP23" s="515" t="s">
        <v>938</v>
      </c>
      <c r="CQ23" s="515" t="s">
        <v>939</v>
      </c>
      <c r="CR23" s="515" t="s">
        <v>940</v>
      </c>
      <c r="CS23" s="515" t="s">
        <v>941</v>
      </c>
      <c r="CT23" s="515" t="s">
        <v>942</v>
      </c>
      <c r="CU23" s="515" t="s">
        <v>943</v>
      </c>
      <c r="CV23" s="516" t="s">
        <v>944</v>
      </c>
      <c r="CW23" s="520"/>
      <c r="CX23" s="520"/>
      <c r="CY23" s="520"/>
      <c r="CZ23" s="520"/>
      <c r="DA23" s="520"/>
      <c r="DB23" s="520"/>
      <c r="DC23" s="520"/>
      <c r="DD23" s="520"/>
      <c r="DE23" s="520"/>
      <c r="DF23" s="520"/>
      <c r="DG23" s="520"/>
      <c r="DH23" s="520"/>
      <c r="DI23" s="520"/>
      <c r="DJ23" s="520"/>
      <c r="DK23" s="520"/>
      <c r="DL23" s="520"/>
      <c r="DM23" s="520"/>
      <c r="DN23" s="520"/>
      <c r="DO23" s="520"/>
      <c r="DP23" s="520"/>
      <c r="DQ23" s="520"/>
      <c r="DR23" s="520"/>
      <c r="DS23" s="520"/>
      <c r="DT23" s="520"/>
      <c r="DU23" s="520"/>
      <c r="DV23" s="520"/>
      <c r="DW23" s="520"/>
      <c r="DX23" s="520"/>
      <c r="DY23" s="520"/>
      <c r="DZ23" s="520"/>
      <c r="EA23" s="520"/>
      <c r="EB23" s="520"/>
      <c r="EC23" s="520"/>
      <c r="ED23" s="520"/>
      <c r="EE23" s="520"/>
      <c r="EF23" s="520"/>
      <c r="EG23" s="520"/>
      <c r="EH23" s="520"/>
      <c r="EI23" s="520"/>
      <c r="EJ23" s="520"/>
      <c r="EK23" s="520"/>
      <c r="EL23" s="520"/>
    </row>
    <row r="24">
      <c r="A24" s="518" t="s">
        <v>945</v>
      </c>
      <c r="B24" s="519">
        <f>sumifs('Form responses'!BF2:BF53,'Form responses'!$C$2:$C53,"&gt;="&amp;$E$2,'Form responses'!$C$2:$C53,"&lt;="&amp;$G$2,'Form responses'!$F$2:$F53,"=4")</f>
        <v>85</v>
      </c>
      <c r="C24" s="519">
        <f>sumifs('Form responses'!BH2:BH53,'Form responses'!$C$2:$C53,"&gt;="&amp;$E$2,'Form responses'!$C$2:$C53,"&lt;="&amp;$G$2,'Form responses'!$F$2:$F53,"=4")</f>
        <v>0</v>
      </c>
      <c r="D24" s="519">
        <f>sumifs('Form responses'!BJ2:BJ53,'Form responses'!$C$2:$C53,"&gt;="&amp;$E$2,'Form responses'!$C$2:$C53,"&lt;="&amp;$G$2,'Form responses'!$F$2:$F53,"=4")</f>
        <v>0</v>
      </c>
      <c r="E24" s="519">
        <f>sumifs('Form responses'!BL2:BL53,'Form responses'!$C$2:$C53,"&gt;="&amp;$E$2,'Form responses'!$C$2:$C53,"&lt;="&amp;$G$2,'Form responses'!$F$2:$F53,"=4")</f>
        <v>0</v>
      </c>
      <c r="F24" s="519">
        <f>sumifs('Form responses'!BG2:BG53,'Form responses'!$C$2:$C53,"&gt;="&amp;$E$2,'Form responses'!$C$2:$C53,"&lt;="&amp;$G$2,'Form responses'!$F$2:$F53,"=4")</f>
        <v>54</v>
      </c>
      <c r="G24" s="519">
        <f>sumifs('Form responses'!BI2:BI53,'Form responses'!$C$2:$C53,"&gt;="&amp;$E$2,'Form responses'!$C$2:$C53,"&lt;="&amp;$G$2,'Form responses'!$F$2:$F53,"=4")</f>
        <v>0</v>
      </c>
      <c r="H24" s="519">
        <f>sumifs('Form responses'!BK2:BK53,'Form responses'!$C$2:$C53,"&gt;="&amp;$E$2,'Form responses'!$C$2:$C53,"&lt;="&amp;$G$2,'Form responses'!$F$2:$F53,"=4")</f>
        <v>0</v>
      </c>
      <c r="I24" s="519">
        <f>sumifs('Form responses'!BM2:BM53,'Form responses'!$C$2:$C53,"&gt;="&amp;$E$2,'Form responses'!$C$2:$C53,"&lt;="&amp;$G$2,'Form responses'!$F$2:$F53,"=4")</f>
        <v>0</v>
      </c>
      <c r="J24" s="519">
        <f>sumifs('Form responses'!BN2:BN53,'Form responses'!$C$2:$C53,"&gt;="&amp;$E$2,'Form responses'!$C$2:$C53,"&lt;="&amp;$G$2,'Form responses'!$F$2:$F53,"=4")</f>
        <v>0</v>
      </c>
      <c r="K24" s="519">
        <f>sumifs('Form responses'!BP2:BP53,'Form responses'!$C$2:$C53,"&gt;="&amp;$E$2,'Form responses'!$C$2:$C53,"&lt;="&amp;$G$2,'Form responses'!$F$2:$F53,"=4")</f>
        <v>0</v>
      </c>
      <c r="L24" s="519">
        <f>sumifs('Form responses'!BR2:BR53,'Form responses'!$C$2:$C53,"&gt;="&amp;$E$2,'Form responses'!$C$2:$C53,"&lt;="&amp;$G$2,'Form responses'!$F$2:$F53,"=4")</f>
        <v>0</v>
      </c>
      <c r="M24" s="519">
        <f>sumifs('Form responses'!CD2:CD53,'Form responses'!$C$2:$C53,"&gt;="&amp;$E$2,'Form responses'!$C$2:$C53,"&lt;="&amp;$G$2,'Form responses'!$F$2:$F53,"=4")</f>
        <v>0</v>
      </c>
      <c r="N24" s="519">
        <f>sumifs('Form responses'!BO2:BO53,'Form responses'!$C$2:$C53,"&gt;="&amp;$E$2,'Form responses'!$C$2:$C53,"&lt;="&amp;$G$2,'Form responses'!$F$2:$F53,"=4")</f>
        <v>0</v>
      </c>
      <c r="O24" s="519">
        <f>sumifs('Form responses'!BQ2:BQ53,'Form responses'!$C$2:$C53,"&gt;="&amp;$E$2,'Form responses'!$C$2:$C53,"&lt;="&amp;$G$2,'Form responses'!$F$2:$F53,"=4")</f>
        <v>0</v>
      </c>
      <c r="P24" s="519">
        <f>sumifs('Form responses'!BS2:BS53,'Form responses'!$C$2:$C53,"&gt;="&amp;$E$2,'Form responses'!$C$2:$C53,"&lt;="&amp;$G$2,'Form responses'!$F$2:$F53,"=4")</f>
        <v>0</v>
      </c>
      <c r="Q24" s="519">
        <f>sumifs('Form responses'!CE2:CE53,'Form responses'!$C$2:$C53,"&gt;="&amp;$E$2,'Form responses'!$C$2:$C53,"&lt;="&amp;$G$2,'Form responses'!$F$2:$F53,"=4")</f>
        <v>0</v>
      </c>
      <c r="R24" s="519">
        <f>sumifs('Form responses'!BC2:BC53,'Form responses'!$C$2:$C53,"&gt;="&amp;$E$2,'Form responses'!$C$2:$C53,"&lt;="&amp;$G$2,'Form responses'!$F$2:$F53,"=4")</f>
        <v>0</v>
      </c>
      <c r="S24" s="519">
        <f>sumifs('Form responses'!BD2:BD53,'Form responses'!$C$2:$C53,"&gt;="&amp;$E$2,'Form responses'!$C$2:$C53,"&lt;="&amp;$G$2,'Form responses'!$F$2:$F53,"=4")</f>
        <v>0</v>
      </c>
      <c r="T24" s="519">
        <f>sumifs('Form responses'!BZ2:BZ53,'Form responses'!$C$2:$C53,"&gt;="&amp;$E$2,'Form responses'!$C$2:$C53,"&lt;="&amp;$G$2,'Form responses'!$F$2:$F53,"=4")</f>
        <v>45</v>
      </c>
      <c r="U24" s="519">
        <f>sumifs('Form responses'!CB2:CB53,'Form responses'!$C$2:$C53,"&gt;="&amp;$E$2,'Form responses'!$C$2:$C53,"&lt;="&amp;$G$2,'Form responses'!$F$2:$F53,"=4")</f>
        <v>0</v>
      </c>
      <c r="V24" s="519">
        <f>sumifs('Form responses'!CA2:CA53,'Form responses'!$C$2:$C53,"&gt;="&amp;$E$2,'Form responses'!$C$2:$C53,"&lt;="&amp;$G$2,'Form responses'!$F$2:$F53,"=4")</f>
        <v>29</v>
      </c>
      <c r="W24" s="519">
        <f>sumifs('Form responses'!CC2:CC53,'Form responses'!$C$2:$C53,"&gt;="&amp;$E$2,'Form responses'!$C$2:$C53,"&lt;="&amp;$G$2,'Form responses'!$F$2:$F53,"=4")</f>
        <v>0</v>
      </c>
      <c r="X24" s="519">
        <f>sumifs('Form responses'!CH2:CH53,'Form responses'!$C$2:$C53,"&gt;="&amp;$E$2,'Form responses'!$C$2:$C53,"&lt;="&amp;$G$2,'Form responses'!$F$2:$F53,"=4")</f>
        <v>0</v>
      </c>
      <c r="Y24" s="519">
        <f>sumifs('Form responses'!CI2:CI53,'Form responses'!$C$2:$C53,"&gt;="&amp;$E$2,'Form responses'!$C$2:$C53,"&lt;="&amp;$G$2,'Form responses'!$F$2:$F53,"=4")</f>
        <v>0</v>
      </c>
      <c r="Z24" s="519">
        <f>sumifs('Form responses'!CJ2:CJ53,'Form responses'!$C$2:$C53,"&gt;="&amp;$E$2,'Form responses'!$C$2:$C53,"&lt;="&amp;$G$2,'Form responses'!$F$2:$F53,"=4")</f>
        <v>0</v>
      </c>
      <c r="AA24" s="519">
        <f>sumifs('Form responses'!CK2:CK53,'Form responses'!$C$2:$C53,"&gt;="&amp;$E$2,'Form responses'!$C$2:$C53,"&lt;="&amp;$G$2,'Form responses'!$F$2:$F53,"=4")</f>
        <v>0</v>
      </c>
      <c r="AB24" s="519">
        <f>sumifs('Form responses'!CL2:CL53,'Form responses'!$C$2:$C53,"&gt;="&amp;$E$2,'Form responses'!$C$2:$C53,"&lt;="&amp;$G$2,'Form responses'!$F$2:$F53,"=4")</f>
        <v>0</v>
      </c>
      <c r="AC24" s="519">
        <f>sumifs('Form responses'!CM2:CM53,'Form responses'!$C$2:$C53,"&gt;="&amp;$E$2,'Form responses'!$C$2:$C53,"&lt;="&amp;$G$2,'Form responses'!$F$2:$F53,"=4")</f>
        <v>0</v>
      </c>
      <c r="AD24" s="519">
        <f>sumifs('Form responses'!CN2:CN53,'Form responses'!$C$2:$C53,"&gt;="&amp;$E$2,'Form responses'!$C$2:$C53,"&lt;="&amp;$G$2,'Form responses'!$F$2:$F53,"=4")</f>
        <v>0</v>
      </c>
      <c r="AE24" s="519">
        <f>sumifs('Form responses'!CO2:CO53,'Form responses'!$C$2:$C53,"&gt;="&amp;$E$2,'Form responses'!$C$2:$C53,"&lt;="&amp;$G$2,'Form responses'!$F$2:$F53,"=4")</f>
        <v>0</v>
      </c>
      <c r="AF24" s="519">
        <f>sumifs('Form responses'!CP2:CP53,'Form responses'!$C$2:$C53,"&gt;="&amp;$E$2,'Form responses'!$C$2:$C53,"&lt;="&amp;$G$2,'Form responses'!$F$2:$F53,"=4")</f>
        <v>64</v>
      </c>
      <c r="AG24" s="519">
        <f>sumifs('Form responses'!CQ2:CQ53,'Form responses'!$C$2:$C53,"&gt;="&amp;$E$2,'Form responses'!$C$2:$C53,"&lt;="&amp;$G$2,'Form responses'!$F$2:$F53,"=4")</f>
        <v>34</v>
      </c>
      <c r="AH24" s="519">
        <f>sumifs('Form responses'!CR2:CR53,'Form responses'!$C$2:$C53,"&gt;="&amp;$E$2,'Form responses'!$C$2:$C53,"&lt;="&amp;$G$2,'Form responses'!$F$2:$F53,"=4")</f>
        <v>0</v>
      </c>
      <c r="AI24" s="519">
        <f>sumifs('Form responses'!CS2:CS53,'Form responses'!$C$2:$C53,"&gt;="&amp;$E$2,'Form responses'!$C$2:$C53,"&lt;="&amp;$G$2,'Form responses'!$F$2:$F53,"=4")</f>
        <v>0</v>
      </c>
      <c r="AJ24" s="519">
        <f>sumifs('Form responses'!CT2:CT53,'Form responses'!$C$2:$C53,"&gt;="&amp;$E$2,'Form responses'!$C$2:$C53,"&lt;="&amp;$G$2,'Form responses'!$F$2:$F53,"=4")</f>
        <v>0</v>
      </c>
      <c r="AK24" s="519">
        <f>sumifs('Form responses'!CU2:CU53,'Form responses'!$C$2:$C53,"&gt;="&amp;$E$2,'Form responses'!$C$2:$C53,"&lt;="&amp;$G$2,'Form responses'!$F$2:$F53,"=4")</f>
        <v>0</v>
      </c>
      <c r="AL24" s="519">
        <f>sumifs('Form responses'!DF2:DF53,'Form responses'!$C$2:$C53,"&gt;="&amp;$E$2,'Form responses'!$C$2:$C53,"&lt;="&amp;$G$2,'Form responses'!$F$2:$F53,"=4")</f>
        <v>0</v>
      </c>
      <c r="AM24" s="519">
        <f>sumifs('Form responses'!DG2:DG53,'Form responses'!$C$2:$C53,"&gt;="&amp;$E$2,'Form responses'!$C$2:$C53,"&lt;="&amp;$G$2,'Form responses'!$F$2:$F53,"=4")</f>
        <v>0</v>
      </c>
      <c r="AN24" s="519">
        <f>sumifs('Form responses'!BA2:BA53,'Form responses'!$C$2:$C53,"&gt;="&amp;$E$2,'Form responses'!$C$2:$C53,"&lt;="&amp;$G$2,'Form responses'!$F$2:$F53,"=4")</f>
        <v>0</v>
      </c>
      <c r="AO24" s="519">
        <f>sumifs('Form responses'!BB2:BB53,'Form responses'!$C$2:$C53,"&gt;="&amp;$E$2,'Form responses'!$C$2:$C53,"&lt;="&amp;$G$2,'Form responses'!$F$2:$F53,"=4")</f>
        <v>0</v>
      </c>
      <c r="AP24" s="519">
        <f>sumifs('Form responses'!DB2:DB53,'Form responses'!$C$2:$C53,"&gt;="&amp;$E$2,'Form responses'!$C$2:$C53,"&lt;="&amp;$G$2,'Form responses'!$F$2:$F53,"=4")</f>
        <v>31</v>
      </c>
      <c r="AQ24" s="519">
        <f>sumifs('Form responses'!DC2:DC53,'Form responses'!$C$2:$C53,"&gt;="&amp;$E$2,'Form responses'!$C$2:$C53,"&lt;="&amp;$G$2,'Form responses'!$F$2:$F53,"=4")</f>
        <v>16</v>
      </c>
      <c r="AR24" s="519">
        <f>sumifs('Form responses'!DD2:DD53,'Form responses'!$C$2:$C53,"&gt;="&amp;$E$2,'Form responses'!$C$2:$C53,"&lt;="&amp;$G$2,'Form responses'!$F$2:$F53,"=4")</f>
        <v>0</v>
      </c>
      <c r="AS24" s="519">
        <f>sumifs('Form responses'!DE2:DE53,'Form responses'!$C$2:$C53,"&gt;="&amp;$E$2,'Form responses'!$C$2:$C53,"&lt;="&amp;$G$2,'Form responses'!$F$2:$F53,"=4")</f>
        <v>0</v>
      </c>
      <c r="AT24" s="519">
        <f>sumifs('Form responses'!DL2:DL53,'Form responses'!$C$2:$C53,"&gt;="&amp;$E$2,'Form responses'!$C$2:$C53,"&lt;="&amp;$G$2,'Form responses'!$F$2:$F53,"=4")</f>
        <v>2</v>
      </c>
      <c r="AU24" s="519">
        <f>sumifs('Form responses'!DM2:DM53,'Form responses'!$C$2:$C53,"&gt;="&amp;$E$2,'Form responses'!$C$2:$C53,"&lt;="&amp;$G$2,'Form responses'!$F$2:$F53,"=4")</f>
        <v>2</v>
      </c>
      <c r="AV24" s="519">
        <f>sumifs('Form responses'!DN2:DN53,'Form responses'!$C$2:$C53,"&gt;="&amp;$E$2,'Form responses'!$C$2:$C53,"&lt;="&amp;$G$2,'Form responses'!$F$2:$F53,"=4")</f>
        <v>0</v>
      </c>
      <c r="AW24" s="519">
        <f>sumifs('Form responses'!DO2:DO53,'Form responses'!$C$2:$C53,"&gt;="&amp;$E$2,'Form responses'!$C$2:$C53,"&lt;="&amp;$G$2,'Form responses'!$F$2:$F53,"=4")</f>
        <v>0</v>
      </c>
      <c r="AX24" s="519">
        <f>sumifs('Form responses'!DP2:DP53,'Form responses'!$C$2:$C53,"&gt;="&amp;$E$2,'Form responses'!$C$2:$C53,"&lt;="&amp;$G$2,'Form responses'!$F$2:$F53,"=4")</f>
        <v>0</v>
      </c>
      <c r="AY24" s="519">
        <f>sumifs('Form responses'!DQ2:DQ53,'Form responses'!$C$2:$C53,"&gt;="&amp;$E$2,'Form responses'!$C$2:$C53,"&lt;="&amp;$G$2,'Form responses'!$F$2:$F53,"=4")</f>
        <v>0</v>
      </c>
      <c r="AZ24" s="519">
        <f>sumifs('Form responses'!DR2:DR53,'Form responses'!$C$2:$C53,"&gt;="&amp;$E$2,'Form responses'!$C$2:$C53,"&lt;="&amp;$G$2,'Form responses'!$F$2:$F53,"=4")</f>
        <v>0</v>
      </c>
      <c r="BA24" s="519">
        <f>sumifs('Form responses'!DS2:DS53,'Form responses'!$C$2:$C53,"&gt;="&amp;$E$2,'Form responses'!$C$2:$C53,"&lt;="&amp;$G$2,'Form responses'!$F$2:$F53,"=4")</f>
        <v>0</v>
      </c>
      <c r="BB24" s="519">
        <f>sumifs('Form responses'!DT2:DT53,'Form responses'!$C$2:$C53,"&gt;="&amp;$E$2,'Form responses'!$C$2:$C53,"&lt;="&amp;$G$2,'Form responses'!$F$2:$F53,"=4")</f>
        <v>4</v>
      </c>
      <c r="BC24" s="519">
        <f>sumifs('Form responses'!DU2:DU53,'Form responses'!$C$2:$C53,"&gt;="&amp;$E$2,'Form responses'!$C$2:$C53,"&lt;="&amp;$G$2,'Form responses'!$F$2:$F53,"=4")</f>
        <v>2</v>
      </c>
      <c r="BD24" s="519">
        <f>sumifs('Form responses'!DV2:DV53,'Form responses'!$C$2:$C53,"&gt;="&amp;$E$2,'Form responses'!$C$2:$C53,"&lt;="&amp;$G$2,'Form responses'!$F$2:$F53,"=4")</f>
        <v>0</v>
      </c>
      <c r="BE24" s="519">
        <f>sumifs('Form responses'!DW2:DW53,'Form responses'!$C$2:$C53,"&gt;="&amp;$E$2,'Form responses'!$C$2:$C53,"&lt;="&amp;$G$2,'Form responses'!$F$2:$F53,"=4")</f>
        <v>0</v>
      </c>
      <c r="BF24" s="519">
        <f>sumifs('Form responses'!DX2:DX53,'Form responses'!$C$2:$C53,"&gt;="&amp;$E$2,'Form responses'!$C$2:$C53,"&lt;="&amp;$G$2,'Form responses'!$F$2:$F53,"=4")</f>
        <v>0</v>
      </c>
      <c r="BG24" s="519">
        <f>sumifs('Form responses'!DY2:DY53,'Form responses'!$C$2:$C53,"&gt;="&amp;$E$2,'Form responses'!$C$2:$C53,"&lt;="&amp;$G$2,'Form responses'!$F$2:$F53,"=4")</f>
        <v>0</v>
      </c>
      <c r="BH24" s="519">
        <f>sumifs('Form responses'!EJ2:EJ53,'Form responses'!$C$2:$C53,"&gt;="&amp;$E$2,'Form responses'!$C$2:$C53,"&lt;="&amp;$G$2,'Form responses'!$F$2:$F53,"=4")</f>
        <v>0</v>
      </c>
      <c r="BI24" s="519">
        <f>sumifs('Form responses'!EK2:EK53,'Form responses'!$C$2:$C53,"&gt;="&amp;$E$2,'Form responses'!$C$2:$C53,"&lt;="&amp;$G$2,'Form responses'!$F$2:$F53,"=4")</f>
        <v>0</v>
      </c>
      <c r="BJ24" s="519">
        <f>sumifs('Form responses'!EN2:EN53,'Form responses'!$C$2:$C53,"&gt;="&amp;$E$2,'Form responses'!$C$2:$C53,"&lt;="&amp;$G$2,'Form responses'!$F$2:$F53,"=4")</f>
        <v>0</v>
      </c>
      <c r="BK24" s="519">
        <f>sumifs('Form responses'!EO2:EO53,'Form responses'!$C$2:$C53,"&gt;="&amp;$E$2,'Form responses'!$C$2:$C53,"&lt;="&amp;$G$2,'Form responses'!$F$2:$F53,"=4")</f>
        <v>0</v>
      </c>
      <c r="BL24" s="519">
        <f>sumifs('Form responses'!EF2:EF53,'Form responses'!$C$2:$C53,"&gt;="&amp;$E$2,'Form responses'!$C$2:$C53,"&lt;="&amp;$G$2,'Form responses'!$F$2:$F53,"=4")</f>
        <v>8</v>
      </c>
      <c r="BM24" s="519">
        <f>sumifs('Form responses'!EG2:EG53,'Form responses'!$C$2:$C53,"&gt;="&amp;$E$2,'Form responses'!$C$2:$C53,"&lt;="&amp;$G$2,'Form responses'!$F$2:$F53,"=4")</f>
        <v>8</v>
      </c>
      <c r="BN24" s="519">
        <f>sumifs('Form responses'!EH2:EH53,'Form responses'!$C$2:$C53,"&gt;="&amp;$E$2,'Form responses'!$C$2:$C53,"&lt;="&amp;$G$2,'Form responses'!$F$2:$F53,"=4")</f>
        <v>0</v>
      </c>
      <c r="BO24" s="519">
        <f>sumifs('Form responses'!EI2:EI53,'Form responses'!$C$2:$C53,"&gt;="&amp;$E$2,'Form responses'!$C$2:$C53,"&lt;="&amp;$G$2,'Form responses'!$F$2:$F53,"=4")</f>
        <v>0</v>
      </c>
      <c r="BP24" s="519">
        <f>sumifs('Form responses'!FX2:FX53,'Form responses'!$C$2:$C53,"&gt;="&amp;$E$2,'Form responses'!$C$2:$C53,"&lt;="&amp;$G$2,'Form responses'!$F$2:$F53,"=4")</f>
        <v>0</v>
      </c>
      <c r="BQ24" s="519">
        <f>sumifs('Form responses'!FY2:FY53,'Form responses'!$C$2:$C53,"&gt;="&amp;$E$2,'Form responses'!$C$2:$C53,"&lt;="&amp;$G$2,'Form responses'!$F$2:$F53,"=4")</f>
        <v>0</v>
      </c>
      <c r="BR24" s="519">
        <f>sumifs('Form responses'!FZ2:FZ53,'Form responses'!$C$2:$C53,"&gt;="&amp;$E$2,'Form responses'!$C$2:$C53,"&lt;="&amp;$G$2,'Form responses'!$F$2:$F53,"=4")</f>
        <v>0</v>
      </c>
      <c r="BS24" s="519">
        <f>sumifs('Form responses'!GA2:GA53,'Form responses'!$C$2:$C53,"&gt;="&amp;$E$2,'Form responses'!$C$2:$C53,"&lt;="&amp;$G$2,'Form responses'!$F$2:$F53,"=4")</f>
        <v>0</v>
      </c>
      <c r="BT24" s="519">
        <f>sumifs('Form responses'!GB2:GB53,'Form responses'!$C$2:$C53,"&gt;="&amp;$E$2,'Form responses'!$C$2:$C53,"&lt;="&amp;$G$2,'Form responses'!$F$2:$F53,"=4")</f>
        <v>0</v>
      </c>
      <c r="BU24" s="519">
        <f>sumifs('Form responses'!GC2:GC53,'Form responses'!$C$2:$C53,"&gt;="&amp;$E$2,'Form responses'!$C$2:$C53,"&lt;="&amp;$G$2,'Form responses'!$F$2:$F53,"=4")</f>
        <v>0</v>
      </c>
      <c r="BV24" s="519">
        <f>sumifs('Form responses'!GL2:GL53,'Form responses'!$C$2:$C53,"&gt;="&amp;$E$2,'Form responses'!$C$2:$C53,"&lt;="&amp;$G$2,'Form responses'!$F$2:$F53,"=4")</f>
        <v>0</v>
      </c>
      <c r="BW24" s="519">
        <f>sumifs('Form responses'!AC2:AC53,'Form responses'!$C$2:$C53,"&gt;="&amp;$E$2,'Form responses'!$C$2:$C53,"&lt;="&amp;$G$2,'Form responses'!$F$2:$F53,"=4")</f>
        <v>0</v>
      </c>
      <c r="BX24" s="519">
        <f>sumifs('Form responses'!AD2:AD53,'Form responses'!$C$2:$C53,"&gt;="&amp;$E$2,'Form responses'!$C$2:$C53,"&lt;="&amp;$G$2,'Form responses'!$F$2:$F53,"=4")</f>
        <v>0</v>
      </c>
      <c r="BY24" s="519">
        <f>sumifs('Form responses'!GH2:GH53,'Form responses'!$C$2:$C53,"&gt;="&amp;$E$2,'Form responses'!$C$2:$C53,"&lt;="&amp;$G$2,'Form responses'!$F$2:$F53,"=4")</f>
        <v>0</v>
      </c>
      <c r="BZ24" s="519">
        <f>sumifs('Form responses'!GI2:GI53,'Form responses'!$C$2:$C53,"&gt;="&amp;$E$2,'Form responses'!$C$2:$C53,"&lt;="&amp;$G$2,'Form responses'!$F$2:$F53,"=4")</f>
        <v>0</v>
      </c>
      <c r="CA24" s="519">
        <f>sumifs('Form responses'!FH2:FH53,'Form responses'!$C$2:$C53,"&gt;="&amp;$E$2,'Form responses'!$C$2:$C53,"&lt;="&amp;$G$2,'Form responses'!$F$2:$F53,"=4")</f>
        <v>0</v>
      </c>
      <c r="CB24" s="519">
        <f>sumifs('Form responses'!FI2:FI53,'Form responses'!$C$2:$C53,"&gt;="&amp;$E$2,'Form responses'!$C$2:$C53,"&lt;="&amp;$G$2,'Form responses'!$F$2:$F53,"=4")</f>
        <v>0</v>
      </c>
      <c r="CC24" s="519">
        <f>sumifs('Form responses'!FJ2:FJ53,'Form responses'!$C$2:$C53,"&gt;="&amp;$E$2,'Form responses'!$C$2:$C53,"&lt;="&amp;$G$2,'Form responses'!$F$2:$F53,"=4")</f>
        <v>0</v>
      </c>
      <c r="CD24" s="519">
        <f>sumifs('Form responses'!FK2:FK53,'Form responses'!$C$2:$C53,"&gt;="&amp;$E$2,'Form responses'!$C$2:$C53,"&lt;="&amp;$G$2,'Form responses'!$F$2:$F53,"=4")</f>
        <v>0</v>
      </c>
      <c r="CE24" s="519">
        <f>sumifs('Form responses'!FL2:FL53,'Form responses'!$C$2:$C53,"&gt;="&amp;$E$2,'Form responses'!$C$2:$C53,"&lt;="&amp;$G$2,'Form responses'!$F$2:$F53,"=4")</f>
        <v>0</v>
      </c>
      <c r="CF24" s="519">
        <f>sumifs('Form responses'!FM2:FM53,'Form responses'!$C$2:$C53,"&gt;="&amp;$E$2,'Form responses'!$C$2:$C53,"&lt;="&amp;$G$2,'Form responses'!$F$2:$F53,"=4")</f>
        <v>0</v>
      </c>
      <c r="CG24" s="519">
        <f>sumifs('Form responses'!FN2:FN53,'Form responses'!$C$2:$C53,"&gt;="&amp;$E$2,'Form responses'!$C$2:$C53,"&lt;="&amp;$G$2,'Form responses'!$F$2:$F53,"=4")</f>
        <v>0</v>
      </c>
      <c r="CH24" s="519">
        <f>sumifs('Form responses'!FT2:FT53,'Form responses'!$C$2:$C53,"&gt;="&amp;$E$2,'Form responses'!$C$2:$C53,"&lt;="&amp;$G$2,'Form responses'!$F$2:$F53,"=4")</f>
        <v>0</v>
      </c>
      <c r="CI24" s="519">
        <f>sumifs('Form responses'!FV2:FV53,'Form responses'!$C$2:$C53,"&gt;="&amp;$E$2,'Form responses'!$C$2:$C53,"&lt;="&amp;$G$2,'Form responses'!$F$2:$F53,"=4")</f>
        <v>0</v>
      </c>
      <c r="CJ24" s="519">
        <f>sumifs('Form responses'!FR2:FR53,'Form responses'!$C$2:$C53,"&gt;="&amp;$E$2,'Form responses'!$C$2:$C53,"&lt;="&amp;$G$2,'Form responses'!$F$2:$F53,"=4")</f>
        <v>0</v>
      </c>
      <c r="CK24" s="519">
        <f>sumifs('Form responses'!FS2:FS53,'Form responses'!$C$2:$C53,"&gt;="&amp;$E$2,'Form responses'!$C$2:$C53,"&lt;="&amp;$G$2,'Form responses'!$F$2:$F53,"=4")</f>
        <v>0</v>
      </c>
      <c r="CL24" s="519">
        <f>sumifs('Form responses'!ER2:ER53,'Form responses'!$C$2:$C53,"&gt;="&amp;$E$2,'Form responses'!$C$2:$C53,"&lt;="&amp;$G$2,'Form responses'!$F$2:$F53,"=4")</f>
        <v>85</v>
      </c>
      <c r="CM24" s="519">
        <f>sumifs('Form responses'!ES2:ES53,'Form responses'!$C$2:$C53,"&gt;="&amp;$E$2,'Form responses'!$C$2:$C53,"&lt;="&amp;$G$2,'Form responses'!$F$2:$F53,"=4")</f>
        <v>0</v>
      </c>
      <c r="CN24" s="519">
        <f>sumifs('Form responses'!ET2:ET53,'Form responses'!$C$2:$C53,"&gt;="&amp;$E$2,'Form responses'!$C$2:$C53,"&lt;="&amp;$G$2,'Form responses'!$F$2:$F53,"=4")</f>
        <v>0</v>
      </c>
      <c r="CO24" s="519">
        <f>sumifs('Form responses'!EU2:EU53,'Form responses'!$C$2:$C53,"&gt;="&amp;$E$2,'Form responses'!$C$2:$C53,"&lt;="&amp;$G$2,'Form responses'!$F$2:$F53,"=4")</f>
        <v>0</v>
      </c>
      <c r="CP24" s="519">
        <f>sumifs('Form responses'!EV2:EV53,'Form responses'!$C$2:$C53,"&gt;="&amp;$E$2,'Form responses'!$C$2:$C53,"&lt;="&amp;$G$2,'Form responses'!$F$2:$F53,"=4")</f>
        <v>0</v>
      </c>
      <c r="CQ24" s="519">
        <f>sumifs('Form responses'!EW2:EW53,'Form responses'!$C$2:$C53,"&gt;="&amp;$E$2,'Form responses'!$C$2:$C53,"&lt;="&amp;$G$2,'Form responses'!$F$2:$F53,"=4")</f>
        <v>0</v>
      </c>
      <c r="CR24" s="519">
        <f>sumifs('Form responses'!EX2:EX53,'Form responses'!$C$2:$C53,"&gt;="&amp;$E$2,'Form responses'!$C$2:$C53,"&lt;="&amp;$G$2,'Form responses'!$F$2:$F53,"=4")</f>
        <v>0</v>
      </c>
      <c r="CS24" s="519">
        <f>sumifs('Form responses'!FD2:FD53,'Form responses'!$C$2:$C53,"&gt;="&amp;$E$2,'Form responses'!$C$2:$C53,"&lt;="&amp;$G$2,'Form responses'!$F$2:$F53,"=4")</f>
        <v>0</v>
      </c>
      <c r="CT24" s="519">
        <f>sumifs('Form responses'!FF2:FF53,'Form responses'!$C$2:$C53,"&gt;="&amp;$E$2,'Form responses'!$C$2:$C53,"&lt;="&amp;$G$2,'Form responses'!$F$2:$F53,"=4")</f>
        <v>0</v>
      </c>
      <c r="CU24" s="519">
        <f>sumifs('Form responses'!FB2:FB53,'Form responses'!$C$2:$C53,"&gt;="&amp;$E$2,'Form responses'!$C$2:$C53,"&lt;="&amp;$G$2,'Form responses'!$F$2:$F53,"=4")</f>
        <v>45</v>
      </c>
      <c r="CV24" s="519">
        <f>sumifs('Form responses'!FC2:FC53,'Form responses'!$C$2:$C53,"&gt;="&amp;$E$2,'Form responses'!$C$2:$C53,"&lt;="&amp;$G$2,'Form responses'!$F$2:$F53,"=4")</f>
        <v>0</v>
      </c>
      <c r="CW24" s="520"/>
      <c r="CX24" s="520"/>
      <c r="CY24" s="520"/>
      <c r="CZ24" s="520"/>
      <c r="DA24" s="520"/>
      <c r="DB24" s="520"/>
      <c r="DC24" s="520"/>
      <c r="DD24" s="520"/>
      <c r="DE24" s="520"/>
      <c r="DF24" s="520"/>
      <c r="DG24" s="520"/>
      <c r="DH24" s="520"/>
      <c r="DI24" s="520"/>
      <c r="DJ24" s="520"/>
      <c r="DK24" s="520"/>
      <c r="DL24" s="520"/>
      <c r="DM24" s="520"/>
      <c r="DN24" s="520"/>
      <c r="DO24" s="520"/>
      <c r="DP24" s="520"/>
      <c r="DQ24" s="520"/>
      <c r="DR24" s="520"/>
      <c r="DS24" s="520"/>
      <c r="DT24" s="520"/>
      <c r="DU24" s="520"/>
      <c r="DV24" s="520"/>
      <c r="DW24" s="520"/>
      <c r="DX24" s="520"/>
      <c r="DY24" s="520"/>
      <c r="DZ24" s="520"/>
      <c r="EA24" s="520"/>
      <c r="EB24" s="520"/>
      <c r="EC24" s="520"/>
      <c r="ED24" s="520"/>
      <c r="EE24" s="520"/>
      <c r="EF24" s="520"/>
      <c r="EG24" s="520"/>
      <c r="EH24" s="520"/>
      <c r="EI24" s="520"/>
      <c r="EJ24" s="520"/>
      <c r="EK24" s="520"/>
      <c r="EL24" s="520"/>
    </row>
    <row r="25">
      <c r="A25" s="518" t="s">
        <v>946</v>
      </c>
      <c r="B25" s="521">
        <f>sumifs('Form responses'!BF2:BF53,'Form responses'!$C$2:$C53,"&lt;="&amp;$G$2,'Form responses'!$C$2:$C53,"&gt;="&amp;Date(YEAR(DATE(YEAR($G$2),MONTH($G$2)+(-3),1)),4,1),'Form responses'!$F$2:$F53,"=4")</f>
        <v>85</v>
      </c>
      <c r="C25" s="521">
        <f>sumifs('Form responses'!BH2:BH53,'Form responses'!$C$2:$C53,"&lt;="&amp;$G$2,'Form responses'!$C$2:$C53,"&gt;="&amp;Date(YEAR(DATE(YEAR($G$2),MONTH($G$2)+(-3),1)),4,1),'Form responses'!$F$2:$F53,"=4")</f>
        <v>0</v>
      </c>
      <c r="D25" s="521">
        <f>sumifs('Form responses'!BJ2:BJ53,'Form responses'!$C$2:$C53,"&lt;="&amp;$G$2,'Form responses'!$C$2:$C53,"&gt;="&amp;Date(YEAR(DATE(YEAR($G$2),MONTH($G$2)+(-3),1)),4,1),'Form responses'!$F$2:$F53,"=4")</f>
        <v>0</v>
      </c>
      <c r="E25" s="521">
        <f>sumifs('Form responses'!BL2:BL53,'Form responses'!$C$2:$C53,"&lt;="&amp;$G$2,'Form responses'!$C$2:$C53,"&gt;="&amp;Date(YEAR(DATE(YEAR($G$2),MONTH($G$2)+(-3),1)),4,1),'Form responses'!$F$2:$F53,"=4")</f>
        <v>0</v>
      </c>
      <c r="F25" s="521">
        <f>sumifs('Form responses'!BG2:BG53,'Form responses'!$C$2:$C53,"&lt;="&amp;$G$2,'Form responses'!$C$2:$C53,"&gt;="&amp;Date(YEAR(DATE(YEAR($G$2),MONTH($G$2)+(-3),1)),4,1),'Form responses'!$F$2:$F53,"=4")</f>
        <v>54</v>
      </c>
      <c r="G25" s="521">
        <f>sumifs('Form responses'!BI2:BI53,'Form responses'!$C$2:$C53,"&lt;="&amp;$G$2,'Form responses'!$C$2:$C53,"&gt;="&amp;Date(YEAR(DATE(YEAR($G$2),MONTH($G$2)+(-3),1)),4,1),'Form responses'!$F$2:$F53,"=4")</f>
        <v>0</v>
      </c>
      <c r="H25" s="521">
        <f>sumifs('Form responses'!BK2:BK53,'Form responses'!$C$2:$C53,"&lt;="&amp;$G$2,'Form responses'!$C$2:$C53,"&gt;="&amp;Date(YEAR(DATE(YEAR($G$2),MONTH($G$2)+(-3),1)),4,1),'Form responses'!$F$2:$F53,"=4")</f>
        <v>0</v>
      </c>
      <c r="I25" s="521">
        <f>sumifs('Form responses'!BM2:BM53,'Form responses'!$C$2:$C53,"&lt;="&amp;$G$2,'Form responses'!$C$2:$C53,"&gt;="&amp;Date(YEAR(DATE(YEAR($G$2),MONTH($G$2)+(-3),1)),4,1),'Form responses'!$F$2:$F53,"=4")</f>
        <v>0</v>
      </c>
      <c r="J25" s="521">
        <f>sumifs('Form responses'!BN2:BN53,'Form responses'!$C$2:$C53,"&lt;="&amp;$G$2,'Form responses'!$C$2:$C53,"&gt;="&amp;Date(YEAR(DATE(YEAR($G$2),MONTH($G$2)+(-3),1)),4,1),'Form responses'!$F$2:$F53,"=4")</f>
        <v>0</v>
      </c>
      <c r="K25" s="521">
        <f>sumifs('Form responses'!BP2:BP53,'Form responses'!$C$2:$C53,"&lt;="&amp;$G$2,'Form responses'!$C$2:$C53,"&gt;="&amp;Date(YEAR(DATE(YEAR($G$2),MONTH($G$2)+(-3),1)),4,1),'Form responses'!$F$2:$F53,"=4")</f>
        <v>0</v>
      </c>
      <c r="L25" s="521">
        <f>sumifs('Form responses'!BR2:BR53,'Form responses'!$C$2:$C53,"&lt;="&amp;$G$2,'Form responses'!$C$2:$C53,"&gt;="&amp;Date(YEAR(DATE(YEAR($G$2),MONTH($G$2)+(-3),1)),4,1),'Form responses'!$F$2:$F53,"=4")</f>
        <v>0</v>
      </c>
      <c r="M25" s="521">
        <f>sumifs('Form responses'!CD2:CD53,'Form responses'!$C$2:$C53,"&lt;="&amp;$G$2,'Form responses'!$C$2:$C53,"&gt;="&amp;Date(YEAR(DATE(YEAR($G$2),MONTH($G$2)+(-3),1)),4,1),'Form responses'!$F$2:$F53,"=4")</f>
        <v>0</v>
      </c>
      <c r="N25" s="521">
        <f>sumifs('Form responses'!BO2:BO53,'Form responses'!$C$2:$C53,"&lt;="&amp;$G$2,'Form responses'!$C$2:$C53,"&gt;="&amp;Date(YEAR(DATE(YEAR($G$2),MONTH($G$2)+(-3),1)),4,1),'Form responses'!$F$2:$F53,"=4")</f>
        <v>0</v>
      </c>
      <c r="O25" s="521">
        <f>sumifs('Form responses'!BQ2:BQ53,'Form responses'!$C$2:$C53,"&lt;="&amp;$G$2,'Form responses'!$C$2:$C53,"&gt;="&amp;Date(YEAR(DATE(YEAR($G$2),MONTH($G$2)+(-3),1)),4,1),'Form responses'!$F$2:$F53,"=4")</f>
        <v>0</v>
      </c>
      <c r="P25" s="521">
        <f>sumifs('Form responses'!BS2:BS53,'Form responses'!$C$2:$C53,"&lt;="&amp;$G$2,'Form responses'!$C$2:$C53,"&gt;="&amp;Date(YEAR(DATE(YEAR($G$2),MONTH($G$2)+(-3),1)),4,1),'Form responses'!$F$2:$F53,"=4")</f>
        <v>0</v>
      </c>
      <c r="Q25" s="521">
        <f>sumifs('Form responses'!CE2:CE53,'Form responses'!$C$2:$C53,"&lt;="&amp;$G$2,'Form responses'!$C$2:$C53,"&gt;="&amp;Date(YEAR(DATE(YEAR($G$2),MONTH($G$2)+(-3),1)),4,1),'Form responses'!$F$2:$F53,"=4")</f>
        <v>0</v>
      </c>
      <c r="R25" s="521">
        <f>sumifs('Form responses'!BC2:BC53,'Form responses'!$C$2:$C53,"&lt;="&amp;$G$2,'Form responses'!$C$2:$C53,"&gt;="&amp;Date(YEAR(DATE(YEAR($G$2),MONTH($G$2)+(-3),1)),4,1),'Form responses'!$F$2:$F53,"=4")</f>
        <v>0</v>
      </c>
      <c r="S25" s="521">
        <f>sumifs('Form responses'!BD2:BD53,'Form responses'!$C$2:$C53,"&lt;="&amp;$G$2,'Form responses'!$C$2:$C53,"&gt;="&amp;Date(YEAR(DATE(YEAR($G$2),MONTH($G$2)+(-3),1)),4,1),'Form responses'!$F$2:$F53,"=4")</f>
        <v>0</v>
      </c>
      <c r="T25" s="521">
        <f>sumifs('Form responses'!BZ2:BZ53,'Form responses'!$C$2:$C53,"&lt;="&amp;$G$2,'Form responses'!$C$2:$C53,"&gt;="&amp;Date(YEAR(DATE(YEAR($G$2),MONTH($G$2)+(-3),1)),4,1),'Form responses'!$F$2:$F53,"=4")</f>
        <v>45</v>
      </c>
      <c r="U25" s="521">
        <f>sumifs('Form responses'!CB2:CB53,'Form responses'!$C$2:$C53,"&lt;="&amp;$G$2,'Form responses'!$C$2:$C53,"&gt;="&amp;Date(YEAR(DATE(YEAR($G$2),MONTH($G$2)+(-3),1)),4,1),'Form responses'!$F$2:$F53,"=4")</f>
        <v>0</v>
      </c>
      <c r="V25" s="521">
        <f>sumifs('Form responses'!CA2:CA53,'Form responses'!$C$2:$C53,"&lt;="&amp;$G$2,'Form responses'!$C$2:$C53,"&gt;="&amp;Date(YEAR(DATE(YEAR($G$2),MONTH($G$2)+(-3),1)),4,1),'Form responses'!$F$2:$F53,"=4")</f>
        <v>29</v>
      </c>
      <c r="W25" s="521">
        <f>sumifs('Form responses'!CC2:CC53,'Form responses'!$C$2:$C53,"&lt;="&amp;$G$2,'Form responses'!$C$2:$C53,"&gt;="&amp;Date(YEAR(DATE(YEAR($G$2),MONTH($G$2)+(-3),1)),4,1),'Form responses'!$F$2:$F53,"=4")</f>
        <v>0</v>
      </c>
      <c r="X25" s="521">
        <f>sumifs('Form responses'!CH2:CH53,'Form responses'!$C$2:$C53,"&lt;="&amp;$G$2,'Form responses'!$C$2:$C53,"&gt;="&amp;Date(YEAR(DATE(YEAR($G$2),MONTH($G$2)+(-3),1)),4,1),'Form responses'!$F$2:$F53,"=4")</f>
        <v>0</v>
      </c>
      <c r="Y25" s="521">
        <f>sumifs('Form responses'!CI2:CI53,'Form responses'!$C$2:$C53,"&lt;="&amp;$G$2,'Form responses'!$C$2:$C53,"&gt;="&amp;Date(YEAR(DATE(YEAR($G$2),MONTH($G$2)+(-3),1)),4,1),'Form responses'!$F$2:$F53,"=4")</f>
        <v>0</v>
      </c>
      <c r="Z25" s="521">
        <f>sumifs('Form responses'!CJ2:CJ53,'Form responses'!$C$2:$C53,"&lt;="&amp;$G$2,'Form responses'!$C$2:$C53,"&gt;="&amp;Date(YEAR(DATE(YEAR($G$2),MONTH($G$2)+(-3),1)),4,1),'Form responses'!$F$2:$F53,"=4")</f>
        <v>0</v>
      </c>
      <c r="AA25" s="521">
        <f>sumifs('Form responses'!CK2:CK53,'Form responses'!$C$2:$C53,"&lt;="&amp;$G$2,'Form responses'!$C$2:$C53,"&gt;="&amp;Date(YEAR(DATE(YEAR($G$2),MONTH($G$2)+(-3),1)),4,1),'Form responses'!$F$2:$F53,"=4")</f>
        <v>0</v>
      </c>
      <c r="AB25" s="521">
        <f>sumifs('Form responses'!CL2:CL53,'Form responses'!$C$2:$C53,"&lt;="&amp;$G$2,'Form responses'!$C$2:$C53,"&gt;="&amp;Date(YEAR(DATE(YEAR($G$2),MONTH($G$2)+(-3),1)),4,1),'Form responses'!$F$2:$F53,"=4")</f>
        <v>0</v>
      </c>
      <c r="AC25" s="521">
        <f>sumifs('Form responses'!CM2:CM53,'Form responses'!$C$2:$C53,"&lt;="&amp;$G$2,'Form responses'!$C$2:$C53,"&gt;="&amp;Date(YEAR(DATE(YEAR($G$2),MONTH($G$2)+(-3),1)),4,1),'Form responses'!$F$2:$F53,"=4")</f>
        <v>0</v>
      </c>
      <c r="AD25" s="521">
        <f>sumifs('Form responses'!CN2:CN53,'Form responses'!$C$2:$C53,"&lt;="&amp;$G$2,'Form responses'!$C$2:$C53,"&gt;="&amp;Date(YEAR(DATE(YEAR($G$2),MONTH($G$2)+(-3),1)),4,1),'Form responses'!$F$2:$F53,"=4")</f>
        <v>0</v>
      </c>
      <c r="AE25" s="521">
        <f>sumifs('Form responses'!CO2:CO53,'Form responses'!$C$2:$C53,"&lt;="&amp;$G$2,'Form responses'!$C$2:$C53,"&gt;="&amp;Date(YEAR(DATE(YEAR($G$2),MONTH($G$2)+(-3),1)),4,1),'Form responses'!$F$2:$F53,"=4")</f>
        <v>0</v>
      </c>
      <c r="AF25" s="521">
        <f>sumifs('Form responses'!CP2:CP53,'Form responses'!$C$2:$C53,"&lt;="&amp;$G$2,'Form responses'!$C$2:$C53,"&gt;="&amp;Date(YEAR(DATE(YEAR($G$2),MONTH($G$2)+(-3),1)),4,1),'Form responses'!$F$2:$F53,"=4")</f>
        <v>64</v>
      </c>
      <c r="AG25" s="521">
        <f>sumifs('Form responses'!CQ2:CQ53,'Form responses'!$C$2:$C53,"&lt;="&amp;$G$2,'Form responses'!$C$2:$C53,"&gt;="&amp;Date(YEAR(DATE(YEAR($G$2),MONTH($G$2)+(-3),1)),4,1),'Form responses'!$F$2:$F53,"=4")</f>
        <v>34</v>
      </c>
      <c r="AH25" s="521">
        <f>sumifs('Form responses'!CR2:CR53,'Form responses'!$C$2:$C53,"&lt;="&amp;$G$2,'Form responses'!$C$2:$C53,"&gt;="&amp;Date(YEAR(DATE(YEAR($G$2),MONTH($G$2)+(-3),1)),4,1),'Form responses'!$F$2:$F53,"=4")</f>
        <v>0</v>
      </c>
      <c r="AI25" s="521">
        <f>sumifs('Form responses'!CS2:CS53,'Form responses'!$C$2:$C53,"&lt;="&amp;$G$2,'Form responses'!$C$2:$C53,"&gt;="&amp;Date(YEAR(DATE(YEAR($G$2),MONTH($G$2)+(-3),1)),4,1),'Form responses'!$F$2:$F53,"=4")</f>
        <v>0</v>
      </c>
      <c r="AJ25" s="521">
        <f>sumifs('Form responses'!CT2:CT53,'Form responses'!$C$2:$C53,"&lt;="&amp;$G$2,'Form responses'!$C$2:$C53,"&gt;="&amp;Date(YEAR(DATE(YEAR($G$2),MONTH($G$2)+(-3),1)),4,1),'Form responses'!$F$2:$F53,"=4")</f>
        <v>0</v>
      </c>
      <c r="AK25" s="521">
        <f>sumifs('Form responses'!CU2:CU53,'Form responses'!$C$2:$C53,"&lt;="&amp;$G$2,'Form responses'!$C$2:$C53,"&gt;="&amp;Date(YEAR(DATE(YEAR($G$2),MONTH($G$2)+(-3),1)),4,1),'Form responses'!$F$2:$F53,"=4")</f>
        <v>0</v>
      </c>
      <c r="AL25" s="521">
        <f>sumifs('Form responses'!DF2:DF53,'Form responses'!$C$2:$C53,"&lt;="&amp;$G$2,'Form responses'!$C$2:$C53,"&gt;="&amp;Date(YEAR(DATE(YEAR($G$2),MONTH($G$2)+(-3),1)),4,1),'Form responses'!$F$2:$F53,"=4")</f>
        <v>0</v>
      </c>
      <c r="AM25" s="521">
        <f>sumifs('Form responses'!DG2:DG53,'Form responses'!$C$2:$C53,"&lt;="&amp;$G$2,'Form responses'!$C$2:$C53,"&gt;="&amp;Date(YEAR(DATE(YEAR($G$2),MONTH($G$2)+(-3),1)),4,1),'Form responses'!$F$2:$F53,"=4")</f>
        <v>0</v>
      </c>
      <c r="AN25" s="521">
        <f>sumifs('Form responses'!BA2:BA53,'Form responses'!$C$2:$C53,"&lt;="&amp;$G$2,'Form responses'!$C$2:$C53,"&gt;="&amp;Date(YEAR(DATE(YEAR($G$2),MONTH($G$2)+(-3),1)),4,1),'Form responses'!$F$2:$F53,"=4")</f>
        <v>0</v>
      </c>
      <c r="AO25" s="521">
        <f>sumifs('Form responses'!BB2:BB53,'Form responses'!$C$2:$C53,"&lt;="&amp;$G$2,'Form responses'!$C$2:$C53,"&gt;="&amp;Date(YEAR(DATE(YEAR($G$2),MONTH($G$2)+(-3),1)),4,1),'Form responses'!$F$2:$F53,"=4")</f>
        <v>0</v>
      </c>
      <c r="AP25" s="521">
        <f>sumifs('Form responses'!DB2:DB53,'Form responses'!$C$2:$C53,"&lt;="&amp;$G$2,'Form responses'!$C$2:$C53,"&gt;="&amp;Date(YEAR(DATE(YEAR($G$2),MONTH($G$2)+(-3),1)),4,1),'Form responses'!$F$2:$F53,"=4")</f>
        <v>31</v>
      </c>
      <c r="AQ25" s="521">
        <f>sumifs('Form responses'!DC2:DC53,'Form responses'!$C$2:$C53,"&lt;="&amp;$G$2,'Form responses'!$C$2:$C53,"&gt;="&amp;Date(YEAR(DATE(YEAR($G$2),MONTH($G$2)+(-3),1)),4,1),'Form responses'!$F$2:$F53,"=4")</f>
        <v>16</v>
      </c>
      <c r="AR25" s="521">
        <f>sumifs('Form responses'!DD2:DD53,'Form responses'!$C$2:$C53,"&lt;="&amp;$G$2,'Form responses'!$C$2:$C53,"&gt;="&amp;Date(YEAR(DATE(YEAR($G$2),MONTH($G$2)+(-3),1)),4,1),'Form responses'!$F$2:$F53,"=4")</f>
        <v>0</v>
      </c>
      <c r="AS25" s="521">
        <f>sumifs('Form responses'!DE2:DE53,'Form responses'!$C$2:$C53,"&lt;="&amp;$G$2,'Form responses'!$C$2:$C53,"&gt;="&amp;Date(YEAR(DATE(YEAR($G$2),MONTH($G$2)+(-3),1)),4,1),'Form responses'!$F$2:$F53,"=4")</f>
        <v>0</v>
      </c>
      <c r="AT25" s="521">
        <f>sumifs('Form responses'!DL2:DL53,'Form responses'!$C$2:$C53,"&lt;="&amp;$G$2,'Form responses'!$C$2:$C53,"&gt;="&amp;Date(YEAR(DATE(YEAR($G$2),MONTH($G$2)+(-3),1)),4,1),'Form responses'!$F$2:$F53,"=4")</f>
        <v>2</v>
      </c>
      <c r="AU25" s="521">
        <f>sumifs('Form responses'!DM2:DM53,'Form responses'!$C$2:$C53,"&lt;="&amp;$G$2,'Form responses'!$C$2:$C53,"&gt;="&amp;Date(YEAR(DATE(YEAR($G$2),MONTH($G$2)+(-3),1)),4,1),'Form responses'!$F$2:$F53,"=4")</f>
        <v>2</v>
      </c>
      <c r="AV25" s="521">
        <f>sumifs('Form responses'!DN2:DN53,'Form responses'!$C$2:$C53,"&lt;="&amp;$G$2,'Form responses'!$C$2:$C53,"&gt;="&amp;Date(YEAR(DATE(YEAR($G$2),MONTH($G$2)+(-3),1)),4,1),'Form responses'!$F$2:$F53,"=4")</f>
        <v>0</v>
      </c>
      <c r="AW25" s="521">
        <f>sumifs('Form responses'!DO2:DO53,'Form responses'!$C$2:$C53,"&lt;="&amp;$G$2,'Form responses'!$C$2:$C53,"&gt;="&amp;Date(YEAR(DATE(YEAR($G$2),MONTH($G$2)+(-3),1)),4,1),'Form responses'!$F$2:$F53,"=4")</f>
        <v>0</v>
      </c>
      <c r="AX25" s="521">
        <f>sumifs('Form responses'!DP2:DP53,'Form responses'!$C$2:$C53,"&lt;="&amp;$G$2,'Form responses'!$C$2:$C53,"&gt;="&amp;Date(YEAR(DATE(YEAR($G$2),MONTH($G$2)+(-3),1)),4,1),'Form responses'!$F$2:$F53,"=4")</f>
        <v>0</v>
      </c>
      <c r="AY25" s="521">
        <f>sumifs('Form responses'!DQ2:DQ53,'Form responses'!$C$2:$C53,"&lt;="&amp;$G$2,'Form responses'!$C$2:$C53,"&gt;="&amp;Date(YEAR(DATE(YEAR($G$2),MONTH($G$2)+(-3),1)),4,1),'Form responses'!$F$2:$F53,"=4")</f>
        <v>0</v>
      </c>
      <c r="AZ25" s="521">
        <f>sumifs('Form responses'!DR2:DR53,'Form responses'!$C$2:$C53,"&lt;="&amp;$G$2,'Form responses'!$C$2:$C53,"&gt;="&amp;Date(YEAR(DATE(YEAR($G$2),MONTH($G$2)+(-3),1)),4,1),'Form responses'!$F$2:$F53,"=4")</f>
        <v>0</v>
      </c>
      <c r="BA25" s="521">
        <f>sumifs('Form responses'!DS2:DS53,'Form responses'!$C$2:$C53,"&lt;="&amp;$G$2,'Form responses'!$C$2:$C53,"&gt;="&amp;Date(YEAR(DATE(YEAR($G$2),MONTH($G$2)+(-3),1)),4,1),'Form responses'!$F$2:$F53,"=4")</f>
        <v>0</v>
      </c>
      <c r="BB25" s="521">
        <f>sumifs('Form responses'!DT2:DT53,'Form responses'!$C$2:$C53,"&lt;="&amp;$G$2,'Form responses'!$C$2:$C53,"&gt;="&amp;Date(YEAR(DATE(YEAR($G$2),MONTH($G$2)+(-3),1)),4,1),'Form responses'!$F$2:$F53,"=4")</f>
        <v>4</v>
      </c>
      <c r="BC25" s="521">
        <f>sumifs('Form responses'!DU2:DU53,'Form responses'!$C$2:$C53,"&lt;="&amp;$G$2,'Form responses'!$C$2:$C53,"&gt;="&amp;Date(YEAR(DATE(YEAR($G$2),MONTH($G$2)+(-3),1)),4,1),'Form responses'!$F$2:$F53,"=4")</f>
        <v>2</v>
      </c>
      <c r="BD25" s="521">
        <f>sumifs('Form responses'!DV2:DV53,'Form responses'!$C$2:$C53,"&lt;="&amp;$G$2,'Form responses'!$C$2:$C53,"&gt;="&amp;Date(YEAR(DATE(YEAR($G$2),MONTH($G$2)+(-3),1)),4,1),'Form responses'!$F$2:$F53,"=4")</f>
        <v>0</v>
      </c>
      <c r="BE25" s="521">
        <f>sumifs('Form responses'!DW2:DW53,'Form responses'!$C$2:$C53,"&lt;="&amp;$G$2,'Form responses'!$C$2:$C53,"&gt;="&amp;Date(YEAR(DATE(YEAR($G$2),MONTH($G$2)+(-3),1)),4,1),'Form responses'!$F$2:$F53,"=4")</f>
        <v>0</v>
      </c>
      <c r="BF25" s="521">
        <f>sumifs('Form responses'!DX2:DX53,'Form responses'!$C$2:$C53,"&lt;="&amp;$G$2,'Form responses'!$C$2:$C53,"&gt;="&amp;Date(YEAR(DATE(YEAR($G$2),MONTH($G$2)+(-3),1)),4,1),'Form responses'!$F$2:$F53,"=4")</f>
        <v>0</v>
      </c>
      <c r="BG25" s="521">
        <f>sumifs('Form responses'!DY2:DY53,'Form responses'!$C$2:$C53,"&lt;="&amp;$G$2,'Form responses'!$C$2:$C53,"&gt;="&amp;Date(YEAR(DATE(YEAR($G$2),MONTH($G$2)+(-3),1)),4,1),'Form responses'!$F$2:$F53,"=4")</f>
        <v>0</v>
      </c>
      <c r="BH25" s="521">
        <f>sumifs('Form responses'!EJ2:EJ53,'Form responses'!$C$2:$C53,"&lt;="&amp;$G$2,'Form responses'!$C$2:$C53,"&gt;="&amp;Date(YEAR(DATE(YEAR($G$2),MONTH($G$2)+(-3),1)),4,1),'Form responses'!$F$2:$F53,"=4")</f>
        <v>0</v>
      </c>
      <c r="BI25" s="521">
        <f>sumifs('Form responses'!EK2:EK53,'Form responses'!$C$2:$C53,"&lt;="&amp;$G$2,'Form responses'!$C$2:$C53,"&gt;="&amp;Date(YEAR(DATE(YEAR($G$2),MONTH($G$2)+(-3),1)),4,1),'Form responses'!$F$2:$F53,"=4")</f>
        <v>0</v>
      </c>
      <c r="BJ25" s="521">
        <f>sumifs('Form responses'!EN2:EN53,'Form responses'!$C$2:$C53,"&lt;="&amp;$G$2,'Form responses'!$C$2:$C53,"&gt;="&amp;Date(YEAR(DATE(YEAR($G$2),MONTH($G$2)+(-3),1)),4,1),'Form responses'!$F$2:$F53,"=4")</f>
        <v>0</v>
      </c>
      <c r="BK25" s="521">
        <f>sumifs('Form responses'!EO2:EO53,'Form responses'!$C$2:$C53,"&lt;="&amp;$G$2,'Form responses'!$C$2:$C53,"&gt;="&amp;Date(YEAR(DATE(YEAR($G$2),MONTH($G$2)+(-3),1)),4,1),'Form responses'!$F$2:$F53,"=4")</f>
        <v>0</v>
      </c>
      <c r="BL25" s="521">
        <f>sumifs('Form responses'!EF2:EF53,'Form responses'!$C$2:$C53,"&lt;="&amp;$G$2,'Form responses'!$C$2:$C53,"&gt;="&amp;Date(YEAR(DATE(YEAR($G$2),MONTH($G$2)+(-3),1)),4,1),'Form responses'!$F$2:$F53,"=4")</f>
        <v>8</v>
      </c>
      <c r="BM25" s="521">
        <f>sumifs('Form responses'!EG2:EG53,'Form responses'!$C$2:$C53,"&lt;="&amp;$G$2,'Form responses'!$C$2:$C53,"&gt;="&amp;Date(YEAR(DATE(YEAR($G$2),MONTH($G$2)+(-3),1)),4,1),'Form responses'!$F$2:$F53,"=4")</f>
        <v>8</v>
      </c>
      <c r="BN25" s="521">
        <f>sumifs('Form responses'!EH2:EH53,'Form responses'!$C$2:$C53,"&lt;="&amp;$G$2,'Form responses'!$C$2:$C53,"&gt;="&amp;Date(YEAR(DATE(YEAR($G$2),MONTH($G$2)+(-3),1)),4,1),'Form responses'!$F$2:$F53,"=4")</f>
        <v>0</v>
      </c>
      <c r="BO25" s="521">
        <f>sumifs('Form responses'!EI2:EI53,'Form responses'!$C$2:$C53,"&lt;="&amp;$G$2,'Form responses'!$C$2:$C53,"&gt;="&amp;Date(YEAR(DATE(YEAR($G$2),MONTH($G$2)+(-3),1)),4,1),'Form responses'!$F$2:$F53,"=4")</f>
        <v>0</v>
      </c>
      <c r="BP25" s="521">
        <f>sumifs('Form responses'!FX2:FX53,'Form responses'!$C$2:$C53,"&lt;="&amp;$G$2,'Form responses'!$C$2:$C53,"&gt;="&amp;Date(YEAR(DATE(YEAR($G$2),MONTH($G$2)+(-3),1)),4,1),'Form responses'!$F$2:$F53,"=4")</f>
        <v>0</v>
      </c>
      <c r="BQ25" s="521">
        <f>sumifs('Form responses'!FY2:FY53,'Form responses'!$C$2:$C53,"&lt;="&amp;$G$2,'Form responses'!$C$2:$C53,"&gt;="&amp;Date(YEAR(DATE(YEAR($G$2),MONTH($G$2)+(-3),1)),4,1),'Form responses'!$F$2:$F53,"=4")</f>
        <v>0</v>
      </c>
      <c r="BR25" s="521">
        <f>sumifs('Form responses'!FZ2:FZ53,'Form responses'!$C$2:$C53,"&lt;="&amp;$G$2,'Form responses'!$C$2:$C53,"&gt;="&amp;Date(YEAR(DATE(YEAR($G$2),MONTH($G$2)+(-3),1)),4,1),'Form responses'!$F$2:$F53,"=4")</f>
        <v>0</v>
      </c>
      <c r="BS25" s="521">
        <f>sumifs('Form responses'!GA2:GA53,'Form responses'!$C$2:$C53,"&lt;="&amp;$G$2,'Form responses'!$C$2:$C53,"&gt;="&amp;Date(YEAR(DATE(YEAR($G$2),MONTH($G$2)+(-3),1)),4,1),'Form responses'!$F$2:$F53,"=4")</f>
        <v>0</v>
      </c>
      <c r="BT25" s="521">
        <f>sumifs('Form responses'!GB2:GB53,'Form responses'!$C$2:$C53,"&lt;="&amp;$G$2,'Form responses'!$C$2:$C53,"&gt;="&amp;Date(YEAR(DATE(YEAR($G$2),MONTH($G$2)+(-3),1)),4,1),'Form responses'!$F$2:$F53,"=4")</f>
        <v>0</v>
      </c>
      <c r="BU25" s="521">
        <f>sumifs('Form responses'!GC2:GC53,'Form responses'!$C$2:$C53,"&lt;="&amp;$G$2,'Form responses'!$C$2:$C53,"&gt;="&amp;Date(YEAR(DATE(YEAR($G$2),MONTH($G$2)+(-3),1)),4,1),'Form responses'!$F$2:$F53,"=4")</f>
        <v>0</v>
      </c>
      <c r="BV25" s="521">
        <f>sumifs('Form responses'!GL2:GL53,'Form responses'!$C$2:$C53,"&lt;="&amp;$G$2,'Form responses'!$C$2:$C53,"&gt;="&amp;Date(YEAR(DATE(YEAR($G$2),MONTH($G$2)+(-3),1)),4,1),'Form responses'!$F$2:$F53,"=4")</f>
        <v>0</v>
      </c>
      <c r="BW25" s="521">
        <f>sumifs('Form responses'!AC2:AC53,'Form responses'!$C$2:$C53,"&lt;="&amp;$G$2,'Form responses'!$C$2:$C53,"&gt;="&amp;Date(YEAR(DATE(YEAR($G$2),MONTH($G$2)+(-3),1)),4,1),'Form responses'!$F$2:$F53,"=4")</f>
        <v>0</v>
      </c>
      <c r="BX25" s="521">
        <f>sumifs('Form responses'!AD2:AD53,'Form responses'!$C$2:$C53,"&lt;="&amp;$G$2,'Form responses'!$C$2:$C53,"&gt;="&amp;Date(YEAR(DATE(YEAR($G$2),MONTH($G$2)+(-3),1)),4,1),'Form responses'!$F$2:$F53,"=4")</f>
        <v>0</v>
      </c>
      <c r="BY25" s="521">
        <f>sumifs('Form responses'!GH2:GH53,'Form responses'!$C$2:$C53,"&lt;="&amp;$G$2,'Form responses'!$C$2:$C53,"&gt;="&amp;Date(YEAR(DATE(YEAR($G$2),MONTH($G$2)+(-3),1)),4,1),'Form responses'!$F$2:$F53,"=4")</f>
        <v>0</v>
      </c>
      <c r="BZ25" s="521">
        <f>sumifs('Form responses'!GI2:GI53,'Form responses'!$C$2:$C53,"&lt;="&amp;$G$2,'Form responses'!$C$2:$C53,"&gt;="&amp;Date(YEAR(DATE(YEAR($G$2),MONTH($G$2)+(-3),1)),4,1),'Form responses'!$F$2:$F53,"=4")</f>
        <v>0</v>
      </c>
      <c r="CA25" s="521">
        <f>sumifs('Form responses'!FH2:FH53,'Form responses'!$C$2:$C53,"&lt;="&amp;$G$2,'Form responses'!$C$2:$C53,"&gt;="&amp;Date(YEAR(DATE(YEAR($G$2),MONTH($G$2)+(-3),1)),4,1),'Form responses'!$F$2:$F53,"=4")</f>
        <v>0</v>
      </c>
      <c r="CB25" s="521">
        <f>sumifs('Form responses'!FI2:FI53,'Form responses'!$C$2:$C53,"&lt;="&amp;$G$2,'Form responses'!$C$2:$C53,"&gt;="&amp;Date(YEAR(DATE(YEAR($G$2),MONTH($G$2)+(-3),1)),4,1),'Form responses'!$F$2:$F53,"=4")</f>
        <v>0</v>
      </c>
      <c r="CC25" s="521">
        <f>sumifs('Form responses'!FJ2:FJ53,'Form responses'!$C$2:$C53,"&lt;="&amp;$G$2,'Form responses'!$C$2:$C53,"&gt;="&amp;Date(YEAR(DATE(YEAR($G$2),MONTH($G$2)+(-3),1)),4,1),'Form responses'!$F$2:$F53,"=4")</f>
        <v>0</v>
      </c>
      <c r="CD25" s="521">
        <f>sumifs('Form responses'!FK2:FK53,'Form responses'!$C$2:$C53,"&lt;="&amp;$G$2,'Form responses'!$C$2:$C53,"&gt;="&amp;Date(YEAR(DATE(YEAR($G$2),MONTH($G$2)+(-3),1)),4,1),'Form responses'!$F$2:$F53,"=4")</f>
        <v>0</v>
      </c>
      <c r="CE25" s="521">
        <f>sumifs('Form responses'!FL2:FL53,'Form responses'!$C$2:$C53,"&lt;="&amp;$G$2,'Form responses'!$C$2:$C53,"&gt;="&amp;Date(YEAR(DATE(YEAR($G$2),MONTH($G$2)+(-3),1)),4,1),'Form responses'!$F$2:$F53,"=4")</f>
        <v>0</v>
      </c>
      <c r="CF25" s="521">
        <f>sumifs('Form responses'!FM2:FM53,'Form responses'!$C$2:$C53,"&lt;="&amp;$G$2,'Form responses'!$C$2:$C53,"&gt;="&amp;Date(YEAR(DATE(YEAR($G$2),MONTH($G$2)+(-3),1)),4,1),'Form responses'!$F$2:$F53,"=4")</f>
        <v>0</v>
      </c>
      <c r="CG25" s="521">
        <f>sumifs('Form responses'!FN2:FN53,'Form responses'!$C$2:$C53,"&lt;="&amp;$G$2,'Form responses'!$C$2:$C53,"&gt;="&amp;Date(YEAR(DATE(YEAR($G$2),MONTH($G$2)+(-3),1)),4,1),'Form responses'!$F$2:$F53,"=4")</f>
        <v>0</v>
      </c>
      <c r="CH25" s="521">
        <f>sumifs('Form responses'!FT2:FT53,'Form responses'!$C$2:$C53,"&lt;="&amp;$G$2,'Form responses'!$C$2:$C53,"&gt;="&amp;Date(YEAR(DATE(YEAR($G$2),MONTH($G$2)+(-3),1)),4,1),'Form responses'!$F$2:$F53,"=4")</f>
        <v>0</v>
      </c>
      <c r="CI25" s="521">
        <f>sumifs('Form responses'!FV2:FV53,'Form responses'!$C$2:$C53,"&lt;="&amp;$G$2,'Form responses'!$C$2:$C53,"&gt;="&amp;Date(YEAR(DATE(YEAR($G$2),MONTH($G$2)+(-3),1)),4,1),'Form responses'!$F$2:$F53,"=4")</f>
        <v>0</v>
      </c>
      <c r="CJ25" s="521">
        <f>sumifs('Form responses'!FR2:FR53,'Form responses'!$C$2:$C53,"&lt;="&amp;$G$2,'Form responses'!$C$2:$C53,"&gt;="&amp;Date(YEAR(DATE(YEAR($G$2),MONTH($G$2)+(-3),1)),4,1),'Form responses'!$F$2:$F53,"=4")</f>
        <v>0</v>
      </c>
      <c r="CK25" s="521">
        <f>sumifs('Form responses'!FS2:FS53,'Form responses'!$C$2:$C53,"&lt;="&amp;$G$2,'Form responses'!$C$2:$C53,"&gt;="&amp;Date(YEAR(DATE(YEAR($G$2),MONTH($G$2)+(-3),1)),4,1),'Form responses'!$F$2:$F53,"=4")</f>
        <v>0</v>
      </c>
      <c r="CL25" s="521">
        <f>sumifs('Form responses'!ER2:ER53,'Form responses'!$C$2:$C53,"&lt;="&amp;$G$2,'Form responses'!$C$2:$C53,"&gt;="&amp;Date(YEAR(DATE(YEAR($G$2),MONTH($G$2)+(-3),1)),4,1),'Form responses'!$F$2:$F53,"=4")</f>
        <v>85</v>
      </c>
      <c r="CM25" s="521">
        <f>sumifs('Form responses'!ES2:ES53,'Form responses'!$C$2:$C53,"&lt;="&amp;$G$2,'Form responses'!$C$2:$C53,"&gt;="&amp;Date(YEAR(DATE(YEAR($G$2),MONTH($G$2)+(-3),1)),4,1),'Form responses'!$F$2:$F53,"=4")</f>
        <v>0</v>
      </c>
      <c r="CN25" s="521">
        <f>sumifs('Form responses'!ET2:ET53,'Form responses'!$C$2:$C53,"&lt;="&amp;$G$2,'Form responses'!$C$2:$C53,"&gt;="&amp;Date(YEAR(DATE(YEAR($G$2),MONTH($G$2)+(-3),1)),4,1),'Form responses'!$F$2:$F53,"=4")</f>
        <v>0</v>
      </c>
      <c r="CO25" s="521">
        <f>sumifs('Form responses'!EU2:EU53,'Form responses'!$C$2:$C53,"&lt;="&amp;$G$2,'Form responses'!$C$2:$C53,"&gt;="&amp;Date(YEAR(DATE(YEAR($G$2),MONTH($G$2)+(-3),1)),4,1),'Form responses'!$F$2:$F53,"=4")</f>
        <v>0</v>
      </c>
      <c r="CP25" s="521">
        <f>sumifs('Form responses'!EV2:EV53,'Form responses'!$C$2:$C53,"&lt;="&amp;$G$2,'Form responses'!$C$2:$C53,"&gt;="&amp;Date(YEAR(DATE(YEAR($G$2),MONTH($G$2)+(-3),1)),4,1),'Form responses'!$F$2:$F53,"=4")</f>
        <v>0</v>
      </c>
      <c r="CQ25" s="521">
        <f>sumifs('Form responses'!EW2:EW53,'Form responses'!$C$2:$C53,"&lt;="&amp;$G$2,'Form responses'!$C$2:$C53,"&gt;="&amp;Date(YEAR(DATE(YEAR($G$2),MONTH($G$2)+(-3),1)),4,1),'Form responses'!$F$2:$F53,"=4")</f>
        <v>0</v>
      </c>
      <c r="CR25" s="521">
        <f>sumifs('Form responses'!EX2:EX53,'Form responses'!$C$2:$C53,"&lt;="&amp;$G$2,'Form responses'!$C$2:$C53,"&gt;="&amp;Date(YEAR(DATE(YEAR($G$2),MONTH($G$2)+(-3),1)),4,1),'Form responses'!$F$2:$F53,"=4")</f>
        <v>0</v>
      </c>
      <c r="CS25" s="521">
        <f>sumifs('Form responses'!FD2:FD53,'Form responses'!$C$2:$C53,"&lt;="&amp;$G$2,'Form responses'!$C$2:$C53,"&gt;="&amp;Date(YEAR(DATE(YEAR($G$2),MONTH($G$2)+(-3),1)),4,1),'Form responses'!$F$2:$F53,"=4")</f>
        <v>0</v>
      </c>
      <c r="CT25" s="521">
        <f>sumifs('Form responses'!FF2:FF53,'Form responses'!$C$2:$C53,"&lt;="&amp;$G$2,'Form responses'!$C$2:$C53,"&gt;="&amp;Date(YEAR(DATE(YEAR($G$2),MONTH($G$2)+(-3),1)),4,1),'Form responses'!$F$2:$F53,"=4")</f>
        <v>0</v>
      </c>
      <c r="CU25" s="521">
        <f>sumifs('Form responses'!FB2:FB53,'Form responses'!$C$2:$C53,"&lt;="&amp;$G$2,'Form responses'!$C$2:$C53,"&gt;="&amp;Date(YEAR(DATE(YEAR($G$2),MONTH($G$2)+(-3),1)),4,1),'Form responses'!$F$2:$F53,"=4")</f>
        <v>45</v>
      </c>
      <c r="CV25" s="521">
        <f>sumifs('Form responses'!FC2:FC53,'Form responses'!$C$2:$C53,"&lt;="&amp;$G$2,'Form responses'!$C$2:$C53,"&gt;="&amp;Date(YEAR(DATE(YEAR($G$2),MONTH($G$2)+(-3),1)),4,1),'Form responses'!$F$2:$F53,"=4")</f>
        <v>0</v>
      </c>
      <c r="CW25" s="520"/>
      <c r="CX25" s="520"/>
      <c r="CY25" s="520"/>
      <c r="CZ25" s="520"/>
      <c r="DA25" s="520"/>
      <c r="DB25" s="520"/>
      <c r="DC25" s="520"/>
      <c r="DD25" s="520"/>
      <c r="DE25" s="520"/>
      <c r="DF25" s="520"/>
      <c r="DG25" s="520"/>
      <c r="DH25" s="520"/>
      <c r="DI25" s="520"/>
      <c r="DJ25" s="520"/>
      <c r="DK25" s="520"/>
      <c r="DL25" s="520"/>
      <c r="DM25" s="520"/>
      <c r="DN25" s="520"/>
      <c r="DO25" s="520"/>
      <c r="DP25" s="520"/>
      <c r="DQ25" s="520"/>
      <c r="DR25" s="520"/>
      <c r="DS25" s="520"/>
      <c r="DT25" s="520"/>
      <c r="DU25" s="520"/>
      <c r="DV25" s="520"/>
      <c r="DW25" s="520"/>
      <c r="DX25" s="520"/>
      <c r="DY25" s="520"/>
      <c r="DZ25" s="520"/>
      <c r="EA25" s="520"/>
      <c r="EB25" s="520"/>
      <c r="EC25" s="520"/>
      <c r="ED25" s="520"/>
      <c r="EE25" s="520"/>
      <c r="EF25" s="520"/>
      <c r="EG25" s="520"/>
      <c r="EH25" s="520"/>
      <c r="EI25" s="520"/>
      <c r="EJ25" s="520"/>
      <c r="EK25" s="520"/>
      <c r="EL25" s="520"/>
    </row>
    <row r="26">
      <c r="A26" s="545"/>
      <c r="B26" s="545"/>
      <c r="C26" s="545"/>
      <c r="D26" s="545"/>
      <c r="E26" s="545"/>
      <c r="F26" s="545"/>
      <c r="G26" s="545"/>
      <c r="H26" s="545"/>
      <c r="I26" s="545"/>
      <c r="J26" s="545"/>
      <c r="K26" s="545"/>
      <c r="L26" s="545"/>
      <c r="M26" s="545"/>
      <c r="N26" s="545"/>
      <c r="O26" s="545"/>
      <c r="P26" s="545"/>
      <c r="Q26" s="545"/>
      <c r="R26" s="545"/>
      <c r="S26" s="545"/>
      <c r="T26" s="545"/>
      <c r="U26" s="545"/>
      <c r="V26" s="545"/>
      <c r="W26" s="545"/>
      <c r="X26" s="545"/>
      <c r="Y26" s="545"/>
      <c r="Z26" s="545"/>
      <c r="AA26" s="545"/>
      <c r="AB26" s="545"/>
      <c r="AC26" s="545"/>
      <c r="AD26" s="545"/>
      <c r="AE26" s="545"/>
      <c r="AF26" s="545"/>
      <c r="AG26" s="545"/>
      <c r="AH26" s="545"/>
      <c r="AI26" s="545"/>
      <c r="AJ26" s="545"/>
      <c r="AK26" s="545"/>
      <c r="AL26" s="545"/>
      <c r="AM26" s="545"/>
      <c r="AN26" s="545"/>
      <c r="AO26" s="545"/>
      <c r="AP26" s="545"/>
      <c r="AQ26" s="545"/>
      <c r="AR26" s="545"/>
      <c r="AS26" s="545"/>
      <c r="AT26" s="545"/>
      <c r="AU26" s="545"/>
      <c r="AV26" s="545"/>
      <c r="AW26" s="545"/>
      <c r="AX26" s="545"/>
      <c r="AY26" s="545"/>
      <c r="AZ26" s="545"/>
      <c r="BA26" s="545"/>
      <c r="BB26" s="545"/>
      <c r="BC26" s="545"/>
      <c r="BD26" s="545"/>
      <c r="BE26" s="545"/>
      <c r="BF26" s="545"/>
      <c r="BG26" s="545"/>
      <c r="BH26" s="545"/>
      <c r="BI26" s="545"/>
      <c r="BJ26" s="545"/>
      <c r="BK26" s="545"/>
      <c r="BL26" s="545"/>
      <c r="BM26" s="545"/>
      <c r="BN26" s="545"/>
      <c r="BO26" s="545"/>
      <c r="BP26" s="545"/>
      <c r="BQ26" s="545"/>
      <c r="BR26" s="545"/>
      <c r="BS26" s="545"/>
      <c r="BT26" s="545"/>
      <c r="BU26" s="545"/>
      <c r="BV26" s="545"/>
      <c r="BW26" s="545"/>
      <c r="BX26" s="545"/>
      <c r="BY26" s="545"/>
      <c r="BZ26" s="545"/>
      <c r="CA26" s="545"/>
      <c r="CB26" s="545"/>
      <c r="CC26" s="545"/>
      <c r="CD26" s="545"/>
      <c r="CE26" s="545"/>
      <c r="CF26" s="545"/>
      <c r="CG26" s="545"/>
      <c r="CH26" s="545"/>
      <c r="CI26" s="545"/>
      <c r="CJ26" s="545"/>
      <c r="CK26" s="545"/>
      <c r="CL26" s="545"/>
      <c r="CM26" s="545"/>
      <c r="CN26" s="545"/>
      <c r="CO26" s="545"/>
      <c r="CP26" s="545"/>
      <c r="CQ26" s="545"/>
      <c r="CR26" s="545"/>
      <c r="CS26" s="545"/>
      <c r="CT26" s="545"/>
      <c r="CU26" s="545"/>
      <c r="CV26" s="545"/>
      <c r="CW26" s="545"/>
      <c r="CX26" s="545"/>
      <c r="CY26" s="545"/>
      <c r="CZ26" s="545"/>
      <c r="DA26" s="545"/>
      <c r="DB26" s="545"/>
      <c r="DC26" s="545"/>
      <c r="DD26" s="545"/>
      <c r="DE26" s="545"/>
      <c r="DF26" s="545"/>
      <c r="DG26" s="545"/>
      <c r="DH26" s="545"/>
      <c r="DI26" s="545"/>
      <c r="DJ26" s="545"/>
      <c r="DK26" s="545"/>
      <c r="DL26" s="545"/>
      <c r="DM26" s="545"/>
      <c r="DN26" s="545"/>
      <c r="DO26" s="545"/>
      <c r="DP26" s="545"/>
      <c r="DQ26" s="545"/>
      <c r="DR26" s="545"/>
      <c r="DS26" s="545"/>
      <c r="DT26" s="545"/>
      <c r="DU26" s="545"/>
      <c r="DV26" s="545"/>
      <c r="DW26" s="545"/>
      <c r="DX26" s="545"/>
      <c r="DY26" s="545"/>
      <c r="DZ26" s="545"/>
      <c r="EA26" s="545"/>
      <c r="EB26" s="545"/>
      <c r="EC26" s="545"/>
      <c r="ED26" s="545"/>
      <c r="EE26" s="545"/>
      <c r="EF26" s="545"/>
      <c r="EG26" s="545"/>
      <c r="EH26" s="545"/>
      <c r="EI26" s="545"/>
      <c r="EJ26" s="545"/>
      <c r="EK26" s="522"/>
      <c r="EL26" s="522"/>
    </row>
    <row r="28">
      <c r="A28" s="558"/>
      <c r="B28" s="558" t="s">
        <v>974</v>
      </c>
      <c r="C28" s="559" t="str">
        <f>Reports!J1</f>
        <v>CVH Malkana</v>
      </c>
      <c r="E28" s="548">
        <f>Reports!N1</f>
        <v>46113</v>
      </c>
      <c r="F28" s="560" t="s">
        <v>509</v>
      </c>
      <c r="G28" s="550">
        <f>Reports!Q1</f>
        <v>46142</v>
      </c>
      <c r="H28" s="551"/>
      <c r="I28" s="551"/>
      <c r="J28" s="551"/>
      <c r="K28" s="551"/>
      <c r="L28" s="551"/>
      <c r="M28" s="551"/>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1"/>
      <c r="BD28" s="551"/>
      <c r="BE28" s="551"/>
      <c r="BF28" s="551"/>
      <c r="BG28" s="551"/>
      <c r="BH28" s="551"/>
      <c r="BI28" s="551"/>
      <c r="BJ28" s="551"/>
      <c r="BK28" s="551"/>
      <c r="BL28" s="551"/>
      <c r="BM28" s="551"/>
      <c r="BN28" s="551"/>
      <c r="BO28" s="551"/>
      <c r="BP28" s="551"/>
      <c r="BQ28" s="551"/>
      <c r="BR28" s="551"/>
      <c r="BS28" s="551"/>
      <c r="BT28" s="551"/>
      <c r="BU28" s="551"/>
      <c r="BV28" s="551"/>
      <c r="BW28" s="551"/>
      <c r="BX28" s="551"/>
      <c r="BY28" s="551"/>
      <c r="BZ28" s="551"/>
      <c r="CA28" s="551"/>
      <c r="CB28" s="551"/>
      <c r="CC28" s="551"/>
      <c r="CD28" s="551"/>
      <c r="CE28" s="551"/>
      <c r="CF28" s="551"/>
      <c r="CG28" s="551"/>
      <c r="CH28" s="551"/>
      <c r="CI28" s="551"/>
      <c r="CJ28" s="551"/>
      <c r="CK28" s="551"/>
      <c r="CL28" s="551"/>
      <c r="CM28" s="551"/>
      <c r="CN28" s="551"/>
      <c r="CO28" s="551"/>
      <c r="CP28" s="551"/>
      <c r="CQ28" s="551"/>
      <c r="CR28" s="551"/>
      <c r="CS28" s="551"/>
      <c r="CT28" s="551"/>
      <c r="CU28" s="551"/>
      <c r="CV28" s="551"/>
      <c r="CW28" s="551"/>
      <c r="CX28" s="551"/>
      <c r="CY28" s="551"/>
      <c r="CZ28" s="551"/>
      <c r="DA28" s="551"/>
      <c r="DB28" s="551"/>
      <c r="DC28" s="551"/>
      <c r="DD28" s="551"/>
      <c r="DE28" s="551"/>
      <c r="DF28" s="551"/>
      <c r="DG28" s="551"/>
      <c r="DH28" s="551"/>
      <c r="DI28" s="551"/>
      <c r="DJ28" s="551"/>
      <c r="DK28" s="551"/>
      <c r="DL28" s="551"/>
      <c r="DM28" s="551"/>
      <c r="DN28" s="551"/>
      <c r="DO28" s="551"/>
      <c r="DP28" s="551"/>
      <c r="DQ28" s="551"/>
      <c r="DR28" s="551"/>
      <c r="DS28" s="551"/>
      <c r="DT28" s="551"/>
      <c r="DU28" s="551"/>
      <c r="DV28" s="551"/>
      <c r="DW28" s="551"/>
      <c r="DX28" s="551"/>
      <c r="DY28" s="551"/>
      <c r="DZ28" s="551"/>
      <c r="EA28" s="551"/>
      <c r="EB28" s="551"/>
      <c r="EC28" s="551"/>
      <c r="ED28" s="551"/>
      <c r="EE28" s="551"/>
      <c r="EF28" s="551"/>
      <c r="EG28" s="551"/>
      <c r="EH28" s="551"/>
      <c r="EI28" s="551"/>
      <c r="EJ28" s="551"/>
      <c r="EK28" s="551"/>
    </row>
    <row r="29">
      <c r="A29" s="4"/>
      <c r="B29" s="561" t="s">
        <v>855</v>
      </c>
      <c r="C29" s="80" t="s">
        <v>856</v>
      </c>
      <c r="D29" s="80" t="s">
        <v>857</v>
      </c>
      <c r="E29" s="80" t="s">
        <v>858</v>
      </c>
      <c r="F29" s="80" t="s">
        <v>859</v>
      </c>
      <c r="G29" s="80" t="s">
        <v>860</v>
      </c>
      <c r="H29" s="80" t="s">
        <v>861</v>
      </c>
      <c r="I29" s="80" t="s">
        <v>862</v>
      </c>
      <c r="J29" s="81" t="s">
        <v>863</v>
      </c>
      <c r="K29" s="81" t="s">
        <v>864</v>
      </c>
      <c r="L29" s="81" t="s">
        <v>865</v>
      </c>
      <c r="M29" s="81" t="s">
        <v>866</v>
      </c>
      <c r="N29" s="80" t="s">
        <v>867</v>
      </c>
      <c r="O29" s="80" t="s">
        <v>868</v>
      </c>
      <c r="P29" s="80" t="s">
        <v>869</v>
      </c>
      <c r="Q29" s="80" t="s">
        <v>329</v>
      </c>
      <c r="R29" s="80" t="s">
        <v>330</v>
      </c>
      <c r="S29" s="80" t="s">
        <v>331</v>
      </c>
      <c r="T29" s="80" t="s">
        <v>332</v>
      </c>
      <c r="U29" s="81" t="s">
        <v>975</v>
      </c>
      <c r="V29" s="80" t="s">
        <v>336</v>
      </c>
      <c r="W29" s="80" t="s">
        <v>336</v>
      </c>
      <c r="X29" s="80" t="s">
        <v>337</v>
      </c>
      <c r="Y29" s="81" t="s">
        <v>339</v>
      </c>
      <c r="Z29" s="81" t="s">
        <v>340</v>
      </c>
      <c r="AA29" s="81" t="s">
        <v>341</v>
      </c>
      <c r="AB29" s="80" t="s">
        <v>342</v>
      </c>
      <c r="AC29" s="80" t="s">
        <v>343</v>
      </c>
      <c r="AD29" s="80" t="s">
        <v>344</v>
      </c>
      <c r="AE29" s="80" t="s">
        <v>345</v>
      </c>
      <c r="AF29" s="80" t="s">
        <v>346</v>
      </c>
      <c r="AG29" s="80" t="s">
        <v>347</v>
      </c>
      <c r="AH29" s="80" t="s">
        <v>348</v>
      </c>
      <c r="AI29" s="80" t="s">
        <v>349</v>
      </c>
      <c r="AJ29" s="81" t="s">
        <v>350</v>
      </c>
      <c r="AK29" s="80" t="s">
        <v>870</v>
      </c>
      <c r="AL29" s="80" t="s">
        <v>871</v>
      </c>
      <c r="AM29" s="80" t="s">
        <v>872</v>
      </c>
      <c r="AN29" s="80" t="s">
        <v>873</v>
      </c>
      <c r="AO29" s="80" t="s">
        <v>874</v>
      </c>
      <c r="AP29" s="80" t="s">
        <v>875</v>
      </c>
      <c r="AQ29" s="80" t="s">
        <v>876</v>
      </c>
      <c r="AR29" s="80" t="s">
        <v>877</v>
      </c>
      <c r="AS29" s="80" t="s">
        <v>878</v>
      </c>
      <c r="AT29" s="80" t="s">
        <v>879</v>
      </c>
      <c r="AU29" s="80" t="s">
        <v>880</v>
      </c>
      <c r="AV29" s="80" t="s">
        <v>881</v>
      </c>
      <c r="AW29" s="80" t="s">
        <v>882</v>
      </c>
      <c r="AX29" s="80" t="s">
        <v>883</v>
      </c>
      <c r="AY29" s="80" t="s">
        <v>884</v>
      </c>
      <c r="AZ29" s="81" t="s">
        <v>885</v>
      </c>
      <c r="BA29" s="80" t="s">
        <v>886</v>
      </c>
      <c r="BB29" s="80" t="s">
        <v>887</v>
      </c>
      <c r="BC29" s="80" t="s">
        <v>888</v>
      </c>
      <c r="BD29" s="81" t="s">
        <v>889</v>
      </c>
      <c r="BE29" s="80" t="s">
        <v>890</v>
      </c>
      <c r="BF29" s="80" t="s">
        <v>891</v>
      </c>
      <c r="BG29" s="80" t="s">
        <v>892</v>
      </c>
      <c r="BH29" s="80" t="s">
        <v>893</v>
      </c>
      <c r="BI29" s="80" t="s">
        <v>383</v>
      </c>
      <c r="BJ29" s="80" t="s">
        <v>894</v>
      </c>
      <c r="BK29" s="80" t="s">
        <v>895</v>
      </c>
      <c r="BL29" s="80" t="s">
        <v>896</v>
      </c>
      <c r="BM29" s="80" t="s">
        <v>596</v>
      </c>
      <c r="BN29" s="80" t="s">
        <v>897</v>
      </c>
      <c r="BO29" s="80" t="s">
        <v>598</v>
      </c>
      <c r="BP29" s="80" t="s">
        <v>898</v>
      </c>
      <c r="BQ29" s="80" t="s">
        <v>600</v>
      </c>
      <c r="BR29" s="80" t="s">
        <v>899</v>
      </c>
      <c r="BS29" s="80" t="s">
        <v>397</v>
      </c>
      <c r="BT29" s="80" t="s">
        <v>900</v>
      </c>
      <c r="BU29" s="80" t="s">
        <v>901</v>
      </c>
      <c r="BV29" s="80" t="s">
        <v>902</v>
      </c>
      <c r="BW29" s="81" t="s">
        <v>903</v>
      </c>
      <c r="BX29" s="81" t="s">
        <v>904</v>
      </c>
      <c r="BY29" s="80" t="s">
        <v>905</v>
      </c>
      <c r="BZ29" s="80" t="s">
        <v>906</v>
      </c>
      <c r="CA29" s="80" t="s">
        <v>907</v>
      </c>
      <c r="CB29" s="80" t="s">
        <v>908</v>
      </c>
      <c r="CC29" s="80" t="s">
        <v>909</v>
      </c>
      <c r="CD29" s="80" t="s">
        <v>910</v>
      </c>
      <c r="CE29" s="80" t="s">
        <v>621</v>
      </c>
      <c r="CF29" s="80" t="s">
        <v>911</v>
      </c>
      <c r="CG29" s="80" t="s">
        <v>413</v>
      </c>
      <c r="CH29" s="80" t="s">
        <v>912</v>
      </c>
      <c r="CI29" s="80" t="s">
        <v>421</v>
      </c>
      <c r="CJ29" s="80" t="s">
        <v>422</v>
      </c>
      <c r="CK29" s="80" t="s">
        <v>423</v>
      </c>
      <c r="CL29" s="80" t="s">
        <v>913</v>
      </c>
      <c r="CM29" s="80" t="s">
        <v>425</v>
      </c>
      <c r="CN29" s="80" t="s">
        <v>914</v>
      </c>
      <c r="CO29" s="80" t="s">
        <v>427</v>
      </c>
      <c r="CP29" s="80" t="s">
        <v>428</v>
      </c>
      <c r="CQ29" s="80" t="s">
        <v>429</v>
      </c>
      <c r="CR29" s="80" t="s">
        <v>430</v>
      </c>
      <c r="CS29" s="81" t="s">
        <v>431</v>
      </c>
      <c r="CT29" s="81" t="s">
        <v>432</v>
      </c>
      <c r="CU29" s="80" t="s">
        <v>915</v>
      </c>
      <c r="CV29" s="80" t="s">
        <v>916</v>
      </c>
      <c r="CW29" s="80" t="s">
        <v>917</v>
      </c>
      <c r="CX29" s="80" t="s">
        <v>918</v>
      </c>
      <c r="CY29" s="80" t="s">
        <v>919</v>
      </c>
      <c r="CZ29" s="80" t="s">
        <v>920</v>
      </c>
      <c r="DA29" s="80" t="s">
        <v>441</v>
      </c>
      <c r="DB29" s="80" t="s">
        <v>442</v>
      </c>
      <c r="DC29" s="80" t="s">
        <v>443</v>
      </c>
      <c r="DD29" s="80" t="s">
        <v>444</v>
      </c>
      <c r="DE29" s="80" t="s">
        <v>921</v>
      </c>
      <c r="DF29" s="80" t="s">
        <v>486</v>
      </c>
      <c r="DG29" s="80" t="s">
        <v>922</v>
      </c>
      <c r="DH29" s="80" t="s">
        <v>488</v>
      </c>
      <c r="DI29" s="80" t="s">
        <v>489</v>
      </c>
      <c r="DJ29" s="81" t="s">
        <v>923</v>
      </c>
      <c r="DK29" s="80" t="s">
        <v>924</v>
      </c>
      <c r="DL29" s="80" t="s">
        <v>925</v>
      </c>
      <c r="DM29" s="80" t="s">
        <v>926</v>
      </c>
      <c r="DN29" s="80" t="s">
        <v>927</v>
      </c>
      <c r="DO29" s="80" t="s">
        <v>928</v>
      </c>
      <c r="DP29" s="80" t="s">
        <v>929</v>
      </c>
      <c r="DQ29" s="80" t="s">
        <v>930</v>
      </c>
      <c r="DR29" s="80" t="s">
        <v>471</v>
      </c>
      <c r="DS29" s="80" t="s">
        <v>472</v>
      </c>
      <c r="DT29" s="80" t="s">
        <v>473</v>
      </c>
      <c r="DU29" s="81" t="s">
        <v>474</v>
      </c>
      <c r="DV29" s="80" t="s">
        <v>931</v>
      </c>
      <c r="DW29" s="80" t="s">
        <v>932</v>
      </c>
      <c r="DX29" s="80" t="s">
        <v>933</v>
      </c>
      <c r="DY29" s="80" t="s">
        <v>479</v>
      </c>
      <c r="DZ29" s="80" t="s">
        <v>480</v>
      </c>
      <c r="EA29" s="81" t="s">
        <v>934</v>
      </c>
      <c r="EB29" s="81" t="s">
        <v>935</v>
      </c>
      <c r="EC29" s="81" t="s">
        <v>936</v>
      </c>
      <c r="ED29" s="81" t="s">
        <v>937</v>
      </c>
      <c r="EE29" s="81" t="s">
        <v>938</v>
      </c>
      <c r="EF29" s="81" t="s">
        <v>939</v>
      </c>
      <c r="EG29" s="81" t="s">
        <v>940</v>
      </c>
      <c r="EH29" s="81" t="s">
        <v>941</v>
      </c>
      <c r="EI29" s="81" t="s">
        <v>942</v>
      </c>
      <c r="EJ29" s="81" t="s">
        <v>943</v>
      </c>
      <c r="EK29" s="553" t="s">
        <v>944</v>
      </c>
    </row>
    <row r="30">
      <c r="A30" s="7" t="s">
        <v>945</v>
      </c>
      <c r="B30" s="554">
        <f>sumifs('Form responses'!I2:I53,'Form responses'!$C$2:$C53,"&gt;="&amp;$E$28,'Form responses'!$C$2:$C53,"&lt;="&amp;$G$28,'Form responses'!$D$2:$D53,$C$28)</f>
        <v>0</v>
      </c>
      <c r="C30" s="554">
        <f>sumifs('Form responses'!J2:J53,'Form responses'!$C$2:$C53,"&gt;="&amp;$E$28,'Form responses'!$C$2:$C53,"&lt;="&amp;$G$28,'Form responses'!$D$2:$D53,$C$28)</f>
        <v>40</v>
      </c>
      <c r="D30" s="554">
        <f>sumifs('Form responses'!K2:K53,'Form responses'!$C$2:$C53,"&gt;="&amp;$E$28,'Form responses'!$C$2:$C53,"&lt;="&amp;$G$28,'Form responses'!$D$2:$D53,$C$28)</f>
        <v>0</v>
      </c>
      <c r="E30" s="554">
        <f>sumifs('Form responses'!L2:L53,'Form responses'!$C$2:$C53,"&gt;="&amp;$E$28,'Form responses'!$C$2:$C53,"&lt;="&amp;$G$28,'Form responses'!$D$2:$D53,$C$28)</f>
        <v>0</v>
      </c>
      <c r="F30" s="554">
        <f>sumifs('Form responses'!M2:M53,'Form responses'!$C$2:$C53,"&gt;="&amp;$E$28,'Form responses'!$C$2:$C53,"&lt;="&amp;$G$28,'Form responses'!$D$2:$D53,$C$28)</f>
        <v>0</v>
      </c>
      <c r="G30" s="554">
        <f>sumifs('Form responses'!N2:N53,'Form responses'!$C$2:$C53,"&gt;="&amp;$E$28,'Form responses'!$C$2:$C53,"&lt;="&amp;$G$28,'Form responses'!$D$2:$D53,$C$28)</f>
        <v>40</v>
      </c>
      <c r="H30" s="554">
        <f>sumifs('Form responses'!O2:O53,'Form responses'!$C$2:$C53,"&gt;="&amp;$E$28,'Form responses'!$C$2:$C53,"&lt;="&amp;$G$28,'Form responses'!$D$2:$D53,$C$28)</f>
        <v>0</v>
      </c>
      <c r="I30" s="554">
        <f>sumifs('Form responses'!P2:P53,'Form responses'!$C$2:$C53,"&gt;="&amp;$E$28,'Form responses'!$C$2:$C53,"&lt;="&amp;$G$28,'Form responses'!$D$2:$D53,$C$28)</f>
        <v>0</v>
      </c>
      <c r="J30" s="554">
        <f>sumifs('Form responses'!Q2:Q53,'Form responses'!$C$2:$C53,"&gt;="&amp;$E$28,'Form responses'!$C$2:$C53,"&lt;="&amp;$G$28,'Form responses'!$D$2:$D53,$C$28)</f>
        <v>0</v>
      </c>
      <c r="K30" s="554">
        <f>sumifs('Form responses'!R2:R53,'Form responses'!$C$2:$C53,"&gt;="&amp;$E$28,'Form responses'!$C$2:$C53,"&lt;="&amp;$G$28,'Form responses'!$D$2:$D53,$C$28)</f>
        <v>0</v>
      </c>
      <c r="L30" s="554">
        <f>sumifs('Form responses'!S2:S53,'Form responses'!$C$2:$C53,"&gt;="&amp;$E$28,'Form responses'!$C$2:$C53,"&lt;="&amp;$G$28,'Form responses'!$D$2:$D53,$C$28)</f>
        <v>0</v>
      </c>
      <c r="M30" s="554">
        <f>sumifs('Form responses'!T2:T53,'Form responses'!$C$2:$C53,"&gt;="&amp;$E$28,'Form responses'!$C$2:$C53,"&lt;="&amp;$G$28,'Form responses'!$D$2:$D53,$C$28)</f>
        <v>0</v>
      </c>
      <c r="N30" s="554">
        <f>sumifs('Form responses'!U2:U53,'Form responses'!$C$2:$C53,"&gt;="&amp;$E$28,'Form responses'!$C$2:$C53,"&lt;="&amp;$G$28,'Form responses'!$D$2:$D53,$C$28)</f>
        <v>0</v>
      </c>
      <c r="O30" s="554">
        <f>sumifs('Form responses'!V2:V53,'Form responses'!$C$2:$C53,"&gt;="&amp;$E$28,'Form responses'!$C$2:$C53,"&lt;="&amp;$G$28,'Form responses'!$D$2:$D53,$C$28)</f>
        <v>0</v>
      </c>
      <c r="P30" s="554">
        <f>sumifs('Form responses'!W2:W53,'Form responses'!$C$2:$C53,"&gt;="&amp;$E$28,'Form responses'!$C$2:$C53,"&lt;="&amp;$G$28,'Form responses'!$D$2:$D53,$C$28)</f>
        <v>0</v>
      </c>
      <c r="Q30" s="554">
        <f>sumifs('Form responses'!X2:X53,'Form responses'!$C$2:$C53,"&gt;="&amp;$E$28,'Form responses'!$C$2:$C53,"&lt;="&amp;$G$28,'Form responses'!$D$2:$D53,$C$28)</f>
        <v>0</v>
      </c>
      <c r="R30" s="554">
        <f>sumifs('Form responses'!Y2:Y53,'Form responses'!$C$2:$C53,"&gt;="&amp;$E$28,'Form responses'!$C$2:$C53,"&lt;="&amp;$G$28,'Form responses'!$D$2:$D53,$C$28)</f>
        <v>0</v>
      </c>
      <c r="S30" s="554">
        <f>sumifs('Form responses'!Z2:Z53,'Form responses'!$C$2:$C53,"&gt;="&amp;$E$28,'Form responses'!$C$2:$C53,"&lt;="&amp;$G$28,'Form responses'!$D$2:$D53,$C$28)</f>
        <v>0</v>
      </c>
      <c r="T30" s="554">
        <f>sumifs('Form responses'!AA2:AA53,'Form responses'!$C$2:$C53,"&gt;="&amp;$E$28,'Form responses'!$C$2:$C53,"&lt;="&amp;$G$28,'Form responses'!$D$2:$D53,$C$28)</f>
        <v>0</v>
      </c>
      <c r="U30" s="554">
        <f>sumifs('Form responses'!AB2:AB53,'Form responses'!$C$2:$C53,"&gt;="&amp;$E$28,'Form responses'!$C$2:$C53,"&lt;="&amp;$G$28,'Form responses'!$D$2:$D53,$C$28)</f>
        <v>0</v>
      </c>
      <c r="V30" s="554">
        <f>sumifs('Form responses'!AE2:AE53,'Form responses'!$C$2:$C53,"&gt;="&amp;$E$28,'Form responses'!$C$2:$C53,"&lt;="&amp;$G$28,'Form responses'!$D$2:$D53,$C$28)</f>
        <v>0</v>
      </c>
      <c r="W30" s="554">
        <f>sumifs('Form responses'!AF2:AF53,'Form responses'!$C$2:$C53,"&gt;="&amp;$E$28,'Form responses'!$C$2:$C53,"&lt;="&amp;$G$28,'Form responses'!$D$2:$D53,$C$28)</f>
        <v>0</v>
      </c>
      <c r="X30" s="554">
        <f>sumifs('Form responses'!AG2:AG53,'Form responses'!$C$2:$C53,"&gt;="&amp;$E$28,'Form responses'!$C$2:$C53,"&lt;="&amp;$G$28,'Form responses'!$D$2:$D53,$C$28)</f>
        <v>0</v>
      </c>
      <c r="Y30" s="554">
        <f>sumifs('Form responses'!AH2:AH53,'Form responses'!$C$2:$C53,"&gt;="&amp;$E$28,'Form responses'!$C$2:$C53,"&lt;="&amp;$G$28,'Form responses'!$D$2:$D53,$C$28)</f>
        <v>0</v>
      </c>
      <c r="Z30" s="554">
        <f>sumifs('Form responses'!AI2:AI53,'Form responses'!$C$2:$C53,"&gt;="&amp;$E$28,'Form responses'!$C$2:$C53,"&lt;="&amp;$G$28,'Form responses'!$D$2:$D53,$C$28)</f>
        <v>1300</v>
      </c>
      <c r="AA30" s="554">
        <f>sumifs('Form responses'!AJ2:AJ53,'Form responses'!$C$2:$C53,"&gt;="&amp;$E$28,'Form responses'!$C$2:$C53,"&lt;="&amp;$G$28,'Form responses'!$D$2:$D53,$C$28)</f>
        <v>1300</v>
      </c>
      <c r="AB30" s="554">
        <f>sumifs('Form responses'!AK2:AK53,'Form responses'!$C$2:$C53,"&gt;="&amp;$E$28,'Form responses'!$C$2:$C53,"&lt;="&amp;$G$28,'Form responses'!$D$2:$D53,$C$28)</f>
        <v>50</v>
      </c>
      <c r="AC30" s="554">
        <f>sumifs('Form responses'!AL2:AL53,'Form responses'!$C$2:$C53,"&gt;="&amp;$E$28,'Form responses'!$C$2:$C53,"&lt;="&amp;$G$28,'Form responses'!$D$2:$D53,$C$28)</f>
        <v>50</v>
      </c>
      <c r="AD30" s="554">
        <f>sumifs('Form responses'!AM2:AM53,'Form responses'!$C$2:$C53,"&gt;="&amp;$E$28,'Form responses'!$C$2:$C53,"&lt;="&amp;$G$28,'Form responses'!$D$2:$D53,$C$28)</f>
        <v>50</v>
      </c>
      <c r="AE30" s="554">
        <f>sumifs('Form responses'!AN2:AN53,'Form responses'!$C$2:$C53,"&gt;="&amp;$E$28,'Form responses'!$C$2:$C53,"&lt;="&amp;$G$28,'Form responses'!$D$2:$D53,$C$28)</f>
        <v>0</v>
      </c>
      <c r="AF30" s="554">
        <f>sumifs('Form responses'!AO2:AO53,'Form responses'!$C$2:$C53,"&gt;="&amp;$E$28,'Form responses'!$C$2:$C53,"&lt;="&amp;$G$28,'Form responses'!$D$2:$D53,$C$28)</f>
        <v>0</v>
      </c>
      <c r="AG30" s="554">
        <f>sumifs('Form responses'!AP2:AP53,'Form responses'!$C$2:$C53,"&gt;="&amp;$E$28,'Form responses'!$C$2:$C53,"&lt;="&amp;$G$28,'Form responses'!$D$2:$D53,$C$28)</f>
        <v>0</v>
      </c>
      <c r="AH30" s="554">
        <f>sumifs('Form responses'!AQ2:AQ53,'Form responses'!$C$2:$C53,"&gt;="&amp;$E$28,'Form responses'!$C$2:$C53,"&lt;="&amp;$G$28,'Form responses'!$D$2:$D53,$C$28)</f>
        <v>400</v>
      </c>
      <c r="AI30" s="554">
        <f>sumifs('Form responses'!AR2:AR53,'Form responses'!$C$2:$C53,"&gt;="&amp;$E$28,'Form responses'!$C$2:$C53,"&lt;="&amp;$G$28,'Form responses'!$D$2:$D53,$C$28)</f>
        <v>400</v>
      </c>
      <c r="AJ30" s="554">
        <f>sumifs('Form responses'!AS2:AS53,'Form responses'!$C$2:$C53,"&gt;="&amp;$E$28,'Form responses'!$C$2:$C53,"&lt;="&amp;$G$28,'Form responses'!$D$2:$D53,$C$28)</f>
        <v>400</v>
      </c>
      <c r="AK30" s="554">
        <f>sumifs('Form responses'!AT2:AT53,'Form responses'!$C$2:$C53,"&gt;="&amp;$E$28,'Form responses'!$C$2:$C53,"&lt;="&amp;$G$28,'Form responses'!$D$2:$D53,$C$28)</f>
        <v>0</v>
      </c>
      <c r="AL30" s="554">
        <f>sumifs('Form responses'!AU2:AU53,'Form responses'!$C$2:$C53,"&gt;="&amp;$E$28,'Form responses'!$C$2:$C53,"&lt;="&amp;$G$28,'Form responses'!$D$2:$D53,$C$28)</f>
        <v>0</v>
      </c>
      <c r="AM30" s="554">
        <f>sumifs('Form responses'!AV2:AV53,'Form responses'!$C$2:$C53,"&gt;="&amp;$E$28,'Form responses'!$C$2:$C53,"&lt;="&amp;$G$28,'Form responses'!$D$2:$D53,$C$28)</f>
        <v>0</v>
      </c>
      <c r="AN30" s="554">
        <f>sumifs('Form responses'!AW2:AW53,'Form responses'!$C$2:$C53,"&gt;="&amp;$E$28,'Form responses'!$C$2:$C53,"&lt;="&amp;$G$28,'Form responses'!$D$2:$D53,$C$28)</f>
        <v>0</v>
      </c>
      <c r="AO30" s="554">
        <f>sumifs('Form responses'!AX2:AX53,'Form responses'!$C$2:$C53,"&gt;="&amp;$E$28,'Form responses'!$C$2:$C53,"&lt;="&amp;$G$28,'Form responses'!$D$2:$D53,$C$28)</f>
        <v>0</v>
      </c>
      <c r="AP30" s="554">
        <f>sumifs('Form responses'!AY2:AY53,'Form responses'!$C$2:$C53,"&gt;="&amp;$E$28,'Form responses'!$C$2:$C53,"&lt;="&amp;$G$28,'Form responses'!$D$2:$D53,$C$28)</f>
        <v>0</v>
      </c>
      <c r="AQ30" s="554">
        <f>sumifs('Form responses'!BF2:BF53,'Form responses'!$C$2:$C53,"&gt;="&amp;$E$28,'Form responses'!$C$2:$C53,"&lt;="&amp;$G$28,'Form responses'!$D$2:$D53,$C$28)</f>
        <v>0</v>
      </c>
      <c r="AR30" s="554">
        <f>sumifs('Form responses'!BH2:BH53,'Form responses'!$C$2:$C53,"&gt;="&amp;$E$28,'Form responses'!$C$2:$C53,"&lt;="&amp;$G$28,'Form responses'!$D$2:$D53,$C$28)</f>
        <v>0</v>
      </c>
      <c r="AS30" s="554">
        <f>sumifs('Form responses'!BJ2:BJ53,'Form responses'!$C$2:$C53,"&gt;="&amp;$E$28,'Form responses'!$C$2:$C53,"&lt;="&amp;$G$28,'Form responses'!$D$2:$D53,$C$28)</f>
        <v>0</v>
      </c>
      <c r="AT30" s="554">
        <f>sumifs('Form responses'!BL2:BL53,'Form responses'!$C$2:$C53,"&gt;="&amp;$E$28,'Form responses'!$C$2:$C53,"&lt;="&amp;$G$28,'Form responses'!$D$2:$D53,$C$28)</f>
        <v>0</v>
      </c>
      <c r="AU30" s="554">
        <f>sumifs('Form responses'!BG2:BG53,'Form responses'!$C$2:$C53,"&gt;="&amp;$E$28,'Form responses'!$C$2:$C53,"&lt;="&amp;$G$28,'Form responses'!$D$2:$D53,$C$28)</f>
        <v>0</v>
      </c>
      <c r="AV30" s="554">
        <f>sumifs('Form responses'!BI2:BI53,'Form responses'!$C$2:$C53,"&gt;="&amp;$E$28,'Form responses'!$C$2:$C53,"&lt;="&amp;$G$28,'Form responses'!$D$2:$D53,$C$28)</f>
        <v>0</v>
      </c>
      <c r="AW30" s="554">
        <f>sumifs('Form responses'!BK2:BK53,'Form responses'!$C$2:$C53,"&gt;="&amp;$E$28,'Form responses'!$C$2:$C53,"&lt;="&amp;$G$28,'Form responses'!$D$2:$D53,$C$28)</f>
        <v>0</v>
      </c>
      <c r="AX30" s="554">
        <f>sumifs('Form responses'!BM2:BM53,'Form responses'!$C$2:$C53,"&gt;="&amp;$E$28,'Form responses'!$C$2:$C53,"&lt;="&amp;$G$28,'Form responses'!$D$2:$D53,$C$28)</f>
        <v>0</v>
      </c>
      <c r="AY30" s="554">
        <f>sumifs('Form responses'!BN2:BN53,'Form responses'!$C$2:$C53,"&gt;="&amp;$E$28,'Form responses'!$C$2:$C53,"&lt;="&amp;$G$28,'Form responses'!$D$2:$D53,$C$28)</f>
        <v>0</v>
      </c>
      <c r="AZ30" s="554">
        <f>sumifs('Form responses'!BP2:BP53,'Form responses'!$C$2:$C53,"&gt;="&amp;$E$28,'Form responses'!$C$2:$C53,"&lt;="&amp;$G$28,'Form responses'!$D$2:$D53,$C$28)</f>
        <v>0</v>
      </c>
      <c r="BA30" s="554">
        <f>sumifs('Form responses'!BR2:BR53,'Form responses'!$C$2:$C53,"&gt;="&amp;$E$28,'Form responses'!$C$2:$C53,"&lt;="&amp;$G$28,'Form responses'!$D$2:$D53,$C$28)</f>
        <v>0</v>
      </c>
      <c r="BB30" s="554">
        <f>sumifs('Form responses'!CD2:CD53,'Form responses'!$C$2:$C53,"&gt;="&amp;$E$28,'Form responses'!$C$2:$C53,"&lt;="&amp;$G$28,'Form responses'!$D$2:$D53,$C$28)</f>
        <v>0</v>
      </c>
      <c r="BC30" s="554">
        <f>sumifs('Form responses'!BO2:BO53,'Form responses'!$C$2:$C53,"&gt;="&amp;$E$28,'Form responses'!$C$2:$C53,"&lt;="&amp;$G$28,'Form responses'!$D$2:$D53,$C$28)</f>
        <v>0</v>
      </c>
      <c r="BD30" s="554">
        <f>sumifs('Form responses'!BQ2:BQ53,'Form responses'!$C$2:$C53,"&gt;="&amp;$E$28,'Form responses'!$C$2:$C53,"&lt;="&amp;$G$28,'Form responses'!$D$2:$D53,$C$28)</f>
        <v>0</v>
      </c>
      <c r="BE30" s="554">
        <f>sumifs('Form responses'!BS2:BS53,'Form responses'!$C$2:$C53,"&gt;="&amp;$E$28,'Form responses'!$C$2:$C53,"&lt;="&amp;$G$28,'Form responses'!$D$2:$D53,$C$28)</f>
        <v>0</v>
      </c>
      <c r="BF30" s="554">
        <f>sumifs('Form responses'!CE2:CE53,'Form responses'!$C$2:$C53,"&gt;="&amp;$E$28,'Form responses'!$C$2:$C53,"&lt;="&amp;$G$28,'Form responses'!$D$2:$D53,$C$28)</f>
        <v>0</v>
      </c>
      <c r="BG30" s="554">
        <f>sumifs('Form responses'!BC2:BC53,'Form responses'!$C$2:$C53,"&gt;="&amp;$E$28,'Form responses'!$C$2:$C53,"&lt;="&amp;$G$28,'Form responses'!$D$2:$D53,$C$28)</f>
        <v>0</v>
      </c>
      <c r="BH30" s="554">
        <f>sumifs('Form responses'!BD2:BD53,'Form responses'!$C$2:$C53,"&gt;="&amp;$E$28,'Form responses'!$C$2:$C53,"&lt;="&amp;$G$28,'Form responses'!$D$2:$D53,$C$28)</f>
        <v>0</v>
      </c>
      <c r="BI30" s="554">
        <f>sumifs('Form responses'!BZ2:BZ53,'Form responses'!$C$2:$C53,"&gt;="&amp;$E$28,'Form responses'!$C$2:$C53,"&lt;="&amp;$G$28,'Form responses'!$D$2:$D53,$C$28)</f>
        <v>0</v>
      </c>
      <c r="BJ30" s="554">
        <f>sumifs('Form responses'!CB2:CB53,'Form responses'!$C$2:$C53,"&gt;="&amp;$E$28,'Form responses'!$C$2:$C53,"&lt;="&amp;$G$28,'Form responses'!$D$2:$D53,$C$28)</f>
        <v>0</v>
      </c>
      <c r="BK30" s="554">
        <f>sumifs('Form responses'!CA2:CA53,'Form responses'!$C$2:$C53,"&gt;="&amp;$E$28,'Form responses'!$C$2:$C53,"&lt;="&amp;$G$28,'Form responses'!$D$2:$D53,$C$28)</f>
        <v>0</v>
      </c>
      <c r="BL30" s="554">
        <f>sumifs('Form responses'!CC2:CC53,'Form responses'!$C$2:$C53,"&gt;="&amp;$E$28,'Form responses'!$C$2:$C53,"&lt;="&amp;$G$28,'Form responses'!$D$2:$D53,$C$28)</f>
        <v>0</v>
      </c>
      <c r="BM30" s="554">
        <f>sumifs('Form responses'!CH2:CH53,'Form responses'!$C$2:$C53,"&gt;="&amp;$E$28,'Form responses'!$C$2:$C53,"&lt;="&amp;$G$28,'Form responses'!$D$2:$D53,$C$28)</f>
        <v>0</v>
      </c>
      <c r="BN30" s="554">
        <f>sumifs('Form responses'!CI2:CI53,'Form responses'!$C$2:$C53,"&gt;="&amp;$E$28,'Form responses'!$C$2:$C53,"&lt;="&amp;$G$28,'Form responses'!$D$2:$D53,$C$28)</f>
        <v>0</v>
      </c>
      <c r="BO30" s="554">
        <f>sumifs('Form responses'!CJ2:CJ53,'Form responses'!$C$2:$C53,"&gt;="&amp;$E$28,'Form responses'!$C$2:$C53,"&lt;="&amp;$G$28,'Form responses'!$D$2:$D53,$C$28)</f>
        <v>0</v>
      </c>
      <c r="BP30" s="554">
        <f>sumifs('Form responses'!CK2:CK53,'Form responses'!$C$2:$C53,"&gt;="&amp;$E$28,'Form responses'!$C$2:$C53,"&lt;="&amp;$G$28,'Form responses'!$D$2:$D53,$C$28)</f>
        <v>0</v>
      </c>
      <c r="BQ30" s="554">
        <f>sumifs('Form responses'!CL2:CL53,'Form responses'!$C$2:$C53,"&gt;="&amp;$E$28,'Form responses'!$C$2:$C53,"&lt;="&amp;$G$28,'Form responses'!$D$2:$D53,$C$28)</f>
        <v>0</v>
      </c>
      <c r="BR30" s="554">
        <f>sumifs('Form responses'!CM2:CM53,'Form responses'!$C$2:$C53,"&gt;="&amp;$E$28,'Form responses'!$C$2:$C53,"&lt;="&amp;$G$28,'Form responses'!$D$2:$D53,$C$28)</f>
        <v>0</v>
      </c>
      <c r="BS30" s="554">
        <f>sumifs('Form responses'!CN2:CN53,'Form responses'!$C$2:$C53,"&gt;="&amp;$E$28,'Form responses'!$C$2:$C53,"&lt;="&amp;$G$28,'Form responses'!$D$2:$D53,$C$28)</f>
        <v>0</v>
      </c>
      <c r="BT30" s="554">
        <f>sumifs('Form responses'!CO2:CO53,'Form responses'!$C$2:$C53,"&gt;="&amp;$E$28,'Form responses'!$C$2:$C53,"&lt;="&amp;$G$28,'Form responses'!$D$2:$D53,$C$28)</f>
        <v>0</v>
      </c>
      <c r="BU30" s="554">
        <f>sumifs('Form responses'!CP2:CP53,'Form responses'!$C$2:$C53,"&gt;="&amp;$E$28,'Form responses'!$C$2:$C53,"&lt;="&amp;$G$28,'Form responses'!$D$2:$D53,$C$28)</f>
        <v>0</v>
      </c>
      <c r="BV30" s="554">
        <f>sumifs('Form responses'!CQ2:CQ53,'Form responses'!$C$2:$C53,"&gt;="&amp;$E$28,'Form responses'!$C$2:$C53,"&lt;="&amp;$G$28,'Form responses'!$D$2:$D53,$C$28)</f>
        <v>0</v>
      </c>
      <c r="BW30" s="554">
        <f>sumifs('Form responses'!CR2:CR53,'Form responses'!$C$2:$C53,"&gt;="&amp;$E$28,'Form responses'!$C$2:$C53,"&lt;="&amp;$G$28,'Form responses'!$D$2:$D53,$C$28)</f>
        <v>0</v>
      </c>
      <c r="BX30" s="554">
        <f>sumifs('Form responses'!CS2:CS53,'Form responses'!$C$2:$C53,"&gt;="&amp;$E$28,'Form responses'!$C$2:$C53,"&lt;="&amp;$G$28,'Form responses'!$D$2:$D53,$C$28)</f>
        <v>0</v>
      </c>
      <c r="BY30" s="554">
        <f>sumifs('Form responses'!CT2:CT53,'Form responses'!$C$2:$C53,"&gt;="&amp;$E$28,'Form responses'!$C$2:$C53,"&lt;="&amp;$G$28,'Form responses'!$D$2:$D53,$C$28)</f>
        <v>0</v>
      </c>
      <c r="BZ30" s="554">
        <f>sumifs('Form responses'!CU2:CU53,'Form responses'!$C$2:$C53,"&gt;="&amp;$E$28,'Form responses'!$C$2:$C53,"&lt;="&amp;$G$28,'Form responses'!$D$2:$D53,$C$28)</f>
        <v>0</v>
      </c>
      <c r="CA30" s="554">
        <f>sumifs('Form responses'!DF2:DF53,'Form responses'!$C$2:$C53,"&gt;="&amp;$E$28,'Form responses'!$C$2:$C53,"&lt;="&amp;$G$28,'Form responses'!$D$2:$D53,$C$28)</f>
        <v>0</v>
      </c>
      <c r="CB30" s="554">
        <f>sumifs('Form responses'!DG2:DG53,'Form responses'!$C$2:$C53,"&gt;="&amp;$E$28,'Form responses'!$C$2:$C53,"&lt;="&amp;$G$28,'Form responses'!$D$2:$D53,$C$28)</f>
        <v>0</v>
      </c>
      <c r="CC30" s="554">
        <f>sumifs('Form responses'!BA2:BA53,'Form responses'!$C$2:$C53,"&gt;="&amp;$E$28,'Form responses'!$C$2:$C53,"&lt;="&amp;$G$28,'Form responses'!$D$2:$D53,$C$28)</f>
        <v>0</v>
      </c>
      <c r="CD30" s="554">
        <f>sumifs('Form responses'!BB2:BB53,'Form responses'!$C$2:$C53,"&gt;="&amp;$E$28,'Form responses'!$C$2:$C53,"&lt;="&amp;$G$28,'Form responses'!$D$2:$D53,$C$28)</f>
        <v>0</v>
      </c>
      <c r="CE30" s="554">
        <f>sumifs('Form responses'!DB2:DB53,'Form responses'!$C$2:$C53,"&gt;="&amp;$E$28,'Form responses'!$C$2:$C53,"&lt;="&amp;$G$28,'Form responses'!$D$2:$D53,$C$28)</f>
        <v>0</v>
      </c>
      <c r="CF30" s="554">
        <f>sumifs('Form responses'!DC2:DC53,'Form responses'!$C$2:$C53,"&gt;="&amp;$E$28,'Form responses'!$C$2:$C53,"&lt;="&amp;$G$28,'Form responses'!$D$2:$D53,$C$28)</f>
        <v>0</v>
      </c>
      <c r="CG30" s="554">
        <f>sumifs('Form responses'!DD2:DD53,'Form responses'!$C$2:$C53,"&gt;="&amp;$E$28,'Form responses'!$C$2:$C53,"&lt;="&amp;$G$28,'Form responses'!$D$2:$D53,$C$28)</f>
        <v>0</v>
      </c>
      <c r="CH30" s="554">
        <f>sumifs('Form responses'!DE2:DE53,'Form responses'!$C$2:$C53,"&gt;="&amp;$E$28,'Form responses'!$C$2:$C53,"&lt;="&amp;$G$28,'Form responses'!$D$2:$D53,$C$28)</f>
        <v>0</v>
      </c>
      <c r="CI30" s="554">
        <f>sumifs('Form responses'!DL2:DL53,'Form responses'!$C$2:$C53,"&gt;="&amp;$E$28,'Form responses'!$C$2:$C53,"&lt;="&amp;$G$28,'Form responses'!$D$2:$D53,$C$28)</f>
        <v>0</v>
      </c>
      <c r="CJ30" s="554">
        <f>sumifs('Form responses'!DM2:DM53,'Form responses'!$C$2:$C53,"&gt;="&amp;$E$28,'Form responses'!$C$2:$C53,"&lt;="&amp;$G$28,'Form responses'!$D$2:$D53,$C$28)</f>
        <v>0</v>
      </c>
      <c r="CK30" s="554">
        <f>sumifs('Form responses'!DN2:DN53,'Form responses'!$C$2:$C53,"&gt;="&amp;$E$28,'Form responses'!$C$2:$C53,"&lt;="&amp;$G$28,'Form responses'!$D$2:$D53,$C$28)</f>
        <v>0</v>
      </c>
      <c r="CL30" s="554">
        <f>sumifs('Form responses'!DO2:DO53,'Form responses'!$C$2:$C53,"&gt;="&amp;$E$28,'Form responses'!$C$2:$C53,"&lt;="&amp;$G$28,'Form responses'!$D$2:$D53,$C$28)</f>
        <v>0</v>
      </c>
      <c r="CM30" s="554">
        <f>sumifs('Form responses'!DP2:DP53,'Form responses'!$C$2:$C53,"&gt;="&amp;$E$28,'Form responses'!$C$2:$C53,"&lt;="&amp;$G$28,'Form responses'!$D$2:$D53,$C$28)</f>
        <v>0</v>
      </c>
      <c r="CN30" s="554">
        <f>sumifs('Form responses'!DQ2:DQ53,'Form responses'!$C$2:$C53,"&gt;="&amp;$E$28,'Form responses'!$C$2:$C53,"&lt;="&amp;$G$28,'Form responses'!$D$2:$D53,$C$28)</f>
        <v>0</v>
      </c>
      <c r="CO30" s="554">
        <f>sumifs('Form responses'!DR2:DR53,'Form responses'!$C$2:$C53,"&gt;="&amp;$E$28,'Form responses'!$C$2:$C53,"&lt;="&amp;$G$28,'Form responses'!$D$2:$D53,$C$28)</f>
        <v>0</v>
      </c>
      <c r="CP30" s="554">
        <f>sumifs('Form responses'!DS2:DS53,'Form responses'!$C$2:$C53,"&gt;="&amp;$E$28,'Form responses'!$C$2:$C53,"&lt;="&amp;$G$28,'Form responses'!$D$2:$D53,$C$28)</f>
        <v>0</v>
      </c>
      <c r="CQ30" s="554">
        <f>sumifs('Form responses'!DT2:DT53,'Form responses'!$C$2:$C53,"&gt;="&amp;$E$28,'Form responses'!$C$2:$C53,"&lt;="&amp;$G$28,'Form responses'!$D$2:$D53,$C$28)</f>
        <v>0</v>
      </c>
      <c r="CR30" s="554">
        <f>sumifs('Form responses'!DU2:DU53,'Form responses'!$C$2:$C53,"&gt;="&amp;$E$28,'Form responses'!$C$2:$C53,"&lt;="&amp;$G$28,'Form responses'!$D$2:$D53,$C$28)</f>
        <v>0</v>
      </c>
      <c r="CS30" s="554">
        <f>sumifs('Form responses'!DV2:DV53,'Form responses'!$C$2:$C53,"&gt;="&amp;$E$28,'Form responses'!$C$2:$C53,"&lt;="&amp;$G$28,'Form responses'!$D$2:$D53,$C$28)</f>
        <v>0</v>
      </c>
      <c r="CT30" s="554">
        <f>sumifs('Form responses'!DW2:DW53,'Form responses'!$C$2:$C53,"&gt;="&amp;$E$28,'Form responses'!$C$2:$C53,"&lt;="&amp;$G$28,'Form responses'!$D$2:$D53,$C$28)</f>
        <v>0</v>
      </c>
      <c r="CU30" s="554">
        <f>sumifs('Form responses'!DX2:DX53,'Form responses'!$C$2:$C53,"&gt;="&amp;$E$28,'Form responses'!$C$2:$C53,"&lt;="&amp;$G$28,'Form responses'!$D$2:$D53,$C$28)</f>
        <v>0</v>
      </c>
      <c r="CV30" s="554">
        <f>sumifs('Form responses'!DY2:DY53,'Form responses'!$C$2:$C53,"&gt;="&amp;$E$28,'Form responses'!$C$2:$C53,"&lt;="&amp;$G$28,'Form responses'!$D$2:$D53,$C$28)</f>
        <v>0</v>
      </c>
      <c r="CW30" s="554">
        <f>sumifs('Form responses'!EJ2:EJ53,'Form responses'!$C$2:$C53,"&gt;="&amp;$E$28,'Form responses'!$C$2:$C53,"&lt;="&amp;$G$28,'Form responses'!$D$2:$D53,$C$28)</f>
        <v>0</v>
      </c>
      <c r="CX30" s="554">
        <f>sumifs('Form responses'!EK2:EK53,'Form responses'!$C$2:$C53,"&gt;="&amp;$E$28,'Form responses'!$C$2:$C53,"&lt;="&amp;$G$28,'Form responses'!$D$2:$D53,$C$28)</f>
        <v>0</v>
      </c>
      <c r="CY30" s="554">
        <f>sumifs('Form responses'!EN2:EN53,'Form responses'!$C$2:$C53,"&gt;="&amp;$E$28,'Form responses'!$C$2:$C53,"&lt;="&amp;$G$28,'Form responses'!$D$2:$D53,$C$28)</f>
        <v>0</v>
      </c>
      <c r="CZ30" s="554">
        <f>sumifs('Form responses'!EO2:EO53,'Form responses'!$C$2:$C53,"&gt;="&amp;$E$28,'Form responses'!$C$2:$C53,"&lt;="&amp;$G$28,'Form responses'!$D$2:$D53,$C$28)</f>
        <v>0</v>
      </c>
      <c r="DA30" s="554">
        <f>sumifs('Form responses'!EF2:EF53,'Form responses'!$C$2:$C53,"&gt;="&amp;$E$28,'Form responses'!$C$2:$C53,"&lt;="&amp;$G$28,'Form responses'!$D$2:$D53,$C$28)</f>
        <v>0</v>
      </c>
      <c r="DB30" s="554">
        <f>sumifs('Form responses'!EG2:EG53,'Form responses'!$C$2:$C53,"&gt;="&amp;$E$28,'Form responses'!$C$2:$C53,"&lt;="&amp;$G$28,'Form responses'!$D$2:$D53,$C$28)</f>
        <v>0</v>
      </c>
      <c r="DC30" s="554">
        <f>sumifs('Form responses'!EH2:EH53,'Form responses'!$C$2:$C53,"&gt;="&amp;$E$28,'Form responses'!$C$2:$C53,"&lt;="&amp;$G$28,'Form responses'!$D$2:$D53,$C$28)</f>
        <v>0</v>
      </c>
      <c r="DD30" s="554">
        <f>sumifs('Form responses'!EI2:EI53,'Form responses'!$C$2:$C53,"&gt;="&amp;$E$28,'Form responses'!$C$2:$C53,"&lt;="&amp;$G$28,'Form responses'!$D$2:$D53,$C$28)</f>
        <v>0</v>
      </c>
      <c r="DE30" s="554">
        <f>sumifs('Form responses'!FX2:FX53,'Form responses'!$C$2:$C53,"&gt;="&amp;$E$28,'Form responses'!$C$2:$C53,"&lt;="&amp;$G$28,'Form responses'!$D$2:$D53,$C$28)</f>
        <v>0</v>
      </c>
      <c r="DF30" s="554">
        <f>sumifs('Form responses'!FY2:FY53,'Form responses'!$C$2:$C53,"&gt;="&amp;$E$28,'Form responses'!$C$2:$C53,"&lt;="&amp;$G$28,'Form responses'!$D$2:$D53,$C$28)</f>
        <v>0</v>
      </c>
      <c r="DG30" s="554">
        <f>sumifs('Form responses'!FZ2:FZ53,'Form responses'!$C$2:$C53,"&gt;="&amp;$E$28,'Form responses'!$C$2:$C53,"&lt;="&amp;$G$28,'Form responses'!$D$2:$D53,$C$28)</f>
        <v>0</v>
      </c>
      <c r="DH30" s="554">
        <f>sumifs('Form responses'!GA2:GA53,'Form responses'!$C$2:$C53,"&gt;="&amp;$E$28,'Form responses'!$C$2:$C53,"&lt;="&amp;$G$28,'Form responses'!$D$2:$D53,$C$28)</f>
        <v>0</v>
      </c>
      <c r="DI30" s="554">
        <f>sumifs('Form responses'!GB2:GB53,'Form responses'!$C$2:$C53,"&gt;="&amp;$E$28,'Form responses'!$C$2:$C53,"&lt;="&amp;$G$28,'Form responses'!$D$2:$D53,$C$28)</f>
        <v>0</v>
      </c>
      <c r="DJ30" s="554">
        <f>sumifs('Form responses'!GC2:GC53,'Form responses'!$C$2:$C53,"&gt;="&amp;$E$28,'Form responses'!$C$2:$C53,"&lt;="&amp;$G$28,'Form responses'!$D$2:$D53,$C$28)</f>
        <v>0</v>
      </c>
      <c r="DK30" s="554">
        <f>sumifs('Form responses'!GL2:GL53,'Form responses'!$C$2:$C53,"&gt;="&amp;$E$28,'Form responses'!$C$2:$C53,"&lt;="&amp;$G$28,'Form responses'!$D$2:$D53,$C$28)</f>
        <v>0</v>
      </c>
      <c r="DL30" s="554">
        <f>sumifs('Form responses'!AC2:AC53,'Form responses'!$C$2:$C53,"&gt;="&amp;$E$28,'Form responses'!$C$2:$C53,"&lt;="&amp;$G$28,'Form responses'!$D$2:$D53,$C$28)</f>
        <v>0</v>
      </c>
      <c r="DM30" s="554">
        <f>sumifs('Form responses'!AD2:AD53,'Form responses'!$C$2:$C53,"&gt;="&amp;$E$28,'Form responses'!$C$2:$C53,"&lt;="&amp;$G$28,'Form responses'!$D$2:$D53,$C$28)</f>
        <v>0</v>
      </c>
      <c r="DN30" s="554">
        <f>sumifs('Form responses'!GH2:GH53,'Form responses'!$C$2:$C53,"&gt;="&amp;$E$28,'Form responses'!$C$2:$C53,"&lt;="&amp;$G$28,'Form responses'!$D$2:$D53,$C$28)</f>
        <v>0</v>
      </c>
      <c r="DO30" s="554">
        <f>sumifs('Form responses'!GI2:GI53,'Form responses'!$C$2:$C53,"&gt;="&amp;$E$28,'Form responses'!$C$2:$C53,"&lt;="&amp;$G$28,'Form responses'!$D$2:$D53,$C$28)</f>
        <v>0</v>
      </c>
      <c r="DP30" s="554">
        <f>sumifs('Form responses'!FH2:FH53,'Form responses'!$C$2:$C53,"&gt;="&amp;$E$28,'Form responses'!$C$2:$C53,"&lt;="&amp;$G$28,'Form responses'!$D$2:$D53,$C$28)</f>
        <v>0</v>
      </c>
      <c r="DQ30" s="554">
        <f>sumifs('Form responses'!FI2:FI53,'Form responses'!$C$2:$C53,"&gt;="&amp;$E$28,'Form responses'!$C$2:$C53,"&lt;="&amp;$G$28,'Form responses'!$D$2:$D53,$C$28)</f>
        <v>0</v>
      </c>
      <c r="DR30" s="554">
        <f>sumifs('Form responses'!FJ2:FJ53,'Form responses'!$C$2:$C53,"&gt;="&amp;$E$28,'Form responses'!$C$2:$C53,"&lt;="&amp;$G$28,'Form responses'!$D$2:$D53,$C$28)</f>
        <v>0</v>
      </c>
      <c r="DS30" s="554">
        <f>sumifs('Form responses'!FK2:FK53,'Form responses'!$C$2:$C53,"&gt;="&amp;$E$28,'Form responses'!$C$2:$C53,"&lt;="&amp;$G$28,'Form responses'!$D$2:$D53,$C$28)</f>
        <v>0</v>
      </c>
      <c r="DT30" s="554">
        <f>sumifs('Form responses'!FL2:FL53,'Form responses'!$C$2:$C53,"&gt;="&amp;$E$28,'Form responses'!$C$2:$C53,"&lt;="&amp;$G$28,'Form responses'!$D$2:$D53,$C$28)</f>
        <v>0</v>
      </c>
      <c r="DU30" s="554">
        <f>sumifs('Form responses'!FM2:FM53,'Form responses'!$C$2:$C53,"&gt;="&amp;$E$28,'Form responses'!$C$2:$C53,"&lt;="&amp;$G$28,'Form responses'!$D$2:$D53,$C$28)</f>
        <v>0</v>
      </c>
      <c r="DV30" s="554">
        <f>sumifs('Form responses'!FN2:FN53,'Form responses'!$C$2:$C53,"&gt;="&amp;$E$28,'Form responses'!$C$2:$C53,"&lt;="&amp;$G$28,'Form responses'!$D$2:$D53,$C$28)</f>
        <v>0</v>
      </c>
      <c r="DW30" s="554">
        <f>sumifs('Form responses'!FT2:FT53,'Form responses'!$C$2:$C53,"&gt;="&amp;$E$28,'Form responses'!$C$2:$C53,"&lt;="&amp;$G$28,'Form responses'!$D$2:$D53,$C$28)</f>
        <v>0</v>
      </c>
      <c r="DX30" s="554">
        <f>sumifs('Form responses'!FV2:FV53,'Form responses'!$C$2:$C53,"&gt;="&amp;$E$28,'Form responses'!$C$2:$C53,"&lt;="&amp;$G$28,'Form responses'!$D$2:$D53,$C$28)</f>
        <v>0</v>
      </c>
      <c r="DY30" s="554">
        <f>sumifs('Form responses'!FR2:FR53,'Form responses'!$C$2:$C53,"&gt;="&amp;$E$28,'Form responses'!$C$2:$C53,"&lt;="&amp;$G$28,'Form responses'!$D$2:$D53,$C$28)</f>
        <v>0</v>
      </c>
      <c r="DZ30" s="554">
        <f>sumifs('Form responses'!FS2:FS53,'Form responses'!$C$2:$C53,"&gt;="&amp;$E$28,'Form responses'!$C$2:$C53,"&lt;="&amp;$G$28,'Form responses'!$D$2:$D53,$C$28)</f>
        <v>0</v>
      </c>
      <c r="EA30" s="554">
        <f>sumifs('Form responses'!ER2:ER53,'Form responses'!$C$2:$C53,"&gt;="&amp;$E$28,'Form responses'!$C$2:$C53,"&lt;="&amp;$G$28,'Form responses'!$D$2:$D53,$C$28)</f>
        <v>0</v>
      </c>
      <c r="EB30" s="554">
        <f>sumifs('Form responses'!ES2:ES53,'Form responses'!$C$2:$C53,"&gt;="&amp;$E$28,'Form responses'!$C$2:$C53,"&lt;="&amp;$G$28,'Form responses'!$D$2:$D53,$C$28)</f>
        <v>0</v>
      </c>
      <c r="EC30" s="554">
        <f>sumifs('Form responses'!ET2:ET53,'Form responses'!$C$2:$C53,"&gt;="&amp;$E$28,'Form responses'!$C$2:$C53,"&lt;="&amp;$G$28,'Form responses'!$D$2:$D53,$C$28)</f>
        <v>0</v>
      </c>
      <c r="ED30" s="554">
        <f>sumifs('Form responses'!EU2:EU53,'Form responses'!$C$2:$C53,"&gt;="&amp;$E$28,'Form responses'!$C$2:$C53,"&lt;="&amp;$G$28,'Form responses'!$D$2:$D53,$C$28)</f>
        <v>0</v>
      </c>
      <c r="EE30" s="554">
        <f>sumifs('Form responses'!EV2:EV53,'Form responses'!$C$2:$C53,"&gt;="&amp;$E$28,'Form responses'!$C$2:$C53,"&lt;="&amp;$G$28,'Form responses'!$D$2:$D53,$C$28)</f>
        <v>0</v>
      </c>
      <c r="EF30" s="554">
        <f>sumifs('Form responses'!EW2:EW53,'Form responses'!$C$2:$C53,"&gt;="&amp;$E$28,'Form responses'!$C$2:$C53,"&lt;="&amp;$G$28,'Form responses'!$D$2:$D53,$C$28)</f>
        <v>0</v>
      </c>
      <c r="EG30" s="554">
        <f>sumifs('Form responses'!EX2:EX53,'Form responses'!$C$2:$C53,"&gt;="&amp;$E$28,'Form responses'!$C$2:$C53,"&lt;="&amp;$G$28,'Form responses'!$D$2:$D53,$C$28)</f>
        <v>0</v>
      </c>
      <c r="EH30" s="554">
        <f>sumifs('Form responses'!FD2:FD53,'Form responses'!$C$2:$C53,"&gt;="&amp;$E$28,'Form responses'!$C$2:$C53,"&lt;="&amp;$G$28,'Form responses'!$D$2:$D53,$C$28)</f>
        <v>0</v>
      </c>
      <c r="EI30" s="554">
        <f>sumifs('Form responses'!FF2:FF53,'Form responses'!$C$2:$C53,"&gt;="&amp;$E$28,'Form responses'!$C$2:$C53,"&lt;="&amp;$G$28,'Form responses'!$D$2:$D53,$C$28)</f>
        <v>0</v>
      </c>
      <c r="EJ30" s="554">
        <f>sumifs('Form responses'!FB2:FB53,'Form responses'!$C$2:$C53,"&gt;="&amp;$E$28,'Form responses'!$C$2:$C53,"&lt;="&amp;$G$28,'Form responses'!$D$2:$D53,$C$28)</f>
        <v>0</v>
      </c>
      <c r="EK30" s="554">
        <f>sumifs('Form responses'!FC2:FC53,'Form responses'!$C$2:$C53,"&gt;="&amp;$E$28,'Form responses'!$C$2:$C53,"&lt;="&amp;$G$28,'Form responses'!$D$2:$D53,$C$28)</f>
        <v>0</v>
      </c>
    </row>
    <row r="31">
      <c r="A31" s="7" t="s">
        <v>946</v>
      </c>
      <c r="B31" s="555">
        <f>sumifs('Form responses'!I2:I53,'Form responses'!$C$2:$C53,"&lt;="&amp;$G$28,'Form responses'!$C$2:$C53,"&gt;="&amp;Date(YEAR(DATE(YEAR($G$28),MONTH($G$28)+(-3),1)),4,1),'Form responses'!$D$2:$D53,$C$28)</f>
        <v>0</v>
      </c>
      <c r="C31" s="555">
        <f>sumifs('Form responses'!J2:J53,'Form responses'!$C$2:$C53,"&lt;="&amp;$G$28,'Form responses'!$C$2:$C53,"&gt;="&amp;Date(YEAR(DATE(YEAR($G$28),MONTH($G$28)+(-3),1)),4,1),'Form responses'!$D$2:$D53,$C$28)</f>
        <v>40</v>
      </c>
      <c r="D31" s="555">
        <f>sumifs('Form responses'!K2:K53,'Form responses'!$C$2:$C53,"&lt;="&amp;$G$28,'Form responses'!$C$2:$C53,"&gt;="&amp;Date(YEAR(DATE(YEAR($G$28),MONTH($G$28)+(-3),1)),4,1),'Form responses'!$D$2:$D53,$C$28)</f>
        <v>0</v>
      </c>
      <c r="E31" s="555">
        <f>sumifs('Form responses'!L2:L53,'Form responses'!$C$2:$C53,"&lt;="&amp;$G$28,'Form responses'!$C$2:$C53,"&gt;="&amp;Date(YEAR(DATE(YEAR($G$28),MONTH($G$28)+(-3),1)),4,1),'Form responses'!$D$2:$D53,$C$28)</f>
        <v>0</v>
      </c>
      <c r="F31" s="555">
        <f>sumifs('Form responses'!M2:M53,'Form responses'!$C$2:$C53,"&lt;="&amp;$G$28,'Form responses'!$C$2:$C53,"&gt;="&amp;Date(YEAR(DATE(YEAR($G$28),MONTH($G$28)+(-3),1)),4,1),'Form responses'!$D$2:$D53,$C$28)</f>
        <v>0</v>
      </c>
      <c r="G31" s="555">
        <f>sumifs('Form responses'!N2:N53,'Form responses'!$C$2:$C53,"&lt;="&amp;$G$28,'Form responses'!$C$2:$C53,"&gt;="&amp;Date(YEAR(DATE(YEAR($G$28),MONTH($G$28)+(-3),1)),4,1),'Form responses'!$D$2:$D53,$C$28)</f>
        <v>40</v>
      </c>
      <c r="H31" s="555">
        <f>sumifs('Form responses'!O2:O53,'Form responses'!$C$2:$C53,"&lt;="&amp;$G$28,'Form responses'!$C$2:$C53,"&gt;="&amp;Date(YEAR(DATE(YEAR($G$28),MONTH($G$28)+(-3),1)),4,1),'Form responses'!$D$2:$D53,$C$28)</f>
        <v>0</v>
      </c>
      <c r="I31" s="555">
        <f>sumifs('Form responses'!P2:P53,'Form responses'!$C$2:$C53,"&lt;="&amp;$G$28,'Form responses'!$C$2:$C53,"&gt;="&amp;Date(YEAR(DATE(YEAR($G$28),MONTH($G$28)+(-3),1)),4,1),'Form responses'!$D$2:$D53,$C$28)</f>
        <v>0</v>
      </c>
      <c r="J31" s="555">
        <f>sumifs('Form responses'!Q2:Q53,'Form responses'!$C$2:$C53,"&lt;="&amp;$G$28,'Form responses'!$C$2:$C53,"&gt;="&amp;Date(YEAR(DATE(YEAR($G$28),MONTH($G$28)+(-3),1)),4,1),'Form responses'!$D$2:$D53,$C$28)</f>
        <v>0</v>
      </c>
      <c r="K31" s="555">
        <f>sumifs('Form responses'!R2:R53,'Form responses'!$C$2:$C53,"&lt;="&amp;$G$28,'Form responses'!$C$2:$C53,"&gt;="&amp;Date(YEAR(DATE(YEAR($G$28),MONTH($G$28)+(-3),1)),4,1),'Form responses'!$D$2:$D53,$C$28)</f>
        <v>0</v>
      </c>
      <c r="L31" s="555">
        <f>sumifs('Form responses'!S2:S53,'Form responses'!$C$2:$C53,"&lt;="&amp;$G$28,'Form responses'!$C$2:$C53,"&gt;="&amp;Date(YEAR(DATE(YEAR($G$28),MONTH($G$28)+(-3),1)),4,1),'Form responses'!$D$2:$D53,$C$28)</f>
        <v>0</v>
      </c>
      <c r="M31" s="555">
        <f>sumifs('Form responses'!T2:T53,'Form responses'!$C$2:$C53,"&lt;="&amp;$G$28,'Form responses'!$C$2:$C53,"&gt;="&amp;Date(YEAR(DATE(YEAR($G$28),MONTH($G$28)+(-3),1)),4,1),'Form responses'!$D$2:$D53,$C$28)</f>
        <v>0</v>
      </c>
      <c r="N31" s="555">
        <f>sumifs('Form responses'!U2:U53,'Form responses'!$C$2:$C53,"&lt;="&amp;$G$28,'Form responses'!$C$2:$C53,"&gt;="&amp;Date(YEAR(DATE(YEAR($G$28),MONTH($G$28)+(-3),1)),4,1),'Form responses'!$D$2:$D53,$C$28)</f>
        <v>0</v>
      </c>
      <c r="O31" s="555">
        <f>sumifs('Form responses'!V2:V53,'Form responses'!$C$2:$C53,"&lt;="&amp;$G$28,'Form responses'!$C$2:$C53,"&gt;="&amp;Date(YEAR(DATE(YEAR($G$28),MONTH($G$28)+(-3),1)),4,1),'Form responses'!$D$2:$D53,$C$28)</f>
        <v>0</v>
      </c>
      <c r="P31" s="555">
        <f>sumifs('Form responses'!W2:W53,'Form responses'!$C$2:$C53,"&lt;="&amp;$G$28,'Form responses'!$C$2:$C53,"&gt;="&amp;Date(YEAR(DATE(YEAR($G$28),MONTH($G$28)+(-3),1)),4,1),'Form responses'!$D$2:$D53,$C$28)</f>
        <v>0</v>
      </c>
      <c r="Q31" s="555">
        <f>sumifs('Form responses'!X2:X53,'Form responses'!$C$2:$C53,"&lt;="&amp;$G$28,'Form responses'!$C$2:$C53,"&gt;="&amp;Date(YEAR(DATE(YEAR($G$28),MONTH($G$28)+(-3),1)),4,1),'Form responses'!$D$2:$D53,$C$28)</f>
        <v>0</v>
      </c>
      <c r="R31" s="555">
        <f>sumifs('Form responses'!Y2:Y53,'Form responses'!$C$2:$C53,"&lt;="&amp;$G$28,'Form responses'!$C$2:$C53,"&gt;="&amp;Date(YEAR(DATE(YEAR($G$28),MONTH($G$28)+(-3),1)),4,1),'Form responses'!$D$2:$D53,$C$28)</f>
        <v>0</v>
      </c>
      <c r="S31" s="555">
        <f>sumifs('Form responses'!Z2:Z53,'Form responses'!$C$2:$C53,"&lt;="&amp;$G$28,'Form responses'!$C$2:$C53,"&gt;="&amp;Date(YEAR(DATE(YEAR($G$28),MONTH($G$28)+(-3),1)),4,1),'Form responses'!$D$2:$D53,$C$28)</f>
        <v>0</v>
      </c>
      <c r="T31" s="555">
        <f>sumifs('Form responses'!AA2:AA53,'Form responses'!$C$2:$C53,"&lt;="&amp;$G$28,'Form responses'!$C$2:$C53,"&gt;="&amp;Date(YEAR(DATE(YEAR($G$28),MONTH($G$28)+(-3),1)),4,1),'Form responses'!$D$2:$D53,$C$28)</f>
        <v>0</v>
      </c>
      <c r="U31" s="555">
        <f>sumifs('Form responses'!AB2:AB53,'Form responses'!$C$2:$C53,"&lt;="&amp;$G$28,'Form responses'!$C$2:$C53,"&gt;="&amp;Date(YEAR(DATE(YEAR($G$28),MONTH($G$28)+(-3),1)),4,1),'Form responses'!$D$2:$D53,$C$28)</f>
        <v>0</v>
      </c>
      <c r="V31" s="555">
        <f>sumifs('Form responses'!AE2:AE53,'Form responses'!$C$2:$C53,"&lt;="&amp;$G$28,'Form responses'!$C$2:$C53,"&gt;="&amp;Date(YEAR(DATE(YEAR($G$28),MONTH($G$28)+(-3),1)),4,1),'Form responses'!$D$2:$D53,$C$28)</f>
        <v>0</v>
      </c>
      <c r="W31" s="555">
        <f>sumifs('Form responses'!AF2:AF53,'Form responses'!$C$2:$C53,"&lt;="&amp;$G$28,'Form responses'!$C$2:$C53,"&gt;="&amp;Date(YEAR(DATE(YEAR($G$28),MONTH($G$28)+(-3),1)),4,1),'Form responses'!$D$2:$D53,$C$28)</f>
        <v>0</v>
      </c>
      <c r="X31" s="555">
        <f>sumifs('Form responses'!AG2:AG53,'Form responses'!$C$2:$C53,"&lt;="&amp;$G$28,'Form responses'!$C$2:$C53,"&gt;="&amp;Date(YEAR(DATE(YEAR($G$28),MONTH($G$28)+(-3),1)),4,1),'Form responses'!$D$2:$D53,$C$28)</f>
        <v>0</v>
      </c>
      <c r="Y31" s="555">
        <f>sumifs('Form responses'!AH2:AH53,'Form responses'!$C$2:$C53,"&lt;="&amp;$G$28,'Form responses'!$C$2:$C53,"&gt;="&amp;Date(YEAR(DATE(YEAR($G$28),MONTH($G$28)+(-3),1)),4,1),'Form responses'!$D$2:$D53,$C$28)</f>
        <v>0</v>
      </c>
      <c r="Z31" s="555">
        <f>sumifs('Form responses'!AI2:AI53,'Form responses'!$C$2:$C53,"&lt;="&amp;$G$28,'Form responses'!$C$2:$C53,"&gt;="&amp;Date(YEAR(DATE(YEAR($G$28),MONTH($G$28)+(-3),1)),4,1),'Form responses'!$D$2:$D53,$C$28)</f>
        <v>1300</v>
      </c>
      <c r="AA31" s="555">
        <f>sumifs('Form responses'!AJ2:AJ53,'Form responses'!$C$2:$C53,"&lt;="&amp;$G$28,'Form responses'!$C$2:$C53,"&gt;="&amp;Date(YEAR(DATE(YEAR($G$28),MONTH($G$28)+(-3),1)),4,1),'Form responses'!$D$2:$D53,$C$28)</f>
        <v>1300</v>
      </c>
      <c r="AB31" s="555">
        <f>sumifs('Form responses'!AK2:AK53,'Form responses'!$C$2:$C53,"&lt;="&amp;$G$28,'Form responses'!$C$2:$C53,"&gt;="&amp;Date(YEAR(DATE(YEAR($G$28),MONTH($G$28)+(-3),1)),4,1),'Form responses'!$D$2:$D53,$C$28)</f>
        <v>50</v>
      </c>
      <c r="AC31" s="555">
        <f>sumifs('Form responses'!AL2:AL53,'Form responses'!$C$2:$C53,"&lt;="&amp;$G$28,'Form responses'!$C$2:$C53,"&gt;="&amp;Date(YEAR(DATE(YEAR($G$28),MONTH($G$28)+(-3),1)),4,1),'Form responses'!$D$2:$D53,$C$28)</f>
        <v>50</v>
      </c>
      <c r="AD31" s="555">
        <f>sumifs('Form responses'!AM2:AM53,'Form responses'!$C$2:$C53,"&lt;="&amp;$G$28,'Form responses'!$C$2:$C53,"&gt;="&amp;Date(YEAR(DATE(YEAR($G$28),MONTH($G$28)+(-3),1)),4,1),'Form responses'!$D$2:$D53,$C$28)</f>
        <v>50</v>
      </c>
      <c r="AE31" s="555">
        <f>sumifs('Form responses'!AN2:AN53,'Form responses'!$C$2:$C53,"&lt;="&amp;$G$28,'Form responses'!$C$2:$C53,"&gt;="&amp;Date(YEAR(DATE(YEAR($G$28),MONTH($G$28)+(-3),1)),4,1),'Form responses'!$D$2:$D53,$C$28)</f>
        <v>0</v>
      </c>
      <c r="AF31" s="555">
        <f>sumifs('Form responses'!AO2:AO53,'Form responses'!$C$2:$C53,"&lt;="&amp;$G$28,'Form responses'!$C$2:$C53,"&gt;="&amp;Date(YEAR(DATE(YEAR($G$28),MONTH($G$28)+(-3),1)),4,1),'Form responses'!$D$2:$D53,$C$28)</f>
        <v>0</v>
      </c>
      <c r="AG31" s="555">
        <f>sumifs('Form responses'!AP2:AP53,'Form responses'!$C$2:$C53,"&lt;="&amp;$G$28,'Form responses'!$C$2:$C53,"&gt;="&amp;Date(YEAR(DATE(YEAR($G$28),MONTH($G$28)+(-3),1)),4,1),'Form responses'!$D$2:$D53,$C$28)</f>
        <v>0</v>
      </c>
      <c r="AH31" s="555">
        <f>sumifs('Form responses'!AQ2:AQ53,'Form responses'!$C$2:$C53,"&lt;="&amp;$G$28,'Form responses'!$C$2:$C53,"&gt;="&amp;Date(YEAR(DATE(YEAR($G$28),MONTH($G$28)+(-3),1)),4,1),'Form responses'!$D$2:$D53,$C$28)</f>
        <v>400</v>
      </c>
      <c r="AI31" s="555">
        <f>sumifs('Form responses'!AR2:AR53,'Form responses'!$C$2:$C53,"&lt;="&amp;$G$28,'Form responses'!$C$2:$C53,"&gt;="&amp;Date(YEAR(DATE(YEAR($G$28),MONTH($G$28)+(-3),1)),4,1),'Form responses'!$D$2:$D53,$C$28)</f>
        <v>400</v>
      </c>
      <c r="AJ31" s="555">
        <f>sumifs('Form responses'!AS2:AS53,'Form responses'!$C$2:$C53,"&lt;="&amp;$G$28,'Form responses'!$C$2:$C53,"&gt;="&amp;Date(YEAR(DATE(YEAR($G$28),MONTH($G$28)+(-3),1)),4,1),'Form responses'!$D$2:$D53,$C$28)</f>
        <v>400</v>
      </c>
      <c r="AK31" s="555">
        <f>sumifs('Form responses'!AT2:AT53,'Form responses'!$C$2:$C53,"&lt;="&amp;$G$28,'Form responses'!$C$2:$C53,"&gt;="&amp;Date(YEAR(DATE(YEAR($G$28),MONTH($G$28)+(-3),1)),4,1),'Form responses'!$D$2:$D53,$C$28)</f>
        <v>0</v>
      </c>
      <c r="AL31" s="555">
        <f>sumifs('Form responses'!AU2:AU53,'Form responses'!$C$2:$C53,"&lt;="&amp;$G$28,'Form responses'!$C$2:$C53,"&gt;="&amp;Date(YEAR(DATE(YEAR($G$28),MONTH($G$28)+(-3),1)),4,1),'Form responses'!$D$2:$D53,$C$28)</f>
        <v>0</v>
      </c>
      <c r="AM31" s="555">
        <f>sumifs('Form responses'!AV2:AV53,'Form responses'!$C$2:$C53,"&lt;="&amp;$G$28,'Form responses'!$C$2:$C53,"&gt;="&amp;Date(YEAR(DATE(YEAR($G$28),MONTH($G$28)+(-3),1)),4,1),'Form responses'!$D$2:$D53,$C$28)</f>
        <v>0</v>
      </c>
      <c r="AN31" s="555">
        <f>sumifs('Form responses'!AW2:AW53,'Form responses'!$C$2:$C53,"&lt;="&amp;$G$28,'Form responses'!$C$2:$C53,"&gt;="&amp;Date(YEAR(DATE(YEAR($G$28),MONTH($G$28)+(-3),1)),4,1),'Form responses'!$D$2:$D53,$C$28)</f>
        <v>0</v>
      </c>
      <c r="AO31" s="555">
        <f>sumifs('Form responses'!AX2:AX53,'Form responses'!$C$2:$C53,"&lt;="&amp;$G$28,'Form responses'!$C$2:$C53,"&gt;="&amp;Date(YEAR(DATE(YEAR($G$28),MONTH($G$28)+(-3),1)),4,1),'Form responses'!$D$2:$D53,$C$28)</f>
        <v>0</v>
      </c>
      <c r="AP31" s="555">
        <f>sumifs('Form responses'!AY2:AY53,'Form responses'!$C$2:$C53,"&lt;="&amp;$G$28,'Form responses'!$C$2:$C53,"&gt;="&amp;Date(YEAR(DATE(YEAR($G$28),MONTH($G$28)+(-3),1)),4,1),'Form responses'!$D$2:$D53,$C$28)</f>
        <v>0</v>
      </c>
      <c r="AQ31" s="555">
        <f>sumifs('Form responses'!BF2:BF53,'Form responses'!$C$2:$C53,"&lt;="&amp;$G$28,'Form responses'!$C$2:$C53,"&gt;="&amp;Date(YEAR(DATE(YEAR($G$28),MONTH($G$28)+(-3),1)),4,1),'Form responses'!$D$2:$D53,$C$28)</f>
        <v>0</v>
      </c>
      <c r="AR31" s="555">
        <f>sumifs('Form responses'!BH2:BH53,'Form responses'!$C$2:$C53,"&lt;="&amp;$G$28,'Form responses'!$C$2:$C53,"&gt;="&amp;Date(YEAR(DATE(YEAR($G$28),MONTH($G$28)+(-3),1)),4,1),'Form responses'!$D$2:$D53,$C$28)</f>
        <v>0</v>
      </c>
      <c r="AS31" s="555">
        <f>sumifs('Form responses'!BJ2:BJ53,'Form responses'!$C$2:$C53,"&lt;="&amp;$G$28,'Form responses'!$C$2:$C53,"&gt;="&amp;Date(YEAR(DATE(YEAR($G$28),MONTH($G$28)+(-3),1)),4,1),'Form responses'!$D$2:$D53,$C$28)</f>
        <v>0</v>
      </c>
      <c r="AT31" s="555">
        <f>sumifs('Form responses'!BL2:BL53,'Form responses'!$C$2:$C53,"&lt;="&amp;$G$28,'Form responses'!$C$2:$C53,"&gt;="&amp;Date(YEAR(DATE(YEAR($G$28),MONTH($G$28)+(-3),1)),4,1),'Form responses'!$D$2:$D53,$C$28)</f>
        <v>0</v>
      </c>
      <c r="AU31" s="555">
        <f>sumifs('Form responses'!BG2:BG53,'Form responses'!$C$2:$C53,"&lt;="&amp;$G$28,'Form responses'!$C$2:$C53,"&gt;="&amp;Date(YEAR(DATE(YEAR($G$28),MONTH($G$28)+(-3),1)),4,1),'Form responses'!$D$2:$D53,$C$28)</f>
        <v>0</v>
      </c>
      <c r="AV31" s="555">
        <f>sumifs('Form responses'!BI2:BI53,'Form responses'!$C$2:$C53,"&lt;="&amp;$G$28,'Form responses'!$C$2:$C53,"&gt;="&amp;Date(YEAR(DATE(YEAR($G$28),MONTH($G$28)+(-3),1)),4,1),'Form responses'!$D$2:$D53,$C$28)</f>
        <v>0</v>
      </c>
      <c r="AW31" s="555">
        <f>sumifs('Form responses'!BK2:BK53,'Form responses'!$C$2:$C53,"&lt;="&amp;$G$28,'Form responses'!$C$2:$C53,"&gt;="&amp;Date(YEAR(DATE(YEAR($G$28),MONTH($G$28)+(-3),1)),4,1),'Form responses'!$D$2:$D53,$C$28)</f>
        <v>0</v>
      </c>
      <c r="AX31" s="555">
        <f>sumifs('Form responses'!BM2:BM53,'Form responses'!$C$2:$C53,"&lt;="&amp;$G$28,'Form responses'!$C$2:$C53,"&gt;="&amp;Date(YEAR(DATE(YEAR($G$28),MONTH($G$28)+(-3),1)),4,1),'Form responses'!$D$2:$D53,$C$28)</f>
        <v>0</v>
      </c>
      <c r="AY31" s="555">
        <f>sumifs('Form responses'!BN2:BN53,'Form responses'!$C$2:$C53,"&lt;="&amp;$G$28,'Form responses'!$C$2:$C53,"&gt;="&amp;Date(YEAR(DATE(YEAR($G$28),MONTH($G$28)+(-3),1)),4,1),'Form responses'!$D$2:$D53,$C$28)</f>
        <v>0</v>
      </c>
      <c r="AZ31" s="555">
        <f>sumifs('Form responses'!BP2:BP53,'Form responses'!$C$2:$C53,"&lt;="&amp;$G$28,'Form responses'!$C$2:$C53,"&gt;="&amp;Date(YEAR(DATE(YEAR($G$28),MONTH($G$28)+(-3),1)),4,1),'Form responses'!$D$2:$D53,$C$28)</f>
        <v>0</v>
      </c>
      <c r="BA31" s="555">
        <f>sumifs('Form responses'!BR2:BR53,'Form responses'!$C$2:$C53,"&lt;="&amp;$G$28,'Form responses'!$C$2:$C53,"&gt;="&amp;Date(YEAR(DATE(YEAR($G$28),MONTH($G$28)+(-3),1)),4,1),'Form responses'!$D$2:$D53,$C$28)</f>
        <v>0</v>
      </c>
      <c r="BB31" s="555">
        <f>sumifs('Form responses'!CD2:CD53,'Form responses'!$C$2:$C53,"&lt;="&amp;$G$28,'Form responses'!$C$2:$C53,"&gt;="&amp;Date(YEAR(DATE(YEAR($G$28),MONTH($G$28)+(-3),1)),4,1),'Form responses'!$D$2:$D53,$C$28)</f>
        <v>0</v>
      </c>
      <c r="BC31" s="555">
        <f>sumifs('Form responses'!BO2:BO53,'Form responses'!$C$2:$C53,"&lt;="&amp;$G$28,'Form responses'!$C$2:$C53,"&gt;="&amp;Date(YEAR(DATE(YEAR($G$28),MONTH($G$28)+(-3),1)),4,1),'Form responses'!$D$2:$D53,$C$28)</f>
        <v>0</v>
      </c>
      <c r="BD31" s="555">
        <f>sumifs('Form responses'!BQ2:BQ53,'Form responses'!$C$2:$C53,"&lt;="&amp;$G$28,'Form responses'!$C$2:$C53,"&gt;="&amp;Date(YEAR(DATE(YEAR($G$28),MONTH($G$28)+(-3),1)),4,1),'Form responses'!$D$2:$D53,$C$28)</f>
        <v>0</v>
      </c>
      <c r="BE31" s="555">
        <f>sumifs('Form responses'!BS2:BS53,'Form responses'!$C$2:$C53,"&lt;="&amp;$G$28,'Form responses'!$C$2:$C53,"&gt;="&amp;Date(YEAR(DATE(YEAR($G$28),MONTH($G$28)+(-3),1)),4,1),'Form responses'!$D$2:$D53,$C$28)</f>
        <v>0</v>
      </c>
      <c r="BF31" s="555">
        <f>sumifs('Form responses'!CE2:CE53,'Form responses'!$C$2:$C53,"&lt;="&amp;$G$28,'Form responses'!$C$2:$C53,"&gt;="&amp;Date(YEAR(DATE(YEAR($G$28),MONTH($G$28)+(-3),1)),4,1),'Form responses'!$D$2:$D53,$C$28)</f>
        <v>0</v>
      </c>
      <c r="BG31" s="555">
        <f>sumifs('Form responses'!BC2:BC53,'Form responses'!$C$2:$C53,"&lt;="&amp;$G$28,'Form responses'!$C$2:$C53,"&gt;="&amp;Date(YEAR(DATE(YEAR($G$28),MONTH($G$28)+(-3),1)),4,1),'Form responses'!$D$2:$D53,$C$28)</f>
        <v>0</v>
      </c>
      <c r="BH31" s="555">
        <f>sumifs('Form responses'!BD2:BD53,'Form responses'!$C$2:$C53,"&lt;="&amp;$G$28,'Form responses'!$C$2:$C53,"&gt;="&amp;Date(YEAR(DATE(YEAR($G$28),MONTH($G$28)+(-3),1)),4,1),'Form responses'!$D$2:$D53,$C$28)</f>
        <v>0</v>
      </c>
      <c r="BI31" s="555">
        <f>sumifs('Form responses'!BZ2:BZ53,'Form responses'!$C$2:$C53,"&lt;="&amp;$G$28,'Form responses'!$C$2:$C53,"&gt;="&amp;Date(YEAR(DATE(YEAR($G$28),MONTH($G$28)+(-3),1)),4,1),'Form responses'!$D$2:$D53,$C$28)</f>
        <v>0</v>
      </c>
      <c r="BJ31" s="555">
        <f>sumifs('Form responses'!CB2:CB53,'Form responses'!$C$2:$C53,"&lt;="&amp;$G$28,'Form responses'!$C$2:$C53,"&gt;="&amp;Date(YEAR(DATE(YEAR($G$28),MONTH($G$28)+(-3),1)),4,1),'Form responses'!$D$2:$D53,$C$28)</f>
        <v>0</v>
      </c>
      <c r="BK31" s="555">
        <f>sumifs('Form responses'!CA2:CA53,'Form responses'!$C$2:$C53,"&lt;="&amp;$G$28,'Form responses'!$C$2:$C53,"&gt;="&amp;Date(YEAR(DATE(YEAR($G$28),MONTH($G$28)+(-3),1)),4,1),'Form responses'!$D$2:$D53,$C$28)</f>
        <v>0</v>
      </c>
      <c r="BL31" s="555">
        <f>sumifs('Form responses'!CC2:CC53,'Form responses'!$C$2:$C53,"&lt;="&amp;$G$28,'Form responses'!$C$2:$C53,"&gt;="&amp;Date(YEAR(DATE(YEAR($G$28),MONTH($G$28)+(-3),1)),4,1),'Form responses'!$D$2:$D53,$C$28)</f>
        <v>0</v>
      </c>
      <c r="BM31" s="555">
        <f>sumifs('Form responses'!CH2:CH53,'Form responses'!$C$2:$C53,"&lt;="&amp;$G$28,'Form responses'!$C$2:$C53,"&gt;="&amp;Date(YEAR(DATE(YEAR($G$28),MONTH($G$28)+(-3),1)),4,1),'Form responses'!$D$2:$D53,$C$28)</f>
        <v>0</v>
      </c>
      <c r="BN31" s="555">
        <f>sumifs('Form responses'!CI2:CI53,'Form responses'!$C$2:$C53,"&lt;="&amp;$G$28,'Form responses'!$C$2:$C53,"&gt;="&amp;Date(YEAR(DATE(YEAR($G$28),MONTH($G$28)+(-3),1)),4,1),'Form responses'!$D$2:$D53,$C$28)</f>
        <v>0</v>
      </c>
      <c r="BO31" s="555">
        <f>sumifs('Form responses'!CJ2:CJ53,'Form responses'!$C$2:$C53,"&lt;="&amp;$G$28,'Form responses'!$C$2:$C53,"&gt;="&amp;Date(YEAR(DATE(YEAR($G$28),MONTH($G$28)+(-3),1)),4,1),'Form responses'!$D$2:$D53,$C$28)</f>
        <v>0</v>
      </c>
      <c r="BP31" s="555">
        <f>sumifs('Form responses'!CK2:CK53,'Form responses'!$C$2:$C53,"&lt;="&amp;$G$28,'Form responses'!$C$2:$C53,"&gt;="&amp;Date(YEAR(DATE(YEAR($G$28),MONTH($G$28)+(-3),1)),4,1),'Form responses'!$D$2:$D53,$C$28)</f>
        <v>0</v>
      </c>
      <c r="BQ31" s="555">
        <f>sumifs('Form responses'!CL2:CL53,'Form responses'!$C$2:$C53,"&lt;="&amp;$G$28,'Form responses'!$C$2:$C53,"&gt;="&amp;Date(YEAR(DATE(YEAR($G$28),MONTH($G$28)+(-3),1)),4,1),'Form responses'!$D$2:$D53,$C$28)</f>
        <v>0</v>
      </c>
      <c r="BR31" s="555">
        <f>sumifs('Form responses'!CM2:CM53,'Form responses'!$C$2:$C53,"&lt;="&amp;$G$28,'Form responses'!$C$2:$C53,"&gt;="&amp;Date(YEAR(DATE(YEAR($G$28),MONTH($G$28)+(-3),1)),4,1),'Form responses'!$D$2:$D53,$C$28)</f>
        <v>0</v>
      </c>
      <c r="BS31" s="555">
        <f>sumifs('Form responses'!CN2:CN53,'Form responses'!$C$2:$C53,"&lt;="&amp;$G$28,'Form responses'!$C$2:$C53,"&gt;="&amp;Date(YEAR(DATE(YEAR($G$28),MONTH($G$28)+(-3),1)),4,1),'Form responses'!$D$2:$D53,$C$28)</f>
        <v>0</v>
      </c>
      <c r="BT31" s="555">
        <f>sumifs('Form responses'!CO2:CO53,'Form responses'!$C$2:$C53,"&lt;="&amp;$G$28,'Form responses'!$C$2:$C53,"&gt;="&amp;Date(YEAR(DATE(YEAR($G$28),MONTH($G$28)+(-3),1)),4,1),'Form responses'!$D$2:$D53,$C$28)</f>
        <v>0</v>
      </c>
      <c r="BU31" s="555">
        <f>sumifs('Form responses'!CP2:CP53,'Form responses'!$C$2:$C53,"&lt;="&amp;$G$28,'Form responses'!$C$2:$C53,"&gt;="&amp;Date(YEAR(DATE(YEAR($G$28),MONTH($G$28)+(-3),1)),4,1),'Form responses'!$D$2:$D53,$C$28)</f>
        <v>0</v>
      </c>
      <c r="BV31" s="555">
        <f>sumifs('Form responses'!CQ2:CQ53,'Form responses'!$C$2:$C53,"&lt;="&amp;$G$28,'Form responses'!$C$2:$C53,"&gt;="&amp;Date(YEAR(DATE(YEAR($G$28),MONTH($G$28)+(-3),1)),4,1),'Form responses'!$D$2:$D53,$C$28)</f>
        <v>0</v>
      </c>
      <c r="BW31" s="555">
        <f>sumifs('Form responses'!CR2:CR53,'Form responses'!$C$2:$C53,"&lt;="&amp;$G$28,'Form responses'!$C$2:$C53,"&gt;="&amp;Date(YEAR(DATE(YEAR($G$28),MONTH($G$28)+(-3),1)),4,1),'Form responses'!$D$2:$D53,$C$28)</f>
        <v>0</v>
      </c>
      <c r="BX31" s="555">
        <f>sumifs('Form responses'!CS2:CS53,'Form responses'!$C$2:$C53,"&lt;="&amp;$G$28,'Form responses'!$C$2:$C53,"&gt;="&amp;Date(YEAR(DATE(YEAR($G$28),MONTH($G$28)+(-3),1)),4,1),'Form responses'!$D$2:$D53,$C$28)</f>
        <v>0</v>
      </c>
      <c r="BY31" s="555">
        <f>sumifs('Form responses'!CT2:CT53,'Form responses'!$C$2:$C53,"&lt;="&amp;$G$28,'Form responses'!$C$2:$C53,"&gt;="&amp;Date(YEAR(DATE(YEAR($G$28),MONTH($G$28)+(-3),1)),4,1),'Form responses'!$D$2:$D53,$C$28)</f>
        <v>0</v>
      </c>
      <c r="BZ31" s="555">
        <f>sumifs('Form responses'!CU2:CU53,'Form responses'!$C$2:$C53,"&lt;="&amp;$G$28,'Form responses'!$C$2:$C53,"&gt;="&amp;Date(YEAR(DATE(YEAR($G$28),MONTH($G$28)+(-3),1)),4,1),'Form responses'!$D$2:$D53,$C$28)</f>
        <v>0</v>
      </c>
      <c r="CA31" s="555">
        <f>sumifs('Form responses'!DF2:DF53,'Form responses'!$C$2:$C53,"&lt;="&amp;$G$28,'Form responses'!$C$2:$C53,"&gt;="&amp;Date(YEAR(DATE(YEAR($G$28),MONTH($G$28)+(-3),1)),4,1),'Form responses'!$D$2:$D53,$C$28)</f>
        <v>0</v>
      </c>
      <c r="CB31" s="555">
        <f>sumifs('Form responses'!DG2:DG53,'Form responses'!$C$2:$C53,"&lt;="&amp;$G$28,'Form responses'!$C$2:$C53,"&gt;="&amp;Date(YEAR(DATE(YEAR($G$28),MONTH($G$28)+(-3),1)),4,1),'Form responses'!$D$2:$D53,$C$28)</f>
        <v>0</v>
      </c>
      <c r="CC31" s="555">
        <f>sumifs('Form responses'!BA2:BA53,'Form responses'!$C$2:$C53,"&lt;="&amp;$G$28,'Form responses'!$C$2:$C53,"&gt;="&amp;Date(YEAR(DATE(YEAR($G$28),MONTH($G$28)+(-3),1)),4,1),'Form responses'!$D$2:$D53,$C$28)</f>
        <v>0</v>
      </c>
      <c r="CD31" s="555">
        <f>sumifs('Form responses'!BB2:BB53,'Form responses'!$C$2:$C53,"&lt;="&amp;$G$28,'Form responses'!$C$2:$C53,"&gt;="&amp;Date(YEAR(DATE(YEAR($G$28),MONTH($G$28)+(-3),1)),4,1),'Form responses'!$D$2:$D53,$C$28)</f>
        <v>0</v>
      </c>
      <c r="CE31" s="555">
        <f>sumifs('Form responses'!DB2:DB53,'Form responses'!$C$2:$C53,"&lt;="&amp;$G$28,'Form responses'!$C$2:$C53,"&gt;="&amp;Date(YEAR(DATE(YEAR($G$28),MONTH($G$28)+(-3),1)),4,1),'Form responses'!$D$2:$D53,$C$28)</f>
        <v>0</v>
      </c>
      <c r="CF31" s="555">
        <f>sumifs('Form responses'!DC2:DC53,'Form responses'!$C$2:$C53,"&lt;="&amp;$G$28,'Form responses'!$C$2:$C53,"&gt;="&amp;Date(YEAR(DATE(YEAR($G$28),MONTH($G$28)+(-3),1)),4,1),'Form responses'!$D$2:$D53,$C$28)</f>
        <v>0</v>
      </c>
      <c r="CG31" s="555">
        <f>sumifs('Form responses'!DD2:DD53,'Form responses'!$C$2:$C53,"&lt;="&amp;$G$28,'Form responses'!$C$2:$C53,"&gt;="&amp;Date(YEAR(DATE(YEAR($G$28),MONTH($G$28)+(-3),1)),4,1),'Form responses'!$D$2:$D53,$C$28)</f>
        <v>0</v>
      </c>
      <c r="CH31" s="555">
        <f>sumifs('Form responses'!DE2:DE53,'Form responses'!$C$2:$C53,"&lt;="&amp;$G$28,'Form responses'!$C$2:$C53,"&gt;="&amp;Date(YEAR(DATE(YEAR($G$28),MONTH($G$28)+(-3),1)),4,1),'Form responses'!$D$2:$D53,$C$28)</f>
        <v>0</v>
      </c>
      <c r="CI31" s="555">
        <f>sumifs('Form responses'!DL2:DL53,'Form responses'!$C$2:$C53,"&lt;="&amp;$G$28,'Form responses'!$C$2:$C53,"&gt;="&amp;Date(YEAR(DATE(YEAR($G$28),MONTH($G$28)+(-3),1)),4,1),'Form responses'!$D$2:$D53,$C$28)</f>
        <v>0</v>
      </c>
      <c r="CJ31" s="555">
        <f>sumifs('Form responses'!DM2:DM53,'Form responses'!$C$2:$C53,"&lt;="&amp;$G$28,'Form responses'!$C$2:$C53,"&gt;="&amp;Date(YEAR(DATE(YEAR($G$28),MONTH($G$28)+(-3),1)),4,1),'Form responses'!$D$2:$D53,$C$28)</f>
        <v>0</v>
      </c>
      <c r="CK31" s="555">
        <f>sumifs('Form responses'!DN2:DN53,'Form responses'!$C$2:$C53,"&lt;="&amp;$G$28,'Form responses'!$C$2:$C53,"&gt;="&amp;Date(YEAR(DATE(YEAR($G$28),MONTH($G$28)+(-3),1)),4,1),'Form responses'!$D$2:$D53,$C$28)</f>
        <v>0</v>
      </c>
      <c r="CL31" s="555">
        <f>sumifs('Form responses'!DO2:DO53,'Form responses'!$C$2:$C53,"&lt;="&amp;$G$28,'Form responses'!$C$2:$C53,"&gt;="&amp;Date(YEAR(DATE(YEAR($G$28),MONTH($G$28)+(-3),1)),4,1),'Form responses'!$D$2:$D53,$C$28)</f>
        <v>0</v>
      </c>
      <c r="CM31" s="555">
        <f>sumifs('Form responses'!DP2:DP53,'Form responses'!$C$2:$C53,"&lt;="&amp;$G$28,'Form responses'!$C$2:$C53,"&gt;="&amp;Date(YEAR(DATE(YEAR($G$28),MONTH($G$28)+(-3),1)),4,1),'Form responses'!$D$2:$D53,$C$28)</f>
        <v>0</v>
      </c>
      <c r="CN31" s="555">
        <f>sumifs('Form responses'!DQ2:DQ53,'Form responses'!$C$2:$C53,"&lt;="&amp;$G$28,'Form responses'!$C$2:$C53,"&gt;="&amp;Date(YEAR(DATE(YEAR($G$28),MONTH($G$28)+(-3),1)),4,1),'Form responses'!$D$2:$D53,$C$28)</f>
        <v>0</v>
      </c>
      <c r="CO31" s="555">
        <f>sumifs('Form responses'!DR2:DR53,'Form responses'!$C$2:$C53,"&lt;="&amp;$G$28,'Form responses'!$C$2:$C53,"&gt;="&amp;Date(YEAR(DATE(YEAR($G$28),MONTH($G$28)+(-3),1)),4,1),'Form responses'!$D$2:$D53,$C$28)</f>
        <v>0</v>
      </c>
      <c r="CP31" s="555">
        <f>sumifs('Form responses'!DS2:DS53,'Form responses'!$C$2:$C53,"&lt;="&amp;$G$28,'Form responses'!$C$2:$C53,"&gt;="&amp;Date(YEAR(DATE(YEAR($G$28),MONTH($G$28)+(-3),1)),4,1),'Form responses'!$D$2:$D53,$C$28)</f>
        <v>0</v>
      </c>
      <c r="CQ31" s="555">
        <f>sumifs('Form responses'!DT2:DT53,'Form responses'!$C$2:$C53,"&lt;="&amp;$G$28,'Form responses'!$C$2:$C53,"&gt;="&amp;Date(YEAR(DATE(YEAR($G$28),MONTH($G$28)+(-3),1)),4,1),'Form responses'!$D$2:$D53,$C$28)</f>
        <v>0</v>
      </c>
      <c r="CR31" s="555">
        <f>sumifs('Form responses'!DU2:DU53,'Form responses'!$C$2:$C53,"&lt;="&amp;$G$28,'Form responses'!$C$2:$C53,"&gt;="&amp;Date(YEAR(DATE(YEAR($G$28),MONTH($G$28)+(-3),1)),4,1),'Form responses'!$D$2:$D53,$C$28)</f>
        <v>0</v>
      </c>
      <c r="CS31" s="555">
        <f>sumifs('Form responses'!DV2:DV53,'Form responses'!$C$2:$C53,"&lt;="&amp;$G$28,'Form responses'!$C$2:$C53,"&gt;="&amp;Date(YEAR(DATE(YEAR($G$28),MONTH($G$28)+(-3),1)),4,1),'Form responses'!$D$2:$D53,$C$28)</f>
        <v>0</v>
      </c>
      <c r="CT31" s="555">
        <f>sumifs('Form responses'!DW2:DW53,'Form responses'!$C$2:$C53,"&lt;="&amp;$G$28,'Form responses'!$C$2:$C53,"&gt;="&amp;Date(YEAR(DATE(YEAR($G$28),MONTH($G$28)+(-3),1)),4,1),'Form responses'!$D$2:$D53,$C$28)</f>
        <v>0</v>
      </c>
      <c r="CU31" s="555">
        <f>sumifs('Form responses'!DX2:DX53,'Form responses'!$C$2:$C53,"&lt;="&amp;$G$28,'Form responses'!$C$2:$C53,"&gt;="&amp;Date(YEAR(DATE(YEAR($G$28),MONTH($G$28)+(-3),1)),4,1),'Form responses'!$D$2:$D53,$C$28)</f>
        <v>0</v>
      </c>
      <c r="CV31" s="555">
        <f>sumifs('Form responses'!DY2:DY53,'Form responses'!$C$2:$C53,"&lt;="&amp;$G$28,'Form responses'!$C$2:$C53,"&gt;="&amp;Date(YEAR(DATE(YEAR($G$28),MONTH($G$28)+(-3),1)),4,1),'Form responses'!$D$2:$D53,$C$28)</f>
        <v>0</v>
      </c>
      <c r="CW31" s="555">
        <f>sumifs('Form responses'!EJ2:EJ53,'Form responses'!$C$2:$C53,"&lt;="&amp;$G$28,'Form responses'!$C$2:$C53,"&gt;="&amp;Date(YEAR(DATE(YEAR($G$28),MONTH($G$28)+(-3),1)),4,1),'Form responses'!$D$2:$D53,$C$28)</f>
        <v>0</v>
      </c>
      <c r="CX31" s="555">
        <f>sumifs('Form responses'!EK2:EK53,'Form responses'!$C$2:$C53,"&lt;="&amp;$G$28,'Form responses'!$C$2:$C53,"&gt;="&amp;Date(YEAR(DATE(YEAR($G$28),MONTH($G$28)+(-3),1)),4,1),'Form responses'!$D$2:$D53,$C$28)</f>
        <v>0</v>
      </c>
      <c r="CY31" s="555">
        <f>sumifs('Form responses'!EN2:EN53,'Form responses'!$C$2:$C53,"&lt;="&amp;$G$28,'Form responses'!$C$2:$C53,"&gt;="&amp;Date(YEAR(DATE(YEAR($G$28),MONTH($G$28)+(-3),1)),4,1),'Form responses'!$D$2:$D53,$C$28)</f>
        <v>0</v>
      </c>
      <c r="CZ31" s="555">
        <f>sumifs('Form responses'!EO2:EO53,'Form responses'!$C$2:$C53,"&lt;="&amp;$G$28,'Form responses'!$C$2:$C53,"&gt;="&amp;Date(YEAR(DATE(YEAR($G$28),MONTH($G$28)+(-3),1)),4,1),'Form responses'!$D$2:$D53,$C$28)</f>
        <v>0</v>
      </c>
      <c r="DA31" s="555">
        <f>sumifs('Form responses'!EF2:EF53,'Form responses'!$C$2:$C53,"&lt;="&amp;$G$28,'Form responses'!$C$2:$C53,"&gt;="&amp;Date(YEAR(DATE(YEAR($G$28),MONTH($G$28)+(-3),1)),4,1),'Form responses'!$D$2:$D53,$C$28)</f>
        <v>0</v>
      </c>
      <c r="DB31" s="555">
        <f>sumifs('Form responses'!EG2:EG53,'Form responses'!$C$2:$C53,"&lt;="&amp;$G$28,'Form responses'!$C$2:$C53,"&gt;="&amp;Date(YEAR(DATE(YEAR($G$28),MONTH($G$28)+(-3),1)),4,1),'Form responses'!$D$2:$D53,$C$28)</f>
        <v>0</v>
      </c>
      <c r="DC31" s="555">
        <f>sumifs('Form responses'!EH2:EH53,'Form responses'!$C$2:$C53,"&lt;="&amp;$G$28,'Form responses'!$C$2:$C53,"&gt;="&amp;Date(YEAR(DATE(YEAR($G$28),MONTH($G$28)+(-3),1)),4,1),'Form responses'!$D$2:$D53,$C$28)</f>
        <v>0</v>
      </c>
      <c r="DD31" s="555">
        <f>sumifs('Form responses'!EI2:EI53,'Form responses'!$C$2:$C53,"&lt;="&amp;$G$28,'Form responses'!$C$2:$C53,"&gt;="&amp;Date(YEAR(DATE(YEAR($G$28),MONTH($G$28)+(-3),1)),4,1),'Form responses'!$D$2:$D53,$C$28)</f>
        <v>0</v>
      </c>
      <c r="DE31" s="555">
        <f>sumifs('Form responses'!FX2:FX53,'Form responses'!$C$2:$C53,"&lt;="&amp;$G$28,'Form responses'!$C$2:$C53,"&gt;="&amp;Date(YEAR(DATE(YEAR($G$28),MONTH($G$28)+(-3),1)),4,1),'Form responses'!$D$2:$D53,$C$28)</f>
        <v>0</v>
      </c>
      <c r="DF31" s="555">
        <f>sumifs('Form responses'!FY2:FY53,'Form responses'!$C$2:$C53,"&lt;="&amp;$G$28,'Form responses'!$C$2:$C53,"&gt;="&amp;Date(YEAR(DATE(YEAR($G$28),MONTH($G$28)+(-3),1)),4,1),'Form responses'!$D$2:$D53,$C$28)</f>
        <v>0</v>
      </c>
      <c r="DG31" s="555">
        <f>sumifs('Form responses'!FZ2:FZ53,'Form responses'!$C$2:$C53,"&lt;="&amp;$G$28,'Form responses'!$C$2:$C53,"&gt;="&amp;Date(YEAR(DATE(YEAR($G$28),MONTH($G$28)+(-3),1)),4,1),'Form responses'!$D$2:$D53,$C$28)</f>
        <v>0</v>
      </c>
      <c r="DH31" s="555">
        <f>sumifs('Form responses'!GA2:GA53,'Form responses'!$C$2:$C53,"&lt;="&amp;$G$28,'Form responses'!$C$2:$C53,"&gt;="&amp;Date(YEAR(DATE(YEAR($G$28),MONTH($G$28)+(-3),1)),4,1),'Form responses'!$D$2:$D53,$C$28)</f>
        <v>0</v>
      </c>
      <c r="DI31" s="555">
        <f>sumifs('Form responses'!GB2:GB53,'Form responses'!$C$2:$C53,"&lt;="&amp;$G$28,'Form responses'!$C$2:$C53,"&gt;="&amp;Date(YEAR(DATE(YEAR($G$28),MONTH($G$28)+(-3),1)),4,1),'Form responses'!$D$2:$D53,$C$28)</f>
        <v>0</v>
      </c>
      <c r="DJ31" s="555">
        <f>sumifs('Form responses'!GC2:GC53,'Form responses'!$C$2:$C53,"&lt;="&amp;$G$28,'Form responses'!$C$2:$C53,"&gt;="&amp;Date(YEAR(DATE(YEAR($G$28),MONTH($G$28)+(-3),1)),4,1),'Form responses'!$D$2:$D53,$C$28)</f>
        <v>0</v>
      </c>
      <c r="DK31" s="555">
        <f>sumifs('Form responses'!GL2:GL53,'Form responses'!$C$2:$C53,"&lt;="&amp;$G$28,'Form responses'!$C$2:$C53,"&gt;="&amp;Date(YEAR(DATE(YEAR($G$28),MONTH($G$28)+(-3),1)),4,1),'Form responses'!$D$2:$D53,$C$28)</f>
        <v>0</v>
      </c>
      <c r="DL31" s="555">
        <f>sumifs('Form responses'!AC2:AC53,'Form responses'!$C$2:$C53,"&lt;="&amp;$G$28,'Form responses'!$C$2:$C53,"&gt;="&amp;Date(YEAR(DATE(YEAR($G$28),MONTH($G$28)+(-3),1)),4,1),'Form responses'!$D$2:$D53,$C$28)</f>
        <v>0</v>
      </c>
      <c r="DM31" s="555">
        <f>sumifs('Form responses'!AD2:AD53,'Form responses'!$C$2:$C53,"&lt;="&amp;$G$28,'Form responses'!$C$2:$C53,"&gt;="&amp;Date(YEAR(DATE(YEAR($G$28),MONTH($G$28)+(-3),1)),4,1),'Form responses'!$D$2:$D53,$C$28)</f>
        <v>0</v>
      </c>
      <c r="DN31" s="555">
        <f>sumifs('Form responses'!GH2:GH53,'Form responses'!$C$2:$C53,"&lt;="&amp;$G$28,'Form responses'!$C$2:$C53,"&gt;="&amp;Date(YEAR(DATE(YEAR($G$28),MONTH($G$28)+(-3),1)),4,1),'Form responses'!$D$2:$D53,$C$28)</f>
        <v>0</v>
      </c>
      <c r="DO31" s="555">
        <f>sumifs('Form responses'!GI2:GI53,'Form responses'!$C$2:$C53,"&lt;="&amp;$G$28,'Form responses'!$C$2:$C53,"&gt;="&amp;Date(YEAR(DATE(YEAR($G$28),MONTH($G$28)+(-3),1)),4,1),'Form responses'!$D$2:$D53,$C$28)</f>
        <v>0</v>
      </c>
      <c r="DP31" s="555">
        <f>sumifs('Form responses'!FH2:FH53,'Form responses'!$C$2:$C53,"&lt;="&amp;$G$28,'Form responses'!$C$2:$C53,"&gt;="&amp;Date(YEAR(DATE(YEAR($G$28),MONTH($G$28)+(-3),1)),4,1),'Form responses'!$D$2:$D53,$C$28)</f>
        <v>0</v>
      </c>
      <c r="DQ31" s="555">
        <f>sumifs('Form responses'!FI2:FI53,'Form responses'!$C$2:$C53,"&lt;="&amp;$G$28,'Form responses'!$C$2:$C53,"&gt;="&amp;Date(YEAR(DATE(YEAR($G$28),MONTH($G$28)+(-3),1)),4,1),'Form responses'!$D$2:$D53,$C$28)</f>
        <v>0</v>
      </c>
      <c r="DR31" s="555">
        <f>sumifs('Form responses'!FJ2:FJ53,'Form responses'!$C$2:$C53,"&lt;="&amp;$G$28,'Form responses'!$C$2:$C53,"&gt;="&amp;Date(YEAR(DATE(YEAR($G$28),MONTH($G$28)+(-3),1)),4,1),'Form responses'!$D$2:$D53,$C$28)</f>
        <v>0</v>
      </c>
      <c r="DS31" s="555">
        <f>sumifs('Form responses'!FK2:FK53,'Form responses'!$C$2:$C53,"&lt;="&amp;$G$28,'Form responses'!$C$2:$C53,"&gt;="&amp;Date(YEAR(DATE(YEAR($G$28),MONTH($G$28)+(-3),1)),4,1),'Form responses'!$D$2:$D53,$C$28)</f>
        <v>0</v>
      </c>
      <c r="DT31" s="555">
        <f>sumifs('Form responses'!FL2:FL53,'Form responses'!$C$2:$C53,"&lt;="&amp;$G$28,'Form responses'!$C$2:$C53,"&gt;="&amp;Date(YEAR(DATE(YEAR($G$28),MONTH($G$28)+(-3),1)),4,1),'Form responses'!$D$2:$D53,$C$28)</f>
        <v>0</v>
      </c>
      <c r="DU31" s="555">
        <f>sumifs('Form responses'!FM2:FM53,'Form responses'!$C$2:$C53,"&lt;="&amp;$G$28,'Form responses'!$C$2:$C53,"&gt;="&amp;Date(YEAR(DATE(YEAR($G$28),MONTH($G$28)+(-3),1)),4,1),'Form responses'!$D$2:$D53,$C$28)</f>
        <v>0</v>
      </c>
      <c r="DV31" s="555">
        <f>sumifs('Form responses'!FN2:FN53,'Form responses'!$C$2:$C53,"&lt;="&amp;$G$28,'Form responses'!$C$2:$C53,"&gt;="&amp;Date(YEAR(DATE(YEAR($G$28),MONTH($G$28)+(-3),1)),4,1),'Form responses'!$D$2:$D53,$C$28)</f>
        <v>0</v>
      </c>
      <c r="DW31" s="555">
        <f>sumifs('Form responses'!FT2:FT53,'Form responses'!$C$2:$C53,"&lt;="&amp;$G$28,'Form responses'!$C$2:$C53,"&gt;="&amp;Date(YEAR(DATE(YEAR($G$28),MONTH($G$28)+(-3),1)),4,1),'Form responses'!$D$2:$D53,$C$28)</f>
        <v>0</v>
      </c>
      <c r="DX31" s="555">
        <f>sumifs('Form responses'!FV2:FV53,'Form responses'!$C$2:$C53,"&lt;="&amp;$G$28,'Form responses'!$C$2:$C53,"&gt;="&amp;Date(YEAR(DATE(YEAR($G$28),MONTH($G$28)+(-3),1)),4,1),'Form responses'!$D$2:$D53,$C$28)</f>
        <v>0</v>
      </c>
      <c r="DY31" s="555">
        <f>sumifs('Form responses'!FR2:FR53,'Form responses'!$C$2:$C53,"&lt;="&amp;$G$28,'Form responses'!$C$2:$C53,"&gt;="&amp;Date(YEAR(DATE(YEAR($G$28),MONTH($G$28)+(-3),1)),4,1),'Form responses'!$D$2:$D53,$C$28)</f>
        <v>0</v>
      </c>
      <c r="DZ31" s="555">
        <f>sumifs('Form responses'!FS2:FS53,'Form responses'!$C$2:$C53,"&lt;="&amp;$G$28,'Form responses'!$C$2:$C53,"&gt;="&amp;Date(YEAR(DATE(YEAR($G$28),MONTH($G$28)+(-3),1)),4,1),'Form responses'!$D$2:$D53,$C$28)</f>
        <v>0</v>
      </c>
      <c r="EA31" s="555">
        <f>sumifs('Form responses'!ER2:ER53,'Form responses'!$C$2:$C53,"&lt;="&amp;$G$28,'Form responses'!$C$2:$C53,"&gt;="&amp;Date(YEAR(DATE(YEAR($G$28),MONTH($G$28)+(-3),1)),4,1),'Form responses'!$D$2:$D53,$C$28)</f>
        <v>0</v>
      </c>
      <c r="EB31" s="555">
        <f>sumifs('Form responses'!ES2:ES53,'Form responses'!$C$2:$C53,"&lt;="&amp;$G$28,'Form responses'!$C$2:$C53,"&gt;="&amp;Date(YEAR(DATE(YEAR($G$28),MONTH($G$28)+(-3),1)),4,1),'Form responses'!$D$2:$D53,$C$28)</f>
        <v>0</v>
      </c>
      <c r="EC31" s="555">
        <f>sumifs('Form responses'!ET2:ET53,'Form responses'!$C$2:$C53,"&lt;="&amp;$G$28,'Form responses'!$C$2:$C53,"&gt;="&amp;Date(YEAR(DATE(YEAR($G$28),MONTH($G$28)+(-3),1)),4,1),'Form responses'!$D$2:$D53,$C$28)</f>
        <v>0</v>
      </c>
      <c r="ED31" s="555">
        <f>sumifs('Form responses'!EU2:EU53,'Form responses'!$C$2:$C53,"&lt;="&amp;$G$28,'Form responses'!$C$2:$C53,"&gt;="&amp;Date(YEAR(DATE(YEAR($G$28),MONTH($G$28)+(-3),1)),4,1),'Form responses'!$D$2:$D53,$C$28)</f>
        <v>0</v>
      </c>
      <c r="EE31" s="555">
        <f>sumifs('Form responses'!EV2:EV53,'Form responses'!$C$2:$C53,"&lt;="&amp;$G$28,'Form responses'!$C$2:$C53,"&gt;="&amp;Date(YEAR(DATE(YEAR($G$28),MONTH($G$28)+(-3),1)),4,1),'Form responses'!$D$2:$D53,$C$28)</f>
        <v>0</v>
      </c>
      <c r="EF31" s="555">
        <f>sumifs('Form responses'!EW2:EW53,'Form responses'!$C$2:$C53,"&lt;="&amp;$G$28,'Form responses'!$C$2:$C53,"&gt;="&amp;Date(YEAR(DATE(YEAR($G$28),MONTH($G$28)+(-3),1)),4,1),'Form responses'!$D$2:$D53,$C$28)</f>
        <v>0</v>
      </c>
      <c r="EG31" s="555">
        <f>sumifs('Form responses'!EX2:EX53,'Form responses'!$C$2:$C53,"&lt;="&amp;$G$28,'Form responses'!$C$2:$C53,"&gt;="&amp;Date(YEAR(DATE(YEAR($G$28),MONTH($G$28)+(-3),1)),4,1),'Form responses'!$D$2:$D53,$C$28)</f>
        <v>0</v>
      </c>
      <c r="EH31" s="555">
        <f>sumifs('Form responses'!FD2:FD53,'Form responses'!$C$2:$C53,"&lt;="&amp;$G$28,'Form responses'!$C$2:$C53,"&gt;="&amp;Date(YEAR(DATE(YEAR($G$28),MONTH($G$28)+(-3),1)),4,1),'Form responses'!$D$2:$D53,$C$28)</f>
        <v>0</v>
      </c>
      <c r="EI31" s="555">
        <f>sumifs('Form responses'!FF2:FF53,'Form responses'!$C$2:$C53,"&lt;="&amp;$G$28,'Form responses'!$C$2:$C53,"&gt;="&amp;Date(YEAR(DATE(YEAR($G$28),MONTH($G$28)+(-3),1)),4,1),'Form responses'!$D$2:$D53,$C$28)</f>
        <v>0</v>
      </c>
      <c r="EJ31" s="555">
        <f>sumifs('Form responses'!FB2:FB53,'Form responses'!$C$2:$C53,"&lt;="&amp;$G$28,'Form responses'!$C$2:$C53,"&gt;="&amp;Date(YEAR(DATE(YEAR($G$28),MONTH($G$28)+(-3),1)),4,1),'Form responses'!$D$2:$D53,$C$28)</f>
        <v>0</v>
      </c>
      <c r="EK31" s="555">
        <f>sumifs('Form responses'!FC2:FC53,'Form responses'!$C$2:$C53,"&lt;="&amp;$G$28,'Form responses'!$C$2:$C53,"&gt;="&amp;Date(YEAR(DATE(YEAR($G$28),MONTH($G$28)+(-3),1)),4,1),'Form responses'!$D$2:$D53,$C$28)</f>
        <v>0</v>
      </c>
    </row>
    <row r="32" ht="8.25" customHeight="1"/>
    <row r="33">
      <c r="B33" s="562" t="s">
        <v>947</v>
      </c>
      <c r="N33" s="88"/>
      <c r="Z33" s="563"/>
      <c r="AA33" s="563"/>
      <c r="AB33" s="563"/>
      <c r="AC33" s="563"/>
      <c r="AD33" s="563"/>
      <c r="AE33" s="563"/>
      <c r="AF33" s="563"/>
      <c r="AG33" s="563"/>
      <c r="AH33" s="563"/>
      <c r="AI33" s="563"/>
      <c r="AJ33" s="563"/>
      <c r="AK33" s="563"/>
      <c r="AL33" s="563"/>
      <c r="AM33" s="563"/>
      <c r="AN33" s="563"/>
      <c r="AO33" s="563"/>
      <c r="AP33" s="563"/>
      <c r="AQ33" s="563"/>
      <c r="AR33" s="563"/>
      <c r="AS33" s="563"/>
      <c r="AT33" s="563"/>
      <c r="AU33" s="563"/>
      <c r="AV33" s="563"/>
      <c r="AW33" s="563"/>
      <c r="AX33" s="563"/>
      <c r="AY33" s="563"/>
      <c r="AZ33" s="563"/>
      <c r="BA33" s="563"/>
      <c r="BB33" s="563"/>
      <c r="BC33" s="563"/>
      <c r="BD33" s="563"/>
      <c r="BE33" s="563"/>
      <c r="BF33" s="563"/>
      <c r="BG33" s="563"/>
      <c r="BH33" s="563"/>
      <c r="BI33" s="563"/>
      <c r="BJ33" s="563"/>
      <c r="BK33" s="563"/>
      <c r="BL33" s="563"/>
      <c r="BM33" s="563"/>
      <c r="BN33" s="563"/>
      <c r="BO33" s="563"/>
      <c r="BP33" s="563"/>
      <c r="BQ33" s="563"/>
      <c r="BR33" s="563"/>
      <c r="BS33" s="563"/>
      <c r="BT33" s="563"/>
      <c r="BU33" s="563"/>
      <c r="BV33" s="563"/>
      <c r="BW33" s="563"/>
      <c r="BX33" s="563"/>
      <c r="BY33" s="563"/>
      <c r="BZ33" s="563"/>
      <c r="CA33" s="563"/>
      <c r="CB33" s="563"/>
      <c r="CC33" s="563"/>
      <c r="CD33" s="563"/>
      <c r="CE33" s="563"/>
      <c r="CF33" s="563"/>
      <c r="CG33" s="563"/>
      <c r="CH33" s="563"/>
      <c r="CI33" s="563"/>
      <c r="CJ33" s="563"/>
      <c r="CK33" s="563"/>
      <c r="CL33" s="563"/>
      <c r="CM33" s="563"/>
      <c r="CN33" s="563"/>
      <c r="CO33" s="563"/>
      <c r="CP33" s="563"/>
      <c r="CQ33" s="563"/>
      <c r="CR33" s="563"/>
      <c r="CS33" s="563"/>
      <c r="CT33" s="563"/>
      <c r="CU33" s="563"/>
      <c r="CV33" s="563"/>
      <c r="CW33" s="563"/>
      <c r="CX33" s="563"/>
      <c r="CY33" s="563"/>
      <c r="CZ33" s="563"/>
      <c r="DA33" s="563"/>
      <c r="DB33" s="563"/>
      <c r="DC33" s="563"/>
      <c r="DD33" s="563"/>
      <c r="DE33" s="563"/>
      <c r="DF33" s="563"/>
      <c r="DG33" s="563"/>
      <c r="DH33" s="563"/>
      <c r="DI33" s="563"/>
      <c r="DJ33" s="563"/>
      <c r="DK33" s="563"/>
      <c r="DL33" s="563"/>
      <c r="DM33" s="563"/>
      <c r="DN33" s="563"/>
      <c r="DO33" s="563"/>
      <c r="DP33" s="563"/>
      <c r="DQ33" s="563"/>
      <c r="DR33" s="563"/>
      <c r="DS33" s="563"/>
      <c r="DT33" s="563"/>
      <c r="DU33" s="563"/>
      <c r="DV33" s="563"/>
      <c r="DW33" s="563"/>
      <c r="DX33" s="563"/>
      <c r="DY33" s="563"/>
      <c r="DZ33" s="563"/>
      <c r="EA33" s="563"/>
      <c r="EB33" s="563"/>
      <c r="EC33" s="563"/>
      <c r="ED33" s="563"/>
      <c r="EE33" s="563"/>
      <c r="EF33" s="563"/>
      <c r="EG33" s="563"/>
      <c r="EH33" s="563"/>
      <c r="EI33" s="563"/>
      <c r="EJ33" s="563"/>
      <c r="EK33" s="563"/>
      <c r="EL33" s="563"/>
    </row>
    <row r="34" ht="39.75" customHeight="1">
      <c r="A34" s="4"/>
      <c r="B34" s="564" t="s">
        <v>948</v>
      </c>
      <c r="C34" s="565" t="s">
        <v>949</v>
      </c>
      <c r="D34" s="565" t="s">
        <v>950</v>
      </c>
      <c r="E34" s="565" t="s">
        <v>815</v>
      </c>
      <c r="F34" s="565" t="s">
        <v>951</v>
      </c>
      <c r="G34" s="565" t="s">
        <v>952</v>
      </c>
      <c r="H34" s="565" t="s">
        <v>953</v>
      </c>
      <c r="I34" s="565" t="s">
        <v>954</v>
      </c>
      <c r="J34" s="565" t="s">
        <v>955</v>
      </c>
      <c r="K34" s="565" t="s">
        <v>956</v>
      </c>
      <c r="L34" s="565" t="s">
        <v>957</v>
      </c>
      <c r="M34" s="565" t="s">
        <v>958</v>
      </c>
      <c r="N34" s="565" t="s">
        <v>959</v>
      </c>
      <c r="O34" s="565" t="s">
        <v>976</v>
      </c>
      <c r="P34" s="565" t="s">
        <v>961</v>
      </c>
      <c r="Q34" s="565" t="s">
        <v>962</v>
      </c>
      <c r="R34" s="565" t="s">
        <v>963</v>
      </c>
      <c r="S34" s="532" t="s">
        <v>977</v>
      </c>
      <c r="T34" s="566" t="s">
        <v>978</v>
      </c>
      <c r="U34" s="567" t="s">
        <v>966</v>
      </c>
      <c r="V34" s="530" t="s">
        <v>967</v>
      </c>
      <c r="W34" s="530" t="s">
        <v>968</v>
      </c>
      <c r="X34" s="530" t="s">
        <v>969</v>
      </c>
      <c r="Y34" s="531" t="s">
        <v>970</v>
      </c>
      <c r="Z34" s="532" t="s">
        <v>971</v>
      </c>
      <c r="AA34" s="4"/>
      <c r="AB34" s="532" t="s">
        <v>979</v>
      </c>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row>
    <row r="35" ht="18.75" customHeight="1">
      <c r="A35" s="7" t="s">
        <v>980</v>
      </c>
      <c r="B35" s="555">
        <f>IFERROR(__xludf.DUMMYFUNCTION("FILTER(fees!C2:C53,Month($G$28)&amp;year($G$28) =Month(fees!$B$2:$B53)&amp;year(fees!$B$2:$B53))"),10.0)</f>
        <v>10</v>
      </c>
      <c r="C35" s="555">
        <f>IFERROR(__xludf.DUMMYFUNCTION("FILTER(fees!D2:D53,Month($G$28)&amp;year($G$28) =Month(fees!$B$2:$B53)&amp;year(fees!$B$2:$B53))"),50.0)</f>
        <v>50</v>
      </c>
      <c r="D35" s="555">
        <f>IFERROR(__xludf.DUMMYFUNCTION("FILTER(fees!E2:E53,Month($G$28)&amp;year($G$28) =Month(fees!$B$2:$B53)&amp;year(fees!$B$2:$B53))"),25.0)</f>
        <v>25</v>
      </c>
      <c r="E35" s="555">
        <f>IFERROR(__xludf.DUMMYFUNCTION("FILTER(fees!F2:F53,Month($G$28)&amp;year($G$28) =Month(fees!$B$2:$B53)&amp;year(fees!$B$2:$B53))"),50.0)</f>
        <v>50</v>
      </c>
      <c r="F35" s="555">
        <f>IFERROR(__xludf.DUMMYFUNCTION("FILTER(fees!G2:G53,Month($G$28)&amp;year($G$28) =Month(fees!$B$2:$B53)&amp;year(fees!$B$2:$B53))"),50.0)</f>
        <v>50</v>
      </c>
      <c r="G35" s="555">
        <f>IFERROR(__xludf.DUMMYFUNCTION("FILTER(fees!H2:H53,Month($G$28)&amp;year($G$28) =Month(fees!$B$2:$B53)&amp;year(fees!$B$2:$B53))"),100.0)</f>
        <v>100</v>
      </c>
      <c r="H35" s="555">
        <f>IFERROR(__xludf.DUMMYFUNCTION("FILTER(fees!I2:I53,Month($G$28)&amp;year($G$28) =Month(fees!$B$2:$B53)&amp;year(fees!$B$2:$B53))"),20.0)</f>
        <v>20</v>
      </c>
      <c r="I35" s="555">
        <f>IFERROR(__xludf.DUMMYFUNCTION("FILTER(fees!J2:J53,Month($G$28)&amp;year($G$28) =Month(fees!$B$2:$B53)&amp;year(fees!$B$2:$B53))"),100.0)</f>
        <v>100</v>
      </c>
      <c r="J35" s="555">
        <f>IFERROR(__xludf.DUMMYFUNCTION("FILTER(fees!K2:K53,Month($G$28)&amp;year($G$28) =Month(fees!$B$2:$B53)&amp;year(fees!$B$2:$B53))"),5.0)</f>
        <v>5</v>
      </c>
      <c r="K35" s="555">
        <f>IFERROR(__xludf.DUMMYFUNCTION("FILTER(fees!L2:L53,Month($G$28)&amp;year($G$28) =Month(fees!$B$2:$B53)&amp;year(fees!$B$2:$B53))"),0.0)</f>
        <v>0</v>
      </c>
      <c r="L35" s="555">
        <f>IFERROR(__xludf.DUMMYFUNCTION("FILTER(fees!M2:M53,Month($G$28)&amp;year($G$28) =Month(fees!$B$2:$B53)&amp;year(fees!$B$2:$B53))"),5.0)</f>
        <v>5</v>
      </c>
      <c r="M35" s="555">
        <f>IFERROR(__xludf.DUMMYFUNCTION("FILTER(fees!N2:N53,Month($G$28)&amp;year($G$28) =Month(fees!$B$2:$B53)&amp;year(fees!$B$2:$B53))"),0.0)</f>
        <v>0</v>
      </c>
      <c r="N35" s="555">
        <f>IFERROR(__xludf.DUMMYFUNCTION("FILTER(fees!O2:O53,Month($G$28)&amp;year($G$28) =Month(fees!$B$2:$B53)&amp;year(fees!$B$2:$B53))"),0.0)</f>
        <v>0</v>
      </c>
      <c r="O35" s="555">
        <f>IFERROR(__xludf.DUMMYFUNCTION("FILTER(fees!P2:P53,Month($G$28)&amp;year($G$28) =Month(fees!$B$2:$B53)&amp;year(fees!$B$2:$B53))"),0.0)</f>
        <v>0</v>
      </c>
      <c r="P35" s="555">
        <f>IFERROR(__xludf.DUMMYFUNCTION("FILTER(fees!Q2:Q53,Month($G$28)&amp;year($G$28) =Month(fees!$B$2:$B53)&amp;year(fees!$B$2:$B53))"),0.0)</f>
        <v>0</v>
      </c>
      <c r="Q35" s="555">
        <f>IFERROR(__xludf.DUMMYFUNCTION("FILTER(fees!R2:R53,Month($G$28)&amp;year($G$28) =Month(fees!$B$2:$B53)&amp;year(fees!$B$2:$B53))"),25.0)</f>
        <v>25</v>
      </c>
      <c r="R35" s="555">
        <f>IFERROR(__xludf.DUMMYFUNCTION("FILTER(fees!S2:S53,Month($G$28)&amp;year($G$28) =Month(fees!$B$2:$B53)&amp;year(fees!$B$2:$B53))"),35.0)</f>
        <v>35</v>
      </c>
      <c r="S35" s="555">
        <f>IFERROR(__xludf.DUMMYFUNCTION("FILTER(fees!T2:T53,Month($G$28)&amp;year($G$28) =Month(fees!$B$2:$B53)&amp;year(fees!$B$2:$B53))"),250.0)</f>
        <v>250</v>
      </c>
      <c r="T35" s="555">
        <f>IFERROR(__xludf.DUMMYFUNCTION("FILTER(fees!U2:U53,Month($G$28)&amp;year($G$28) =Month(fees!$B$2:$B53)&amp;year(fees!$B$2:$B53))"),50.0)</f>
        <v>50</v>
      </c>
      <c r="U35" s="555">
        <f>IFERROR(__xludf.DUMMYFUNCTION("FILTER(fees!V2:V53,Month($G$28)&amp;year($G$28) =Month(fees!$B$2:$B53)&amp;year(fees!$B$2:$B53))"),25.0)</f>
        <v>25</v>
      </c>
      <c r="V35" s="555">
        <f>IFERROR(__xludf.DUMMYFUNCTION("FILTER(fees!W2:W53,Month($G$28)&amp;year($G$28) =Month(fees!$B$2:$B53)&amp;year(fees!$B$2:$B53))"),40.0)</f>
        <v>40</v>
      </c>
      <c r="W35" s="555">
        <f>IFERROR(__xludf.DUMMYFUNCTION("FILTER(fees!X2:X53,Month($G$28)&amp;year($G$28) =Month(fees!$B$2:$B53)&amp;year(fees!$B$2:$B53))"),40.0)</f>
        <v>40</v>
      </c>
      <c r="X35" s="555">
        <f>IFERROR(__xludf.DUMMYFUNCTION("FILTER(fees!Y2:Y53,Month($G$28)&amp;year($G$28) =Month(fees!$B$2:$B53)&amp;year(fees!$B$2:$B53))"),2.0)</f>
        <v>2</v>
      </c>
      <c r="Y35" s="555">
        <f>IFERROR(__xludf.DUMMYFUNCTION("FILTER(fees!Z2:Z53,Month($G$28)&amp;year($G$28) =Month(fees!$B$2:$B53)&amp;year(fees!$B$2:$B53))"),2.0)</f>
        <v>2</v>
      </c>
      <c r="Z35" s="555">
        <f>IFERROR(__xludf.DUMMYFUNCTION("FILTER(fees!AA2:AA53,Month($G$28)&amp;year($G$28) =Month(fees!$B$2:$B53)&amp;year(fees!$B$2:$B53))"),200.0)</f>
        <v>200</v>
      </c>
      <c r="AA35" s="555" t="str">
        <f>IFERROR(__xludf.DUMMYFUNCTION("FILTER(fees!AB2:AB53,Month($G$28)&amp;year($G$28) =Month(fees!$B$2:$B53)&amp;year(fees!$B$2:$B53))"),"")</f>
        <v/>
      </c>
      <c r="AB35" s="555">
        <f>IFERROR(__xludf.DUMMYFUNCTION("FILTER(fees!AC2:AC53,Month($G$28)&amp;year($G$28) =Month(fees!$B$2:$B53)&amp;year(fees!$B$2:$B53))"),500.0)</f>
        <v>500</v>
      </c>
      <c r="AC35" s="555" t="str">
        <f>IFERROR(__xludf.DUMMYFUNCTION("FILTER(fees!AD2:AD53,Month($G$28)&amp;year($G$28) =Month(fees!$B$2:$B53)&amp;year(fees!$B$2:$B53))"),"")</f>
        <v/>
      </c>
    </row>
    <row r="36" ht="10.5" customHeight="1"/>
    <row r="37" ht="19.5" customHeight="1">
      <c r="A37" s="563"/>
      <c r="B37" s="562" t="s">
        <v>981</v>
      </c>
      <c r="F37" s="563"/>
      <c r="G37" s="563"/>
      <c r="H37" s="563"/>
      <c r="I37" s="563"/>
      <c r="J37" s="563"/>
      <c r="K37" s="563"/>
      <c r="L37" s="563"/>
      <c r="M37" s="563"/>
      <c r="N37" s="563"/>
      <c r="O37" s="563"/>
      <c r="P37" s="563"/>
      <c r="Q37" s="563"/>
      <c r="R37" s="563"/>
      <c r="S37" s="563"/>
      <c r="T37" s="563"/>
      <c r="U37" s="563"/>
      <c r="V37" s="563"/>
      <c r="W37" s="563"/>
      <c r="X37" s="563"/>
      <c r="Y37" s="563"/>
      <c r="Z37" s="563"/>
      <c r="AA37" s="563"/>
      <c r="AB37" s="563"/>
      <c r="AC37" s="563"/>
      <c r="AD37" s="563"/>
      <c r="AE37" s="563"/>
      <c r="AF37" s="563"/>
      <c r="AG37" s="563"/>
      <c r="AH37" s="563"/>
      <c r="AI37" s="563"/>
      <c r="AJ37" s="563"/>
      <c r="AK37" s="563"/>
      <c r="AL37" s="563"/>
      <c r="AM37" s="563"/>
      <c r="AN37" s="563"/>
      <c r="AO37" s="563"/>
      <c r="AP37" s="563"/>
      <c r="AQ37" s="563"/>
      <c r="AR37" s="563"/>
      <c r="AS37" s="563"/>
      <c r="AT37" s="563"/>
      <c r="AU37" s="563"/>
      <c r="AV37" s="563"/>
      <c r="AW37" s="563"/>
      <c r="AX37" s="563"/>
      <c r="AY37" s="563"/>
      <c r="AZ37" s="563"/>
      <c r="BA37" s="563"/>
      <c r="BB37" s="563"/>
      <c r="BC37" s="563"/>
      <c r="BD37" s="563"/>
      <c r="BE37" s="563"/>
      <c r="BF37" s="563"/>
      <c r="BG37" s="563"/>
      <c r="BH37" s="563"/>
      <c r="BI37" s="563"/>
      <c r="BJ37" s="563"/>
      <c r="BK37" s="563"/>
      <c r="BL37" s="563"/>
      <c r="BM37" s="563"/>
      <c r="BN37" s="563"/>
      <c r="BO37" s="563"/>
      <c r="BP37" s="563"/>
      <c r="BQ37" s="563"/>
      <c r="BR37" s="563"/>
      <c r="BS37" s="563"/>
      <c r="BT37" s="563"/>
      <c r="BU37" s="563"/>
      <c r="BV37" s="563"/>
      <c r="BW37" s="563"/>
      <c r="BX37" s="563"/>
      <c r="BY37" s="563"/>
      <c r="BZ37" s="563"/>
      <c r="CA37" s="563"/>
      <c r="CB37" s="563"/>
      <c r="CC37" s="563"/>
      <c r="CD37" s="563"/>
      <c r="CE37" s="563"/>
      <c r="CF37" s="563"/>
      <c r="CG37" s="563"/>
      <c r="CH37" s="563"/>
      <c r="CI37" s="563"/>
      <c r="CJ37" s="563"/>
      <c r="CK37" s="563"/>
      <c r="CL37" s="563"/>
      <c r="CM37" s="563"/>
      <c r="CN37" s="563"/>
      <c r="CO37" s="563"/>
      <c r="CP37" s="563"/>
      <c r="CQ37" s="563"/>
      <c r="CR37" s="563"/>
      <c r="CS37" s="563"/>
      <c r="CT37" s="563"/>
      <c r="CU37" s="563"/>
      <c r="CV37" s="563"/>
      <c r="CW37" s="563"/>
      <c r="CX37" s="563"/>
      <c r="CY37" s="563"/>
      <c r="CZ37" s="563"/>
      <c r="DA37" s="563"/>
      <c r="DB37" s="563"/>
      <c r="DC37" s="563"/>
      <c r="DD37" s="563"/>
      <c r="DE37" s="563"/>
      <c r="DF37" s="563"/>
      <c r="DG37" s="563"/>
      <c r="DH37" s="563"/>
      <c r="DI37" s="563"/>
      <c r="DJ37" s="563"/>
      <c r="DK37" s="563"/>
      <c r="DL37" s="563"/>
      <c r="DM37" s="563"/>
      <c r="DN37" s="563"/>
      <c r="DO37" s="563"/>
      <c r="DP37" s="563"/>
      <c r="DQ37" s="563"/>
      <c r="DR37" s="563"/>
      <c r="DS37" s="563"/>
      <c r="DT37" s="563"/>
      <c r="DU37" s="563"/>
      <c r="DV37" s="563"/>
      <c r="DW37" s="563"/>
      <c r="DX37" s="563"/>
      <c r="DY37" s="563"/>
      <c r="DZ37" s="563"/>
      <c r="EA37" s="563"/>
      <c r="EB37" s="563"/>
      <c r="EC37" s="563"/>
      <c r="ED37" s="563"/>
      <c r="EE37" s="563"/>
      <c r="EF37" s="563"/>
      <c r="EG37" s="563"/>
      <c r="EH37" s="563"/>
      <c r="EI37" s="563"/>
      <c r="EJ37" s="563"/>
      <c r="EK37" s="563"/>
      <c r="EL37" s="563"/>
    </row>
    <row r="38" ht="67.5" customHeight="1">
      <c r="A38" s="568"/>
      <c r="B38" s="569" t="s">
        <v>880</v>
      </c>
      <c r="C38" s="570" t="s">
        <v>881</v>
      </c>
      <c r="D38" s="570" t="s">
        <v>882</v>
      </c>
      <c r="E38" s="570" t="s">
        <v>883</v>
      </c>
      <c r="F38" s="570" t="s">
        <v>888</v>
      </c>
      <c r="G38" s="570" t="s">
        <v>889</v>
      </c>
      <c r="H38" s="571" t="s">
        <v>890</v>
      </c>
      <c r="I38" s="570" t="s">
        <v>891</v>
      </c>
      <c r="J38" s="570" t="s">
        <v>893</v>
      </c>
      <c r="K38" s="570" t="s">
        <v>895</v>
      </c>
      <c r="L38" s="572" t="s">
        <v>896</v>
      </c>
      <c r="M38" s="568"/>
      <c r="N38" s="568"/>
      <c r="O38" s="568"/>
      <c r="P38" s="568"/>
      <c r="Q38" s="568"/>
      <c r="R38" s="568"/>
      <c r="S38" s="568"/>
      <c r="T38" s="568"/>
      <c r="U38" s="568"/>
      <c r="V38" s="568"/>
      <c r="W38" s="568"/>
      <c r="X38" s="568"/>
      <c r="Y38" s="568"/>
      <c r="Z38" s="568"/>
      <c r="AA38" s="568"/>
      <c r="AB38" s="568"/>
      <c r="AC38" s="568"/>
      <c r="AD38" s="568"/>
      <c r="AE38" s="568"/>
      <c r="AF38" s="568"/>
      <c r="AG38" s="568"/>
      <c r="AH38" s="568"/>
      <c r="AI38" s="568"/>
      <c r="AJ38" s="568"/>
      <c r="AK38" s="568"/>
      <c r="AL38" s="568"/>
      <c r="AM38" s="568"/>
      <c r="AN38" s="568"/>
      <c r="AO38" s="568"/>
      <c r="AP38" s="568"/>
      <c r="AQ38" s="568"/>
      <c r="AR38" s="568"/>
      <c r="AS38" s="568"/>
      <c r="AT38" s="568"/>
      <c r="AU38" s="568"/>
      <c r="AV38" s="568"/>
      <c r="AW38" s="568"/>
      <c r="AX38" s="568"/>
      <c r="AY38" s="568"/>
      <c r="AZ38" s="568"/>
      <c r="BA38" s="568"/>
      <c r="BB38" s="568"/>
      <c r="BC38" s="568"/>
      <c r="BD38" s="568"/>
      <c r="BE38" s="568"/>
      <c r="BF38" s="568"/>
      <c r="BG38" s="568"/>
      <c r="BH38" s="568"/>
      <c r="BI38" s="568"/>
      <c r="BJ38" s="568"/>
      <c r="BK38" s="568"/>
      <c r="BL38" s="568"/>
      <c r="BM38" s="568"/>
      <c r="BN38" s="568"/>
      <c r="BO38" s="568"/>
      <c r="BP38" s="568"/>
      <c r="BQ38" s="568"/>
      <c r="BR38" s="568"/>
      <c r="BS38" s="568"/>
      <c r="BT38" s="568"/>
      <c r="BU38" s="568"/>
      <c r="BV38" s="568"/>
      <c r="BW38" s="568"/>
      <c r="BX38" s="568"/>
      <c r="BY38" s="568"/>
      <c r="BZ38" s="568"/>
      <c r="CA38" s="568"/>
      <c r="CB38" s="568"/>
      <c r="CC38" s="568"/>
      <c r="CD38" s="568"/>
      <c r="CE38" s="568"/>
      <c r="CF38" s="568"/>
      <c r="CG38" s="568"/>
      <c r="CH38" s="568"/>
      <c r="CI38" s="568"/>
      <c r="CJ38" s="568"/>
      <c r="CK38" s="568"/>
      <c r="CL38" s="568"/>
      <c r="CM38" s="568"/>
      <c r="CN38" s="568"/>
      <c r="CO38" s="568"/>
      <c r="CP38" s="568"/>
      <c r="CQ38" s="568"/>
      <c r="CR38" s="568"/>
      <c r="CS38" s="568"/>
      <c r="CT38" s="568"/>
      <c r="CU38" s="568"/>
      <c r="CV38" s="568"/>
      <c r="CW38" s="568"/>
      <c r="CX38" s="568"/>
      <c r="CY38" s="568"/>
      <c r="CZ38" s="568"/>
      <c r="DA38" s="568"/>
      <c r="DB38" s="568"/>
      <c r="DC38" s="568"/>
      <c r="DD38" s="568"/>
      <c r="DE38" s="568"/>
      <c r="DF38" s="568"/>
      <c r="DG38" s="568"/>
      <c r="DH38" s="568"/>
      <c r="DI38" s="568"/>
      <c r="DJ38" s="568"/>
      <c r="DK38" s="568"/>
      <c r="DL38" s="568"/>
      <c r="DM38" s="568"/>
      <c r="DN38" s="568"/>
      <c r="DO38" s="568"/>
      <c r="DP38" s="568"/>
      <c r="DQ38" s="568"/>
      <c r="DR38" s="568"/>
      <c r="DS38" s="568"/>
      <c r="DT38" s="568"/>
      <c r="DU38" s="568"/>
      <c r="DV38" s="568"/>
      <c r="DW38" s="568"/>
      <c r="DX38" s="568"/>
      <c r="DY38" s="568"/>
      <c r="DZ38" s="568"/>
      <c r="EA38" s="568"/>
      <c r="EB38" s="568"/>
      <c r="EC38" s="568"/>
      <c r="ED38" s="568"/>
      <c r="EE38" s="568"/>
      <c r="EF38" s="568"/>
      <c r="EG38" s="568"/>
      <c r="EH38" s="568"/>
      <c r="EI38" s="568"/>
      <c r="EJ38" s="568"/>
      <c r="EK38" s="568"/>
      <c r="EL38" s="568"/>
    </row>
    <row r="39" ht="18.0" customHeight="1">
      <c r="A39" s="7" t="s">
        <v>982</v>
      </c>
      <c r="B39" s="573">
        <f>sumifs('Form responses'!BG2:BG53,'Form responses'!$C$2:$C53,"&gt;="&amp;edate($E$28,-3),'Form responses'!$C$2:$C53,"&lt;="&amp;edate($G$28,-3),'Form responses'!$D$2:$D53,$C$28)</f>
        <v>0</v>
      </c>
      <c r="C39" s="573">
        <f>sumifs('Form responses'!BI2:BI53,'Form responses'!$C$2:$C53,"&gt;="&amp;edate($E$28,-3),'Form responses'!$C$2:$C53,"&lt;="&amp;edate($G$28,-3),'Form responses'!$D$2:$D53,$C$28)</f>
        <v>0</v>
      </c>
      <c r="D39" s="573">
        <f>sumifs('Form responses'!BK2:BK53,'Form responses'!$C$2:$C53,"&gt;="&amp;edate($E$28,-3),'Form responses'!$C$2:$C53,"&lt;="&amp;edate($G$28,-3),'Form responses'!$D$2:$D53,$C$28)</f>
        <v>0</v>
      </c>
      <c r="E39" s="573">
        <f>sumifs('Form responses'!BM2:BM53,'Form responses'!$C$2:$C53,"&gt;="&amp;edate($E$28,-3),'Form responses'!$C$2:$C53,"&lt;="&amp;edate($G$28,-3),'Form responses'!$D$2:$D53,$C$28)</f>
        <v>0</v>
      </c>
      <c r="F39" s="574">
        <f>sumifs('Form responses'!BO2:BO53,'Form responses'!$C$2:$C53,"&gt;="&amp;edate($E$28,-3),'Form responses'!$C$2:$C53,"&lt;="&amp;edate($G$28,-3),'Form responses'!$D$2:$D53,$C$28)</f>
        <v>0</v>
      </c>
      <c r="G39" s="574">
        <f>sumifs('Form responses'!BQ2:BQ53,'Form responses'!$C$2:$C53,"&gt;="&amp;edate($E$28,-3),'Form responses'!$C$2:$C53,"&lt;="&amp;edate($G$28,-3),'Form responses'!$D$2:$D53,$C$28)</f>
        <v>0</v>
      </c>
      <c r="H39" s="574">
        <f>sumifs('Form responses'!BS2:BS53,'Form responses'!$C$2:$C53,"&gt;="&amp;edate($E$28,-3),'Form responses'!$C$2:$C53,"&lt;="&amp;edate($G$28,-3),'Form responses'!$D$2:$D53,$C$28)</f>
        <v>0</v>
      </c>
      <c r="I39" s="574">
        <f>sumifs('Form responses'!CE2:CE53,'Form responses'!$C$2:$C53,"&gt;="&amp;edate($E$28,-3),'Form responses'!$C$2:$C53,"&lt;="&amp;edate($G$28,-3),'Form responses'!$D$2:$D53,$C$28)</f>
        <v>0</v>
      </c>
      <c r="J39" s="574">
        <f>sumifs('Form responses'!BD2:BD53,'Form responses'!$C$2:$C53,"&gt;="&amp;edate($E$28,-3),'Form responses'!$C$2:$C53,"&lt;="&amp;edate($G$28,-3),'Form responses'!$D$2:$D53,$C$28)</f>
        <v>0</v>
      </c>
      <c r="K39" s="574">
        <f>sumifs('Form responses'!CA2:CA53,'Form responses'!$C$2:$C53,"&gt;="&amp;edate($E$28,-3),'Form responses'!$C$2:$C53,"&lt;="&amp;edate($G$28,-3),'Form responses'!$D$2:$D53,$C$28)</f>
        <v>0</v>
      </c>
      <c r="L39" s="574">
        <f>sumifs('Form responses'!CC2:CC53,'Form responses'!$C$2:$C53,"&gt;="&amp;edate($E$28,-3),'Form responses'!$C$2:$C53,"&lt;="&amp;edate($G$28,-3),'Form responses'!$D$2:$D53,$C$28)</f>
        <v>0</v>
      </c>
    </row>
    <row r="40" ht="11.25" customHeight="1"/>
    <row r="41" ht="20.25" customHeight="1">
      <c r="B41" s="562" t="s">
        <v>983</v>
      </c>
    </row>
    <row r="42" ht="60.0" customHeight="1">
      <c r="B42" s="569" t="s">
        <v>880</v>
      </c>
      <c r="C42" s="570" t="s">
        <v>881</v>
      </c>
      <c r="D42" s="570" t="s">
        <v>882</v>
      </c>
      <c r="E42" s="570" t="s">
        <v>883</v>
      </c>
      <c r="F42" s="570" t="s">
        <v>888</v>
      </c>
      <c r="G42" s="570" t="s">
        <v>889</v>
      </c>
      <c r="H42" s="571" t="s">
        <v>890</v>
      </c>
      <c r="I42" s="570" t="s">
        <v>891</v>
      </c>
      <c r="J42" s="570" t="s">
        <v>893</v>
      </c>
      <c r="K42" s="570" t="s">
        <v>895</v>
      </c>
      <c r="L42" s="572" t="s">
        <v>896</v>
      </c>
    </row>
    <row r="43" ht="18.0" customHeight="1">
      <c r="A43" s="575" t="s">
        <v>982</v>
      </c>
      <c r="B43" s="573">
        <f>sumifs('Form responses'!BG2:BG53,'Form responses'!$C$2:$C53,"&gt;="&amp;edate($E$28,-9),'Form responses'!$C$2:$C53,"&lt;="&amp;edate($G$28,-9),'Form responses'!$D$2:$D53,$C$28)</f>
        <v>0</v>
      </c>
      <c r="C43" s="574">
        <f>sumifs('Form responses'!BI2:BI53,'Form responses'!$C$2:$C53,"&gt;="&amp;edate($E$28,-9),'Form responses'!$C$2:$C53,"&lt;="&amp;edate($G$28,-9),'Form responses'!$D$2:$D53,$C$28)</f>
        <v>0</v>
      </c>
      <c r="D43" s="574">
        <f>sumifs('Form responses'!BK2:BK53,'Form responses'!$C$2:$C53,"&gt;="&amp;edate($E$28,-9),'Form responses'!$C$2:$C53,"&lt;="&amp;edate($G$28,-9),'Form responses'!$D$2:$D53,$C$28)</f>
        <v>0</v>
      </c>
      <c r="E43" s="574">
        <f>sumifs('Form responses'!BM2:BM53,'Form responses'!$C$2:$C53,"&gt;="&amp;edate($E$28,-9),'Form responses'!$C$2:$C53,"&lt;="&amp;edate($G$28,-9),'Form responses'!$D$2:$D53,$C$28)</f>
        <v>0</v>
      </c>
      <c r="F43" s="574">
        <f>sumifs('Form responses'!BO2:BO53,'Form responses'!$C$2:$C53,"&gt;="&amp;edate($E$28,-9),'Form responses'!$C$2:$C53,"&lt;="&amp;edate($G$28,-9),'Form responses'!$D$2:$D53,$C$28)</f>
        <v>0</v>
      </c>
      <c r="G43" s="574">
        <f>sumifs('Form responses'!BQ2:BQ53,'Form responses'!$C$2:$C53,"&gt;="&amp;edate($E$28,-9),'Form responses'!$C$2:$C53,"&lt;="&amp;edate($G$28,-9),'Form responses'!$D$2:$D53,$C$28)</f>
        <v>0</v>
      </c>
      <c r="H43" s="574">
        <f>sumifs('Form responses'!BS2:BS53,'Form responses'!$C$2:$C53,"&gt;="&amp;edate($E$28,-9),'Form responses'!$C$2:$C53,"&lt;="&amp;edate($G$28,-9),'Form responses'!$D$2:$D53,$C$28)</f>
        <v>5</v>
      </c>
      <c r="I43" s="574">
        <f>sumifs('Form responses'!CE2:CE53,'Form responses'!$C$2:$C53,"&gt;="&amp;edate($E$28,-9),'Form responses'!$C$2:$C53,"&lt;="&amp;edate($G$28,-9),'Form responses'!$D$2:$D53,$C$28)</f>
        <v>0</v>
      </c>
      <c r="J43" s="574">
        <f>sumifs('Form responses'!BD2:BD53,'Form responses'!$C$2:$C53,"&gt;="&amp;edate($E$28,-9),'Form responses'!$C$2:$C53,"&lt;="&amp;edate($G$28,-9),'Form responses'!$D$2:$D53,$C$28)</f>
        <v>0</v>
      </c>
      <c r="K43" s="574">
        <f>sumifs('Form responses'!CA2:CA53,'Form responses'!$C$2:$C53,"&gt;="&amp;edate($E$28,-10),'Form responses'!$C$2:$C53,"&lt;="&amp;edate($G$28,-10),'Form responses'!$D$2:$D53,$C$28)</f>
        <v>0</v>
      </c>
      <c r="L43" s="576">
        <f>sumifs('Form responses'!CC2:CC53,'Form responses'!$C$2:$C53,"&gt;="&amp;edate($E$28,-10),'Form responses'!$C$2:$C53,"&lt;="&amp;edate($G$28,-10),'Form responses'!$D$2:$D53,$C$28)</f>
        <v>0</v>
      </c>
    </row>
    <row r="44" ht="9.75" customHeight="1"/>
    <row r="45" ht="15.75" customHeight="1">
      <c r="B45" s="562" t="s">
        <v>984</v>
      </c>
    </row>
    <row r="46">
      <c r="B46" s="577" t="s">
        <v>553</v>
      </c>
      <c r="C46" s="578" t="s">
        <v>554</v>
      </c>
      <c r="D46" s="578" t="s">
        <v>502</v>
      </c>
      <c r="E46" s="578" t="s">
        <v>554</v>
      </c>
      <c r="F46" s="578" t="s">
        <v>503</v>
      </c>
      <c r="G46" s="578" t="s">
        <v>554</v>
      </c>
      <c r="H46" s="578" t="s">
        <v>504</v>
      </c>
      <c r="I46" s="578" t="s">
        <v>554</v>
      </c>
      <c r="J46" s="579" t="s">
        <v>555</v>
      </c>
    </row>
    <row r="47">
      <c r="A47" s="7" t="s">
        <v>945</v>
      </c>
      <c r="B47" s="580">
        <f>sumifs('Form responses'!GN2:GN53,'Form responses'!$B$2:$B53,"&gt;="&amp;$E$28,'Form responses'!$C$2:$C53,"&lt;="&amp;$G$28,'Form responses'!$D$2:$D53,$C$28)</f>
        <v>0</v>
      </c>
      <c r="C47" s="581">
        <f t="shared" ref="C47:C48" si="5">B47*$V$35</f>
        <v>0</v>
      </c>
      <c r="D47" s="581">
        <f>sumifs('Form responses'!GO2:GO53,'Form responses'!$B$2:$B53,"&gt;="&amp;$E$28,'Form responses'!$C$2:$C53,"&lt;="&amp;$G$28,'Form responses'!$D$2:$D53,$C$28)</f>
        <v>0</v>
      </c>
      <c r="E47" s="581">
        <f t="shared" ref="E47:E48" si="6">D47*$W$35</f>
        <v>0</v>
      </c>
      <c r="F47" s="581">
        <f>sumifs('Form responses'!GP2:GP53,'Form responses'!$B$2:$B53,"&gt;="&amp;$E$28,'Form responses'!$C$2:$C53,"&lt;="&amp;$G$28,'Form responses'!$D$2:$D53,$C$28)</f>
        <v>0</v>
      </c>
      <c r="G47" s="581">
        <f t="shared" ref="G47:G48" si="7">F47*$X$35</f>
        <v>0</v>
      </c>
      <c r="H47" s="581">
        <f>sumifs('Form responses'!GQ2:GQ53,'Form responses'!$B$2:$B53,"&gt;="&amp;$E$28,'Form responses'!$C$2:$C53,"&lt;="&amp;$G$28,'Form responses'!$D$2:$D53,$C$28)</f>
        <v>0</v>
      </c>
      <c r="I47" s="581">
        <f t="shared" ref="I47:I48" si="8">H47*$Y$35</f>
        <v>0</v>
      </c>
      <c r="J47" s="582">
        <f t="shared" ref="J47:J48" si="9">C47+E47+G47+I47</f>
        <v>0</v>
      </c>
    </row>
    <row r="48">
      <c r="A48" s="7" t="s">
        <v>946</v>
      </c>
      <c r="B48" s="583">
        <f>sumifs('Form responses'!GN2:GN53,'Form responses'!$B$2:$B53,"&gt;="&amp;Date(YEAR(DATE(YEAR($G$28),MONTH($G$28)+(-3),1)),4,1),'Form responses'!$C$2:$C53,"&lt;="&amp;$G$28,'Form responses'!$D$2:$D53,$C$28)</f>
        <v>0</v>
      </c>
      <c r="C48" s="584">
        <f t="shared" si="5"/>
        <v>0</v>
      </c>
      <c r="D48" s="584">
        <f>sumifs('Form responses'!GO2:GO53,'Form responses'!$B$2:$B53,"&gt;="&amp;Date(YEAR(DATE(YEAR($G$28),MONTH($G$28)+(-3),1)),4,1),'Form responses'!$C$2:$C53,"&lt;="&amp;$G$28,'Form responses'!$D$2:$D53,$C$28)</f>
        <v>0</v>
      </c>
      <c r="E48" s="584">
        <f t="shared" si="6"/>
        <v>0</v>
      </c>
      <c r="F48" s="584">
        <f>sumifs('Form responses'!GP2:GP53,'Form responses'!$B$2:$B53,"&gt;="&amp;Date(YEAR(DATE(YEAR($G$28),MONTH($G$28)+(-3),1)),4,1),'Form responses'!$C$2:$C53,"&lt;="&amp;$G$28,'Form responses'!$D$2:$D53,$C$28)</f>
        <v>0</v>
      </c>
      <c r="G48" s="584">
        <f t="shared" si="7"/>
        <v>0</v>
      </c>
      <c r="H48" s="584">
        <f>sumifs('Form responses'!GQ2:GQ53,'Form responses'!$B$2:$B53,"&gt;="&amp;Date(YEAR(DATE(YEAR($G$28),MONTH($G$28)+(-3),1)),4,1),'Form responses'!$C$2:$C53,"&lt;="&amp;$G$28,'Form responses'!$D$2:$D53,$C$28)</f>
        <v>0</v>
      </c>
      <c r="I48" s="584">
        <f t="shared" si="8"/>
        <v>0</v>
      </c>
      <c r="J48" s="585">
        <f t="shared" si="9"/>
        <v>0</v>
      </c>
    </row>
    <row r="52">
      <c r="A52" s="586"/>
      <c r="B52" s="587"/>
      <c r="C52" s="587"/>
      <c r="D52" s="587"/>
      <c r="E52" s="587"/>
      <c r="F52" s="587"/>
      <c r="G52" s="587"/>
      <c r="H52" s="587"/>
      <c r="I52" s="587"/>
      <c r="J52" s="587"/>
      <c r="K52" s="587"/>
      <c r="L52" s="587"/>
      <c r="M52" s="587"/>
      <c r="N52" s="587"/>
      <c r="O52" s="587"/>
      <c r="P52" s="587"/>
      <c r="Q52" s="587"/>
      <c r="R52" s="587"/>
      <c r="S52" s="587"/>
      <c r="T52" s="587"/>
      <c r="U52" s="587"/>
      <c r="V52" s="587"/>
      <c r="W52" s="587"/>
      <c r="X52" s="587"/>
      <c r="Y52" s="587"/>
      <c r="Z52" s="587"/>
      <c r="AA52" s="587"/>
      <c r="AB52" s="587"/>
      <c r="AC52" s="587"/>
      <c r="AD52" s="587"/>
      <c r="AE52" s="587"/>
      <c r="AF52" s="587"/>
      <c r="AG52" s="587"/>
      <c r="AH52" s="587"/>
      <c r="AI52" s="587"/>
      <c r="AJ52" s="587"/>
      <c r="AK52" s="587"/>
      <c r="AL52" s="587"/>
      <c r="AM52" s="587"/>
      <c r="AN52" s="587"/>
      <c r="AO52" s="587"/>
      <c r="AP52" s="587"/>
      <c r="AQ52" s="587"/>
      <c r="AR52" s="587"/>
      <c r="AS52" s="587"/>
      <c r="AT52" s="587"/>
      <c r="AU52" s="587"/>
      <c r="AV52" s="587"/>
      <c r="AW52" s="587"/>
      <c r="AX52" s="587"/>
      <c r="AY52" s="587"/>
      <c r="AZ52" s="587"/>
      <c r="BA52" s="587"/>
      <c r="BB52" s="587"/>
      <c r="BC52" s="587"/>
      <c r="BD52" s="587"/>
      <c r="BE52" s="587"/>
      <c r="BF52" s="587"/>
      <c r="BG52" s="587"/>
      <c r="BH52" s="587"/>
      <c r="BI52" s="587"/>
      <c r="BJ52" s="587"/>
      <c r="BK52" s="587"/>
      <c r="BL52" s="587"/>
      <c r="BM52" s="587"/>
      <c r="BN52" s="587"/>
      <c r="BO52" s="587"/>
      <c r="BP52" s="587"/>
      <c r="BQ52" s="587"/>
      <c r="BR52" s="587"/>
      <c r="BS52" s="587"/>
      <c r="BT52" s="587"/>
      <c r="BU52" s="587"/>
      <c r="BV52" s="587"/>
      <c r="BW52" s="587"/>
      <c r="BX52" s="587"/>
      <c r="BY52" s="587"/>
      <c r="BZ52" s="587"/>
      <c r="CA52" s="587"/>
      <c r="CB52" s="587"/>
      <c r="CC52" s="587"/>
      <c r="CD52" s="587"/>
      <c r="CE52" s="587"/>
      <c r="CF52" s="587"/>
      <c r="CG52" s="587"/>
      <c r="CH52" s="587"/>
      <c r="CI52" s="587"/>
      <c r="CJ52" s="587"/>
      <c r="CK52" s="587"/>
      <c r="CL52" s="587"/>
      <c r="CM52" s="587"/>
      <c r="CN52" s="587"/>
      <c r="CO52" s="587"/>
      <c r="CP52" s="587"/>
      <c r="CQ52" s="587"/>
      <c r="CR52" s="587"/>
      <c r="CS52" s="587"/>
      <c r="CT52" s="587"/>
      <c r="CU52" s="587"/>
      <c r="CV52" s="587"/>
      <c r="CW52" s="587"/>
      <c r="CX52" s="587"/>
      <c r="CY52" s="587"/>
      <c r="CZ52" s="587"/>
      <c r="DA52" s="587"/>
      <c r="DB52" s="587"/>
      <c r="DC52" s="587"/>
      <c r="DD52" s="587"/>
      <c r="DE52" s="587"/>
      <c r="DF52" s="587"/>
      <c r="DG52" s="587"/>
      <c r="DH52" s="587"/>
      <c r="DI52" s="587"/>
      <c r="DJ52" s="587"/>
      <c r="DK52" s="587"/>
      <c r="DL52" s="587"/>
      <c r="DM52" s="587"/>
      <c r="DN52" s="587"/>
      <c r="DO52" s="587"/>
      <c r="DP52" s="587"/>
      <c r="DQ52" s="587"/>
      <c r="DR52" s="587"/>
      <c r="DS52" s="587"/>
      <c r="DT52" s="587"/>
      <c r="DU52" s="587"/>
      <c r="DV52" s="587"/>
      <c r="DW52" s="587"/>
      <c r="DX52" s="587"/>
      <c r="DY52" s="587"/>
      <c r="DZ52" s="587"/>
      <c r="EA52" s="587"/>
      <c r="EB52" s="587"/>
      <c r="EC52" s="587"/>
      <c r="ED52" s="587"/>
      <c r="EE52" s="587"/>
      <c r="EF52" s="587"/>
      <c r="EG52" s="587"/>
      <c r="EH52" s="587"/>
      <c r="EI52" s="587"/>
      <c r="EJ52" s="588"/>
    </row>
  </sheetData>
  <mergeCells count="9">
    <mergeCell ref="B41:G41"/>
    <mergeCell ref="B45:E45"/>
    <mergeCell ref="B2:D2"/>
    <mergeCell ref="B7:D7"/>
    <mergeCell ref="B16:D16"/>
    <mergeCell ref="B22:D22"/>
    <mergeCell ref="C28:D28"/>
    <mergeCell ref="B33:D33"/>
    <mergeCell ref="B37:E3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8.88"/>
    <col customWidth="1" min="2" max="2" width="18.88"/>
    <col customWidth="1" min="3" max="29" width="7.38"/>
    <col customWidth="1" min="30" max="35" width="18.88"/>
  </cols>
  <sheetData>
    <row r="1">
      <c r="A1" s="589" t="s">
        <v>0</v>
      </c>
      <c r="B1" s="590" t="s">
        <v>985</v>
      </c>
      <c r="C1" s="589" t="s">
        <v>948</v>
      </c>
      <c r="D1" s="589" t="s">
        <v>949</v>
      </c>
      <c r="E1" s="589" t="s">
        <v>950</v>
      </c>
      <c r="F1" s="589" t="s">
        <v>815</v>
      </c>
      <c r="G1" s="589" t="s">
        <v>951</v>
      </c>
      <c r="H1" s="589" t="s">
        <v>952</v>
      </c>
      <c r="I1" s="589" t="s">
        <v>953</v>
      </c>
      <c r="J1" s="589" t="s">
        <v>954</v>
      </c>
      <c r="K1" s="589" t="s">
        <v>955</v>
      </c>
      <c r="L1" s="589" t="s">
        <v>956</v>
      </c>
      <c r="M1" s="589" t="s">
        <v>957</v>
      </c>
      <c r="N1" s="589" t="s">
        <v>958</v>
      </c>
      <c r="O1" s="589" t="s">
        <v>959</v>
      </c>
      <c r="P1" s="591" t="s">
        <v>976</v>
      </c>
      <c r="Q1" s="589" t="s">
        <v>961</v>
      </c>
      <c r="R1" s="589" t="s">
        <v>962</v>
      </c>
      <c r="S1" s="589" t="s">
        <v>963</v>
      </c>
      <c r="T1" s="591" t="s">
        <v>978</v>
      </c>
      <c r="U1" s="591" t="s">
        <v>986</v>
      </c>
      <c r="V1" s="589" t="s">
        <v>966</v>
      </c>
      <c r="W1" s="589" t="s">
        <v>967</v>
      </c>
      <c r="X1" s="589" t="s">
        <v>968</v>
      </c>
      <c r="Y1" s="589" t="s">
        <v>969</v>
      </c>
      <c r="Z1" s="589" t="s">
        <v>970</v>
      </c>
      <c r="AA1" s="590" t="s">
        <v>987</v>
      </c>
      <c r="AB1" s="590" t="s">
        <v>988</v>
      </c>
      <c r="AC1" s="590" t="s">
        <v>989</v>
      </c>
      <c r="AD1" s="589"/>
      <c r="AE1" s="589"/>
      <c r="AF1" s="589"/>
      <c r="AG1" s="589"/>
      <c r="AH1" s="589"/>
      <c r="AI1" s="589"/>
    </row>
    <row r="2">
      <c r="A2" s="5">
        <v>44566.80381528936</v>
      </c>
      <c r="B2" s="86">
        <v>44566.0</v>
      </c>
      <c r="C2" s="7">
        <v>10.0</v>
      </c>
      <c r="D2" s="7">
        <v>50.0</v>
      </c>
      <c r="E2" s="7">
        <v>25.0</v>
      </c>
      <c r="F2" s="7">
        <v>50.0</v>
      </c>
      <c r="G2" s="7">
        <v>50.0</v>
      </c>
      <c r="H2" s="7">
        <v>100.0</v>
      </c>
      <c r="I2" s="7">
        <v>20.0</v>
      </c>
      <c r="J2" s="7">
        <v>100.0</v>
      </c>
      <c r="K2" s="7">
        <v>5.0</v>
      </c>
      <c r="L2" s="7">
        <v>0.0</v>
      </c>
      <c r="M2" s="7">
        <v>5.0</v>
      </c>
      <c r="N2" s="7">
        <v>0.0</v>
      </c>
      <c r="O2" s="7">
        <v>0.0</v>
      </c>
      <c r="P2" s="7">
        <v>0.0</v>
      </c>
      <c r="Q2" s="7">
        <v>0.0</v>
      </c>
      <c r="R2" s="7">
        <v>25.0</v>
      </c>
      <c r="S2" s="7">
        <v>35.0</v>
      </c>
      <c r="T2" s="7">
        <v>50.0</v>
      </c>
      <c r="U2" s="7">
        <v>200.0</v>
      </c>
      <c r="V2" s="7">
        <v>25.0</v>
      </c>
      <c r="W2" s="7">
        <v>40.0</v>
      </c>
      <c r="X2" s="7">
        <v>40.0</v>
      </c>
      <c r="Y2" s="7">
        <v>2.0</v>
      </c>
      <c r="Z2" s="7">
        <v>2.0</v>
      </c>
      <c r="AA2" s="7">
        <v>200.0</v>
      </c>
      <c r="AC2" s="7">
        <v>500.0</v>
      </c>
    </row>
    <row r="3">
      <c r="B3" s="86">
        <v>45732.0</v>
      </c>
      <c r="C3" s="7">
        <v>10.0</v>
      </c>
      <c r="D3" s="7">
        <v>50.0</v>
      </c>
      <c r="E3" s="7">
        <v>25.0</v>
      </c>
      <c r="F3" s="7">
        <v>50.0</v>
      </c>
      <c r="G3" s="7">
        <v>50.0</v>
      </c>
      <c r="H3" s="7">
        <v>100.0</v>
      </c>
      <c r="I3" s="7">
        <v>20.0</v>
      </c>
      <c r="J3" s="7">
        <v>100.0</v>
      </c>
      <c r="K3" s="7">
        <v>5.0</v>
      </c>
      <c r="L3" s="7">
        <v>0.0</v>
      </c>
      <c r="M3" s="7">
        <v>5.0</v>
      </c>
      <c r="N3" s="7">
        <v>0.0</v>
      </c>
      <c r="O3" s="7">
        <v>0.0</v>
      </c>
      <c r="P3" s="7">
        <v>0.0</v>
      </c>
      <c r="Q3" s="7">
        <v>0.0</v>
      </c>
      <c r="R3" s="7">
        <v>25.0</v>
      </c>
      <c r="S3" s="7">
        <v>35.0</v>
      </c>
      <c r="T3" s="7">
        <v>250.0</v>
      </c>
      <c r="U3" s="7">
        <v>50.0</v>
      </c>
      <c r="V3" s="7">
        <v>25.0</v>
      </c>
      <c r="W3" s="7">
        <v>40.0</v>
      </c>
      <c r="X3" s="7">
        <v>40.0</v>
      </c>
      <c r="Y3" s="7">
        <v>2.0</v>
      </c>
      <c r="Z3" s="7">
        <v>2.0</v>
      </c>
      <c r="AA3" s="7">
        <v>200.0</v>
      </c>
      <c r="AC3" s="7">
        <v>500.0</v>
      </c>
    </row>
    <row r="4">
      <c r="B4" s="86">
        <v>45763.0</v>
      </c>
      <c r="C4" s="7">
        <v>10.0</v>
      </c>
      <c r="D4" s="7">
        <v>50.0</v>
      </c>
      <c r="E4" s="7">
        <v>25.0</v>
      </c>
      <c r="F4" s="7">
        <v>50.0</v>
      </c>
      <c r="G4" s="7">
        <v>50.0</v>
      </c>
      <c r="H4" s="7">
        <v>100.0</v>
      </c>
      <c r="I4" s="7">
        <v>20.0</v>
      </c>
      <c r="J4" s="7">
        <v>100.0</v>
      </c>
      <c r="K4" s="7">
        <v>5.0</v>
      </c>
      <c r="L4" s="7">
        <v>0.0</v>
      </c>
      <c r="M4" s="7">
        <v>5.0</v>
      </c>
      <c r="N4" s="7">
        <v>0.0</v>
      </c>
      <c r="O4" s="7">
        <v>0.0</v>
      </c>
      <c r="P4" s="7">
        <v>0.0</v>
      </c>
      <c r="Q4" s="7">
        <v>0.0</v>
      </c>
      <c r="R4" s="7">
        <v>25.0</v>
      </c>
      <c r="S4" s="7">
        <v>35.0</v>
      </c>
      <c r="T4" s="7">
        <v>250.0</v>
      </c>
      <c r="U4" s="7">
        <v>50.0</v>
      </c>
      <c r="V4" s="7">
        <v>25.0</v>
      </c>
      <c r="W4" s="7">
        <v>40.0</v>
      </c>
      <c r="X4" s="7">
        <v>40.0</v>
      </c>
      <c r="Y4" s="7">
        <v>2.0</v>
      </c>
      <c r="Z4" s="7">
        <v>2.0</v>
      </c>
      <c r="AA4" s="7">
        <v>200.0</v>
      </c>
      <c r="AC4" s="7">
        <v>500.0</v>
      </c>
    </row>
    <row r="5">
      <c r="B5" s="86">
        <v>45793.0</v>
      </c>
      <c r="C5" s="7">
        <v>10.0</v>
      </c>
      <c r="D5" s="7">
        <v>50.0</v>
      </c>
      <c r="E5" s="7">
        <v>25.0</v>
      </c>
      <c r="F5" s="7">
        <v>50.0</v>
      </c>
      <c r="G5" s="7">
        <v>50.0</v>
      </c>
      <c r="H5" s="7">
        <v>100.0</v>
      </c>
      <c r="I5" s="7">
        <v>20.0</v>
      </c>
      <c r="J5" s="7">
        <v>100.0</v>
      </c>
      <c r="K5" s="7">
        <v>5.0</v>
      </c>
      <c r="L5" s="7">
        <v>0.0</v>
      </c>
      <c r="M5" s="7">
        <v>5.0</v>
      </c>
      <c r="N5" s="7">
        <v>0.0</v>
      </c>
      <c r="O5" s="7">
        <v>0.0</v>
      </c>
      <c r="P5" s="7">
        <v>0.0</v>
      </c>
      <c r="Q5" s="7">
        <v>0.0</v>
      </c>
      <c r="R5" s="7">
        <v>25.0</v>
      </c>
      <c r="S5" s="7">
        <v>35.0</v>
      </c>
      <c r="T5" s="7">
        <v>250.0</v>
      </c>
      <c r="U5" s="7">
        <v>50.0</v>
      </c>
      <c r="V5" s="7">
        <v>25.0</v>
      </c>
      <c r="W5" s="7">
        <v>40.0</v>
      </c>
      <c r="X5" s="7">
        <v>40.0</v>
      </c>
      <c r="Y5" s="7">
        <v>2.0</v>
      </c>
      <c r="Z5" s="7">
        <v>2.0</v>
      </c>
      <c r="AA5" s="7">
        <v>200.0</v>
      </c>
      <c r="AC5" s="7">
        <v>500.0</v>
      </c>
    </row>
    <row r="6">
      <c r="B6" s="86">
        <v>45824.0</v>
      </c>
      <c r="C6" s="7">
        <v>10.0</v>
      </c>
      <c r="D6" s="7">
        <v>50.0</v>
      </c>
      <c r="E6" s="7">
        <v>25.0</v>
      </c>
      <c r="F6" s="7">
        <v>50.0</v>
      </c>
      <c r="G6" s="7">
        <v>50.0</v>
      </c>
      <c r="H6" s="7">
        <v>100.0</v>
      </c>
      <c r="I6" s="7">
        <v>20.0</v>
      </c>
      <c r="J6" s="7">
        <v>100.0</v>
      </c>
      <c r="K6" s="7">
        <v>5.0</v>
      </c>
      <c r="L6" s="7">
        <v>0.0</v>
      </c>
      <c r="M6" s="7">
        <v>5.0</v>
      </c>
      <c r="N6" s="7">
        <v>0.0</v>
      </c>
      <c r="O6" s="7">
        <v>0.0</v>
      </c>
      <c r="P6" s="7">
        <v>0.0</v>
      </c>
      <c r="Q6" s="7">
        <v>0.0</v>
      </c>
      <c r="R6" s="7">
        <v>25.0</v>
      </c>
      <c r="S6" s="7">
        <v>35.0</v>
      </c>
      <c r="T6" s="7">
        <v>250.0</v>
      </c>
      <c r="U6" s="7">
        <v>50.0</v>
      </c>
      <c r="V6" s="7">
        <v>25.0</v>
      </c>
      <c r="W6" s="7">
        <v>40.0</v>
      </c>
      <c r="X6" s="7">
        <v>40.0</v>
      </c>
      <c r="Y6" s="7">
        <v>2.0</v>
      </c>
      <c r="Z6" s="7">
        <v>2.0</v>
      </c>
      <c r="AA6" s="7">
        <v>200.0</v>
      </c>
      <c r="AC6" s="7">
        <v>500.0</v>
      </c>
    </row>
    <row r="7">
      <c r="B7" s="86">
        <v>45854.0</v>
      </c>
      <c r="C7" s="7">
        <v>10.0</v>
      </c>
      <c r="D7" s="7">
        <v>50.0</v>
      </c>
      <c r="E7" s="7">
        <v>25.0</v>
      </c>
      <c r="F7" s="7">
        <v>50.0</v>
      </c>
      <c r="G7" s="7">
        <v>50.0</v>
      </c>
      <c r="H7" s="7">
        <v>100.0</v>
      </c>
      <c r="I7" s="7">
        <v>20.0</v>
      </c>
      <c r="J7" s="7">
        <v>100.0</v>
      </c>
      <c r="K7" s="7">
        <v>5.0</v>
      </c>
      <c r="L7" s="7">
        <v>0.0</v>
      </c>
      <c r="M7" s="7">
        <v>5.0</v>
      </c>
      <c r="N7" s="7">
        <v>0.0</v>
      </c>
      <c r="O7" s="7">
        <v>0.0</v>
      </c>
      <c r="P7" s="7">
        <v>0.0</v>
      </c>
      <c r="Q7" s="7">
        <v>0.0</v>
      </c>
      <c r="R7" s="7">
        <v>25.0</v>
      </c>
      <c r="S7" s="7">
        <v>35.0</v>
      </c>
      <c r="T7" s="7">
        <v>250.0</v>
      </c>
      <c r="U7" s="7">
        <v>50.0</v>
      </c>
      <c r="V7" s="7">
        <v>25.0</v>
      </c>
      <c r="W7" s="7">
        <v>40.0</v>
      </c>
      <c r="X7" s="7">
        <v>40.0</v>
      </c>
      <c r="Y7" s="7">
        <v>2.0</v>
      </c>
      <c r="Z7" s="7">
        <v>2.0</v>
      </c>
      <c r="AA7" s="7">
        <v>200.0</v>
      </c>
      <c r="AC7" s="7">
        <v>500.0</v>
      </c>
    </row>
    <row r="8">
      <c r="B8" s="86">
        <v>45885.0</v>
      </c>
      <c r="C8" s="7">
        <v>10.0</v>
      </c>
      <c r="D8" s="7">
        <v>50.0</v>
      </c>
      <c r="E8" s="7">
        <v>25.0</v>
      </c>
      <c r="F8" s="7">
        <v>50.0</v>
      </c>
      <c r="G8" s="7">
        <v>50.0</v>
      </c>
      <c r="H8" s="7">
        <v>100.0</v>
      </c>
      <c r="I8" s="7">
        <v>20.0</v>
      </c>
      <c r="J8" s="7">
        <v>100.0</v>
      </c>
      <c r="K8" s="7">
        <v>5.0</v>
      </c>
      <c r="L8" s="7">
        <v>0.0</v>
      </c>
      <c r="M8" s="7">
        <v>5.0</v>
      </c>
      <c r="N8" s="7">
        <v>0.0</v>
      </c>
      <c r="O8" s="7">
        <v>0.0</v>
      </c>
      <c r="P8" s="7">
        <v>0.0</v>
      </c>
      <c r="Q8" s="7">
        <v>0.0</v>
      </c>
      <c r="R8" s="7">
        <v>25.0</v>
      </c>
      <c r="S8" s="7">
        <v>35.0</v>
      </c>
      <c r="T8" s="7">
        <v>250.0</v>
      </c>
      <c r="U8" s="7">
        <v>50.0</v>
      </c>
      <c r="V8" s="7">
        <v>25.0</v>
      </c>
      <c r="W8" s="7">
        <v>40.0</v>
      </c>
      <c r="X8" s="7">
        <v>40.0</v>
      </c>
      <c r="Y8" s="7">
        <v>2.0</v>
      </c>
      <c r="Z8" s="7">
        <v>2.0</v>
      </c>
      <c r="AA8" s="7">
        <v>200.0</v>
      </c>
      <c r="AC8" s="7">
        <v>500.0</v>
      </c>
    </row>
    <row r="9">
      <c r="B9" s="86">
        <v>45916.0</v>
      </c>
      <c r="C9" s="7">
        <v>10.0</v>
      </c>
      <c r="D9" s="7">
        <v>50.0</v>
      </c>
      <c r="E9" s="7">
        <v>25.0</v>
      </c>
      <c r="F9" s="7">
        <v>50.0</v>
      </c>
      <c r="G9" s="7">
        <v>50.0</v>
      </c>
      <c r="H9" s="7">
        <v>100.0</v>
      </c>
      <c r="I9" s="7">
        <v>20.0</v>
      </c>
      <c r="J9" s="7">
        <v>100.0</v>
      </c>
      <c r="K9" s="7">
        <v>5.0</v>
      </c>
      <c r="L9" s="7">
        <v>0.0</v>
      </c>
      <c r="M9" s="7">
        <v>5.0</v>
      </c>
      <c r="N9" s="7">
        <v>0.0</v>
      </c>
      <c r="O9" s="7">
        <v>0.0</v>
      </c>
      <c r="P9" s="7">
        <v>0.0</v>
      </c>
      <c r="Q9" s="7">
        <v>0.0</v>
      </c>
      <c r="R9" s="7">
        <v>25.0</v>
      </c>
      <c r="S9" s="7">
        <v>35.0</v>
      </c>
      <c r="T9" s="7">
        <v>250.0</v>
      </c>
      <c r="U9" s="7">
        <v>50.0</v>
      </c>
      <c r="V9" s="7">
        <v>25.0</v>
      </c>
      <c r="W9" s="7">
        <v>40.0</v>
      </c>
      <c r="X9" s="7">
        <v>40.0</v>
      </c>
      <c r="Y9" s="7">
        <v>2.0</v>
      </c>
      <c r="Z9" s="7">
        <v>2.0</v>
      </c>
      <c r="AA9" s="7">
        <v>200.0</v>
      </c>
      <c r="AC9" s="7">
        <v>500.0</v>
      </c>
    </row>
    <row r="10">
      <c r="B10" s="86">
        <v>45946.0</v>
      </c>
      <c r="C10" s="7">
        <v>10.0</v>
      </c>
      <c r="D10" s="7">
        <v>50.0</v>
      </c>
      <c r="E10" s="7">
        <v>25.0</v>
      </c>
      <c r="F10" s="7">
        <v>50.0</v>
      </c>
      <c r="G10" s="7">
        <v>50.0</v>
      </c>
      <c r="H10" s="7">
        <v>100.0</v>
      </c>
      <c r="I10" s="7">
        <v>20.0</v>
      </c>
      <c r="J10" s="7">
        <v>100.0</v>
      </c>
      <c r="K10" s="7">
        <v>5.0</v>
      </c>
      <c r="L10" s="7">
        <v>0.0</v>
      </c>
      <c r="M10" s="7">
        <v>5.0</v>
      </c>
      <c r="N10" s="7">
        <v>0.0</v>
      </c>
      <c r="O10" s="7">
        <v>0.0</v>
      </c>
      <c r="P10" s="7">
        <v>0.0</v>
      </c>
      <c r="Q10" s="7">
        <v>0.0</v>
      </c>
      <c r="R10" s="7">
        <v>25.0</v>
      </c>
      <c r="S10" s="7">
        <v>35.0</v>
      </c>
      <c r="T10" s="7">
        <v>250.0</v>
      </c>
      <c r="U10" s="7">
        <v>50.0</v>
      </c>
      <c r="V10" s="7">
        <v>25.0</v>
      </c>
      <c r="W10" s="7">
        <v>40.0</v>
      </c>
      <c r="X10" s="7">
        <v>40.0</v>
      </c>
      <c r="Y10" s="7">
        <v>2.0</v>
      </c>
      <c r="Z10" s="7">
        <v>2.0</v>
      </c>
      <c r="AA10" s="7">
        <v>200.0</v>
      </c>
      <c r="AC10" s="7">
        <v>500.0</v>
      </c>
    </row>
    <row r="11">
      <c r="B11" s="86">
        <v>45977.0</v>
      </c>
      <c r="C11" s="7">
        <v>10.0</v>
      </c>
      <c r="D11" s="7">
        <v>50.0</v>
      </c>
      <c r="E11" s="7">
        <v>25.0</v>
      </c>
      <c r="F11" s="7">
        <v>50.0</v>
      </c>
      <c r="G11" s="7">
        <v>50.0</v>
      </c>
      <c r="H11" s="7">
        <v>100.0</v>
      </c>
      <c r="I11" s="7">
        <v>20.0</v>
      </c>
      <c r="J11" s="7">
        <v>100.0</v>
      </c>
      <c r="K11" s="7">
        <v>5.0</v>
      </c>
      <c r="L11" s="7">
        <v>0.0</v>
      </c>
      <c r="M11" s="7">
        <v>5.0</v>
      </c>
      <c r="N11" s="7">
        <v>0.0</v>
      </c>
      <c r="O11" s="7">
        <v>0.0</v>
      </c>
      <c r="P11" s="7">
        <v>0.0</v>
      </c>
      <c r="Q11" s="7">
        <v>0.0</v>
      </c>
      <c r="R11" s="7">
        <v>25.0</v>
      </c>
      <c r="S11" s="7">
        <v>35.0</v>
      </c>
      <c r="T11" s="7">
        <v>250.0</v>
      </c>
      <c r="U11" s="7">
        <v>50.0</v>
      </c>
      <c r="V11" s="7">
        <v>25.0</v>
      </c>
      <c r="W11" s="7">
        <v>40.0</v>
      </c>
      <c r="X11" s="7">
        <v>40.0</v>
      </c>
      <c r="Y11" s="7">
        <v>2.0</v>
      </c>
      <c r="Z11" s="7">
        <v>2.0</v>
      </c>
      <c r="AA11" s="7">
        <v>200.0</v>
      </c>
      <c r="AC11" s="7">
        <v>500.0</v>
      </c>
    </row>
    <row r="12">
      <c r="B12" s="86">
        <v>46007.0</v>
      </c>
      <c r="C12" s="7">
        <v>10.0</v>
      </c>
      <c r="D12" s="7">
        <v>50.0</v>
      </c>
      <c r="E12" s="7">
        <v>25.0</v>
      </c>
      <c r="F12" s="7">
        <v>50.0</v>
      </c>
      <c r="G12" s="7">
        <v>50.0</v>
      </c>
      <c r="H12" s="7">
        <v>100.0</v>
      </c>
      <c r="I12" s="7">
        <v>20.0</v>
      </c>
      <c r="J12" s="7">
        <v>100.0</v>
      </c>
      <c r="K12" s="7">
        <v>5.0</v>
      </c>
      <c r="L12" s="7">
        <v>0.0</v>
      </c>
      <c r="M12" s="7">
        <v>5.0</v>
      </c>
      <c r="N12" s="7">
        <v>0.0</v>
      </c>
      <c r="O12" s="7">
        <v>0.0</v>
      </c>
      <c r="P12" s="7">
        <v>0.0</v>
      </c>
      <c r="Q12" s="7">
        <v>0.0</v>
      </c>
      <c r="R12" s="7">
        <v>25.0</v>
      </c>
      <c r="S12" s="7">
        <v>35.0</v>
      </c>
      <c r="T12" s="7">
        <v>250.0</v>
      </c>
      <c r="U12" s="7">
        <v>50.0</v>
      </c>
      <c r="V12" s="7">
        <v>25.0</v>
      </c>
      <c r="W12" s="7">
        <v>40.0</v>
      </c>
      <c r="X12" s="7">
        <v>40.0</v>
      </c>
      <c r="Y12" s="7">
        <v>2.0</v>
      </c>
      <c r="Z12" s="7">
        <v>2.0</v>
      </c>
      <c r="AA12" s="7">
        <v>200.0</v>
      </c>
      <c r="AC12" s="7">
        <v>500.0</v>
      </c>
    </row>
    <row r="13">
      <c r="B13" s="86">
        <v>46038.0</v>
      </c>
      <c r="C13" s="7">
        <v>10.0</v>
      </c>
      <c r="D13" s="7">
        <v>50.0</v>
      </c>
      <c r="E13" s="7">
        <v>25.0</v>
      </c>
      <c r="F13" s="7">
        <v>50.0</v>
      </c>
      <c r="G13" s="7">
        <v>50.0</v>
      </c>
      <c r="H13" s="7">
        <v>100.0</v>
      </c>
      <c r="I13" s="7">
        <v>20.0</v>
      </c>
      <c r="J13" s="7">
        <v>100.0</v>
      </c>
      <c r="K13" s="7">
        <v>5.0</v>
      </c>
      <c r="L13" s="7">
        <v>0.0</v>
      </c>
      <c r="M13" s="7">
        <v>5.0</v>
      </c>
      <c r="N13" s="7">
        <v>0.0</v>
      </c>
      <c r="O13" s="7">
        <v>0.0</v>
      </c>
      <c r="P13" s="7">
        <v>0.0</v>
      </c>
      <c r="Q13" s="7">
        <v>0.0</v>
      </c>
      <c r="R13" s="7">
        <v>25.0</v>
      </c>
      <c r="S13" s="7">
        <v>35.0</v>
      </c>
      <c r="T13" s="7">
        <v>250.0</v>
      </c>
      <c r="U13" s="7">
        <v>50.0</v>
      </c>
      <c r="V13" s="7">
        <v>25.0</v>
      </c>
      <c r="W13" s="7">
        <v>40.0</v>
      </c>
      <c r="X13" s="7">
        <v>40.0</v>
      </c>
      <c r="Y13" s="7">
        <v>2.0</v>
      </c>
      <c r="Z13" s="7">
        <v>2.0</v>
      </c>
      <c r="AA13" s="7">
        <v>200.0</v>
      </c>
      <c r="AC13" s="7">
        <v>500.0</v>
      </c>
    </row>
    <row r="14">
      <c r="B14" s="86">
        <v>46069.0</v>
      </c>
      <c r="C14" s="7">
        <v>10.0</v>
      </c>
      <c r="D14" s="7">
        <v>50.0</v>
      </c>
      <c r="E14" s="7">
        <v>25.0</v>
      </c>
      <c r="F14" s="7">
        <v>50.0</v>
      </c>
      <c r="G14" s="7">
        <v>50.0</v>
      </c>
      <c r="H14" s="7">
        <v>100.0</v>
      </c>
      <c r="I14" s="7">
        <v>20.0</v>
      </c>
      <c r="J14" s="7">
        <v>100.0</v>
      </c>
      <c r="K14" s="7">
        <v>5.0</v>
      </c>
      <c r="L14" s="7">
        <v>0.0</v>
      </c>
      <c r="M14" s="7">
        <v>5.0</v>
      </c>
      <c r="N14" s="7">
        <v>0.0</v>
      </c>
      <c r="O14" s="7">
        <v>0.0</v>
      </c>
      <c r="P14" s="7">
        <v>0.0</v>
      </c>
      <c r="Q14" s="7">
        <v>0.0</v>
      </c>
      <c r="R14" s="7">
        <v>25.0</v>
      </c>
      <c r="S14" s="7">
        <v>35.0</v>
      </c>
      <c r="T14" s="7">
        <v>250.0</v>
      </c>
      <c r="U14" s="7">
        <v>50.0</v>
      </c>
      <c r="V14" s="7">
        <v>25.0</v>
      </c>
      <c r="W14" s="7">
        <v>40.0</v>
      </c>
      <c r="X14" s="7">
        <v>40.0</v>
      </c>
      <c r="Y14" s="7">
        <v>2.0</v>
      </c>
      <c r="Z14" s="7">
        <v>2.0</v>
      </c>
      <c r="AA14" s="7">
        <v>200.0</v>
      </c>
      <c r="AC14" s="7">
        <v>500.0</v>
      </c>
    </row>
    <row r="15">
      <c r="B15" s="86">
        <v>46097.0</v>
      </c>
      <c r="C15" s="7">
        <v>10.0</v>
      </c>
      <c r="D15" s="7">
        <v>50.0</v>
      </c>
      <c r="E15" s="7">
        <v>25.0</v>
      </c>
      <c r="F15" s="7">
        <v>50.0</v>
      </c>
      <c r="G15" s="7">
        <v>50.0</v>
      </c>
      <c r="H15" s="7">
        <v>100.0</v>
      </c>
      <c r="I15" s="7">
        <v>20.0</v>
      </c>
      <c r="J15" s="7">
        <v>100.0</v>
      </c>
      <c r="K15" s="7">
        <v>5.0</v>
      </c>
      <c r="L15" s="7">
        <v>0.0</v>
      </c>
      <c r="M15" s="7">
        <v>5.0</v>
      </c>
      <c r="N15" s="7">
        <v>0.0</v>
      </c>
      <c r="O15" s="7">
        <v>0.0</v>
      </c>
      <c r="P15" s="7">
        <v>0.0</v>
      </c>
      <c r="Q15" s="7">
        <v>0.0</v>
      </c>
      <c r="R15" s="7">
        <v>25.0</v>
      </c>
      <c r="S15" s="7">
        <v>35.0</v>
      </c>
      <c r="T15" s="7">
        <v>250.0</v>
      </c>
      <c r="U15" s="7">
        <v>50.0</v>
      </c>
      <c r="V15" s="7">
        <v>25.0</v>
      </c>
      <c r="W15" s="7">
        <v>40.0</v>
      </c>
      <c r="X15" s="7">
        <v>40.0</v>
      </c>
      <c r="Y15" s="7">
        <v>2.0</v>
      </c>
      <c r="Z15" s="7">
        <v>2.0</v>
      </c>
      <c r="AA15" s="7">
        <v>200.0</v>
      </c>
      <c r="AC15" s="7">
        <v>500.0</v>
      </c>
    </row>
    <row r="16">
      <c r="B16" s="86">
        <v>46128.0</v>
      </c>
      <c r="C16" s="7">
        <v>10.0</v>
      </c>
      <c r="D16" s="7">
        <v>50.0</v>
      </c>
      <c r="E16" s="7">
        <v>25.0</v>
      </c>
      <c r="F16" s="7">
        <v>50.0</v>
      </c>
      <c r="G16" s="7">
        <v>50.0</v>
      </c>
      <c r="H16" s="7">
        <v>100.0</v>
      </c>
      <c r="I16" s="7">
        <v>20.0</v>
      </c>
      <c r="J16" s="7">
        <v>100.0</v>
      </c>
      <c r="K16" s="7">
        <v>5.0</v>
      </c>
      <c r="L16" s="7">
        <v>0.0</v>
      </c>
      <c r="M16" s="7">
        <v>5.0</v>
      </c>
      <c r="N16" s="7">
        <v>0.0</v>
      </c>
      <c r="O16" s="7">
        <v>0.0</v>
      </c>
      <c r="P16" s="7">
        <v>0.0</v>
      </c>
      <c r="Q16" s="7">
        <v>0.0</v>
      </c>
      <c r="R16" s="7">
        <v>25.0</v>
      </c>
      <c r="S16" s="7">
        <v>35.0</v>
      </c>
      <c r="T16" s="7">
        <v>250.0</v>
      </c>
      <c r="U16" s="7">
        <v>50.0</v>
      </c>
      <c r="V16" s="7">
        <v>25.0</v>
      </c>
      <c r="W16" s="7">
        <v>40.0</v>
      </c>
      <c r="X16" s="7">
        <v>40.0</v>
      </c>
      <c r="Y16" s="7">
        <v>2.0</v>
      </c>
      <c r="Z16" s="7">
        <v>2.0</v>
      </c>
      <c r="AA16" s="7">
        <v>200.0</v>
      </c>
      <c r="AC16" s="7">
        <v>500.0</v>
      </c>
    </row>
    <row r="17">
      <c r="B17" s="86">
        <v>46158.0</v>
      </c>
      <c r="C17" s="7">
        <v>10.0</v>
      </c>
      <c r="D17" s="7">
        <v>50.0</v>
      </c>
      <c r="E17" s="7">
        <v>25.0</v>
      </c>
      <c r="F17" s="7">
        <v>50.0</v>
      </c>
      <c r="G17" s="7">
        <v>50.0</v>
      </c>
      <c r="H17" s="7">
        <v>100.0</v>
      </c>
      <c r="I17" s="7">
        <v>20.0</v>
      </c>
      <c r="J17" s="7">
        <v>100.0</v>
      </c>
      <c r="K17" s="7">
        <v>5.0</v>
      </c>
      <c r="L17" s="7">
        <v>0.0</v>
      </c>
      <c r="M17" s="7">
        <v>5.0</v>
      </c>
      <c r="N17" s="7">
        <v>0.0</v>
      </c>
      <c r="O17" s="7">
        <v>0.0</v>
      </c>
      <c r="P17" s="7">
        <v>0.0</v>
      </c>
      <c r="Q17" s="7">
        <v>0.0</v>
      </c>
      <c r="R17" s="7">
        <v>25.0</v>
      </c>
      <c r="S17" s="7">
        <v>35.0</v>
      </c>
      <c r="T17" s="7">
        <v>250.0</v>
      </c>
      <c r="U17" s="7">
        <v>50.0</v>
      </c>
      <c r="V17" s="7">
        <v>25.0</v>
      </c>
      <c r="W17" s="7">
        <v>40.0</v>
      </c>
      <c r="X17" s="7">
        <v>40.0</v>
      </c>
      <c r="Y17" s="7">
        <v>2.0</v>
      </c>
      <c r="Z17" s="7">
        <v>2.0</v>
      </c>
      <c r="AA17" s="7">
        <v>200.0</v>
      </c>
      <c r="AC17" s="7">
        <v>500.0</v>
      </c>
    </row>
    <row r="18">
      <c r="B18" s="86">
        <v>46189.0</v>
      </c>
      <c r="C18" s="7">
        <v>10.0</v>
      </c>
      <c r="D18" s="7">
        <v>50.0</v>
      </c>
      <c r="E18" s="7">
        <v>25.0</v>
      </c>
      <c r="F18" s="7">
        <v>50.0</v>
      </c>
      <c r="G18" s="7">
        <v>50.0</v>
      </c>
      <c r="H18" s="7">
        <v>100.0</v>
      </c>
      <c r="I18" s="7">
        <v>20.0</v>
      </c>
      <c r="J18" s="7">
        <v>100.0</v>
      </c>
      <c r="K18" s="7">
        <v>5.0</v>
      </c>
      <c r="L18" s="7">
        <v>0.0</v>
      </c>
      <c r="M18" s="7">
        <v>5.0</v>
      </c>
      <c r="N18" s="7">
        <v>0.0</v>
      </c>
      <c r="O18" s="7">
        <v>0.0</v>
      </c>
      <c r="P18" s="7">
        <v>0.0</v>
      </c>
      <c r="Q18" s="7">
        <v>0.0</v>
      </c>
      <c r="R18" s="7">
        <v>25.0</v>
      </c>
      <c r="S18" s="7">
        <v>35.0</v>
      </c>
      <c r="T18" s="7">
        <v>250.0</v>
      </c>
      <c r="U18" s="7">
        <v>50.0</v>
      </c>
      <c r="V18" s="7">
        <v>25.0</v>
      </c>
      <c r="W18" s="7">
        <v>40.0</v>
      </c>
      <c r="X18" s="7">
        <v>40.0</v>
      </c>
      <c r="Y18" s="7">
        <v>2.0</v>
      </c>
      <c r="Z18" s="7">
        <v>2.0</v>
      </c>
      <c r="AA18" s="7">
        <v>200.0</v>
      </c>
      <c r="AC18" s="7">
        <v>500.0</v>
      </c>
    </row>
    <row r="19">
      <c r="B19" s="86">
        <v>46219.0</v>
      </c>
      <c r="C19" s="7">
        <v>10.0</v>
      </c>
      <c r="D19" s="7">
        <v>50.0</v>
      </c>
      <c r="E19" s="7">
        <v>25.0</v>
      </c>
      <c r="F19" s="7">
        <v>50.0</v>
      </c>
      <c r="G19" s="7">
        <v>50.0</v>
      </c>
      <c r="H19" s="7">
        <v>100.0</v>
      </c>
      <c r="I19" s="7">
        <v>20.0</v>
      </c>
      <c r="J19" s="7">
        <v>100.0</v>
      </c>
      <c r="K19" s="7">
        <v>5.0</v>
      </c>
      <c r="L19" s="7">
        <v>0.0</v>
      </c>
      <c r="M19" s="7">
        <v>5.0</v>
      </c>
      <c r="N19" s="7">
        <v>0.0</v>
      </c>
      <c r="O19" s="7">
        <v>0.0</v>
      </c>
      <c r="P19" s="7">
        <v>0.0</v>
      </c>
      <c r="Q19" s="7">
        <v>0.0</v>
      </c>
      <c r="R19" s="7">
        <v>25.0</v>
      </c>
      <c r="S19" s="7">
        <v>35.0</v>
      </c>
      <c r="T19" s="7">
        <v>250.0</v>
      </c>
      <c r="U19" s="7">
        <v>50.0</v>
      </c>
      <c r="V19" s="7">
        <v>25.0</v>
      </c>
      <c r="W19" s="7">
        <v>40.0</v>
      </c>
      <c r="X19" s="7">
        <v>40.0</v>
      </c>
      <c r="Y19" s="7">
        <v>2.0</v>
      </c>
      <c r="Z19" s="7">
        <v>2.0</v>
      </c>
      <c r="AA19" s="7">
        <v>200.0</v>
      </c>
      <c r="AC19" s="7">
        <v>500.0</v>
      </c>
    </row>
    <row r="20">
      <c r="B20" s="86">
        <v>46250.0</v>
      </c>
      <c r="C20" s="7">
        <v>10.0</v>
      </c>
      <c r="D20" s="7">
        <v>50.0</v>
      </c>
      <c r="E20" s="7">
        <v>25.0</v>
      </c>
      <c r="F20" s="7">
        <v>50.0</v>
      </c>
      <c r="G20" s="7">
        <v>50.0</v>
      </c>
      <c r="H20" s="7">
        <v>100.0</v>
      </c>
      <c r="I20" s="7">
        <v>20.0</v>
      </c>
      <c r="J20" s="7">
        <v>100.0</v>
      </c>
      <c r="K20" s="7">
        <v>5.0</v>
      </c>
      <c r="L20" s="7">
        <v>0.0</v>
      </c>
      <c r="M20" s="7">
        <v>5.0</v>
      </c>
      <c r="N20" s="7">
        <v>0.0</v>
      </c>
      <c r="O20" s="7">
        <v>0.0</v>
      </c>
      <c r="P20" s="7">
        <v>0.0</v>
      </c>
      <c r="Q20" s="7">
        <v>0.0</v>
      </c>
      <c r="R20" s="7">
        <v>25.0</v>
      </c>
      <c r="S20" s="7">
        <v>35.0</v>
      </c>
      <c r="T20" s="7">
        <v>250.0</v>
      </c>
      <c r="U20" s="7">
        <v>50.0</v>
      </c>
      <c r="V20" s="7">
        <v>25.0</v>
      </c>
      <c r="W20" s="7">
        <v>40.0</v>
      </c>
      <c r="X20" s="7">
        <v>40.0</v>
      </c>
      <c r="Y20" s="7">
        <v>2.0</v>
      </c>
      <c r="Z20" s="7">
        <v>2.0</v>
      </c>
      <c r="AA20" s="7">
        <v>200.0</v>
      </c>
      <c r="AC20" s="7">
        <v>500.0</v>
      </c>
    </row>
    <row r="21">
      <c r="B21" s="86">
        <v>46281.0</v>
      </c>
      <c r="C21" s="7">
        <v>10.0</v>
      </c>
      <c r="D21" s="7">
        <v>50.0</v>
      </c>
      <c r="E21" s="7">
        <v>25.0</v>
      </c>
      <c r="F21" s="7">
        <v>50.0</v>
      </c>
      <c r="G21" s="7">
        <v>50.0</v>
      </c>
      <c r="H21" s="7">
        <v>100.0</v>
      </c>
      <c r="I21" s="7">
        <v>20.0</v>
      </c>
      <c r="J21" s="7">
        <v>100.0</v>
      </c>
      <c r="K21" s="7">
        <v>5.0</v>
      </c>
      <c r="L21" s="7">
        <v>0.0</v>
      </c>
      <c r="M21" s="7">
        <v>5.0</v>
      </c>
      <c r="N21" s="7">
        <v>0.0</v>
      </c>
      <c r="O21" s="7">
        <v>0.0</v>
      </c>
      <c r="P21" s="7">
        <v>0.0</v>
      </c>
      <c r="Q21" s="7">
        <v>0.0</v>
      </c>
      <c r="R21" s="7">
        <v>25.0</v>
      </c>
      <c r="S21" s="7">
        <v>35.0</v>
      </c>
      <c r="T21" s="7">
        <v>250.0</v>
      </c>
      <c r="U21" s="7">
        <v>50.0</v>
      </c>
      <c r="V21" s="7">
        <v>25.0</v>
      </c>
      <c r="W21" s="7">
        <v>40.0</v>
      </c>
      <c r="X21" s="7">
        <v>40.0</v>
      </c>
      <c r="Y21" s="7">
        <v>2.0</v>
      </c>
      <c r="Z21" s="7">
        <v>2.0</v>
      </c>
      <c r="AA21" s="7">
        <v>200.0</v>
      </c>
      <c r="AC21" s="7">
        <v>500.0</v>
      </c>
    </row>
    <row r="22">
      <c r="B22" s="86">
        <v>46311.0</v>
      </c>
      <c r="C22" s="7">
        <v>10.0</v>
      </c>
      <c r="D22" s="7">
        <v>50.0</v>
      </c>
      <c r="E22" s="7">
        <v>25.0</v>
      </c>
      <c r="F22" s="7">
        <v>50.0</v>
      </c>
      <c r="G22" s="7">
        <v>50.0</v>
      </c>
      <c r="H22" s="7">
        <v>100.0</v>
      </c>
      <c r="I22" s="7">
        <v>20.0</v>
      </c>
      <c r="J22" s="7">
        <v>100.0</v>
      </c>
      <c r="K22" s="7">
        <v>5.0</v>
      </c>
      <c r="L22" s="7">
        <v>0.0</v>
      </c>
      <c r="M22" s="7">
        <v>5.0</v>
      </c>
      <c r="N22" s="7">
        <v>0.0</v>
      </c>
      <c r="O22" s="7">
        <v>0.0</v>
      </c>
      <c r="P22" s="7">
        <v>0.0</v>
      </c>
      <c r="Q22" s="7">
        <v>0.0</v>
      </c>
      <c r="R22" s="7">
        <v>25.0</v>
      </c>
      <c r="S22" s="7">
        <v>35.0</v>
      </c>
      <c r="T22" s="7">
        <v>250.0</v>
      </c>
      <c r="U22" s="7">
        <v>50.0</v>
      </c>
      <c r="V22" s="7">
        <v>25.0</v>
      </c>
      <c r="W22" s="7">
        <v>40.0</v>
      </c>
      <c r="X22" s="7">
        <v>40.0</v>
      </c>
      <c r="Y22" s="7">
        <v>2.0</v>
      </c>
      <c r="Z22" s="7">
        <v>2.0</v>
      </c>
      <c r="AA22" s="7">
        <v>200.0</v>
      </c>
      <c r="AC22" s="7">
        <v>500.0</v>
      </c>
    </row>
    <row r="23">
      <c r="B23" s="86">
        <v>46342.0</v>
      </c>
      <c r="C23" s="7">
        <v>10.0</v>
      </c>
      <c r="D23" s="7">
        <v>50.0</v>
      </c>
      <c r="E23" s="7">
        <v>25.0</v>
      </c>
      <c r="F23" s="7">
        <v>50.0</v>
      </c>
      <c r="G23" s="7">
        <v>50.0</v>
      </c>
      <c r="H23" s="7">
        <v>100.0</v>
      </c>
      <c r="I23" s="7">
        <v>20.0</v>
      </c>
      <c r="J23" s="7">
        <v>100.0</v>
      </c>
      <c r="K23" s="7">
        <v>5.0</v>
      </c>
      <c r="L23" s="7">
        <v>0.0</v>
      </c>
      <c r="M23" s="7">
        <v>5.0</v>
      </c>
      <c r="N23" s="7">
        <v>0.0</v>
      </c>
      <c r="O23" s="7">
        <v>0.0</v>
      </c>
      <c r="P23" s="7">
        <v>0.0</v>
      </c>
      <c r="Q23" s="7">
        <v>0.0</v>
      </c>
      <c r="R23" s="7">
        <v>25.0</v>
      </c>
      <c r="S23" s="7">
        <v>35.0</v>
      </c>
      <c r="T23" s="7">
        <v>250.0</v>
      </c>
      <c r="U23" s="7">
        <v>50.0</v>
      </c>
      <c r="V23" s="7">
        <v>25.0</v>
      </c>
      <c r="W23" s="7">
        <v>40.0</v>
      </c>
      <c r="X23" s="7">
        <v>40.0</v>
      </c>
      <c r="Y23" s="7">
        <v>2.0</v>
      </c>
      <c r="Z23" s="7">
        <v>2.0</v>
      </c>
      <c r="AA23" s="7">
        <v>200.0</v>
      </c>
      <c r="AC23" s="7">
        <v>500.0</v>
      </c>
    </row>
    <row r="24">
      <c r="B24" s="86">
        <v>46372.0</v>
      </c>
      <c r="C24" s="7">
        <v>10.0</v>
      </c>
      <c r="D24" s="7">
        <v>50.0</v>
      </c>
      <c r="E24" s="7">
        <v>25.0</v>
      </c>
      <c r="F24" s="7">
        <v>50.0</v>
      </c>
      <c r="G24" s="7">
        <v>50.0</v>
      </c>
      <c r="H24" s="7">
        <v>100.0</v>
      </c>
      <c r="I24" s="7">
        <v>20.0</v>
      </c>
      <c r="J24" s="7">
        <v>100.0</v>
      </c>
      <c r="K24" s="7">
        <v>5.0</v>
      </c>
      <c r="L24" s="7">
        <v>0.0</v>
      </c>
      <c r="M24" s="7">
        <v>5.0</v>
      </c>
      <c r="N24" s="7">
        <v>0.0</v>
      </c>
      <c r="O24" s="7">
        <v>0.0</v>
      </c>
      <c r="P24" s="7">
        <v>0.0</v>
      </c>
      <c r="Q24" s="7">
        <v>0.0</v>
      </c>
      <c r="R24" s="7">
        <v>25.0</v>
      </c>
      <c r="S24" s="7">
        <v>35.0</v>
      </c>
      <c r="T24" s="7">
        <v>250.0</v>
      </c>
      <c r="U24" s="7">
        <v>50.0</v>
      </c>
      <c r="V24" s="7">
        <v>25.0</v>
      </c>
      <c r="W24" s="7">
        <v>40.0</v>
      </c>
      <c r="X24" s="7">
        <v>40.0</v>
      </c>
      <c r="Y24" s="7">
        <v>2.0</v>
      </c>
      <c r="Z24" s="7">
        <v>2.0</v>
      </c>
      <c r="AA24" s="7">
        <v>200.0</v>
      </c>
      <c r="AC24" s="7">
        <v>500.0</v>
      </c>
    </row>
    <row r="25">
      <c r="B25" s="86">
        <v>46403.0</v>
      </c>
      <c r="C25" s="7">
        <v>10.0</v>
      </c>
      <c r="D25" s="7">
        <v>50.0</v>
      </c>
      <c r="E25" s="7">
        <v>25.0</v>
      </c>
      <c r="F25" s="7">
        <v>50.0</v>
      </c>
      <c r="G25" s="7">
        <v>50.0</v>
      </c>
      <c r="H25" s="7">
        <v>100.0</v>
      </c>
      <c r="I25" s="7">
        <v>20.0</v>
      </c>
      <c r="J25" s="7">
        <v>100.0</v>
      </c>
      <c r="K25" s="7">
        <v>5.0</v>
      </c>
      <c r="L25" s="7">
        <v>0.0</v>
      </c>
      <c r="M25" s="7">
        <v>5.0</v>
      </c>
      <c r="N25" s="7">
        <v>0.0</v>
      </c>
      <c r="O25" s="7">
        <v>0.0</v>
      </c>
      <c r="P25" s="7">
        <v>0.0</v>
      </c>
      <c r="Q25" s="7">
        <v>0.0</v>
      </c>
      <c r="R25" s="7">
        <v>25.0</v>
      </c>
      <c r="S25" s="7">
        <v>35.0</v>
      </c>
      <c r="T25" s="7">
        <v>250.0</v>
      </c>
      <c r="U25" s="7">
        <v>50.0</v>
      </c>
      <c r="V25" s="7">
        <v>25.0</v>
      </c>
      <c r="W25" s="7">
        <v>40.0</v>
      </c>
      <c r="X25" s="7">
        <v>40.0</v>
      </c>
      <c r="Y25" s="7">
        <v>2.0</v>
      </c>
      <c r="Z25" s="7">
        <v>2.0</v>
      </c>
      <c r="AA25" s="7">
        <v>200.0</v>
      </c>
      <c r="AC25" s="7">
        <v>500.0</v>
      </c>
    </row>
    <row r="26">
      <c r="B26" s="86">
        <v>46434.0</v>
      </c>
      <c r="C26" s="7">
        <v>10.0</v>
      </c>
      <c r="D26" s="7">
        <v>50.0</v>
      </c>
      <c r="E26" s="7">
        <v>25.0</v>
      </c>
      <c r="F26" s="7">
        <v>50.0</v>
      </c>
      <c r="G26" s="7">
        <v>50.0</v>
      </c>
      <c r="H26" s="7">
        <v>100.0</v>
      </c>
      <c r="I26" s="7">
        <v>20.0</v>
      </c>
      <c r="J26" s="7">
        <v>100.0</v>
      </c>
      <c r="K26" s="7">
        <v>5.0</v>
      </c>
      <c r="L26" s="7">
        <v>0.0</v>
      </c>
      <c r="M26" s="7">
        <v>5.0</v>
      </c>
      <c r="N26" s="7">
        <v>0.0</v>
      </c>
      <c r="O26" s="7">
        <v>0.0</v>
      </c>
      <c r="P26" s="7">
        <v>0.0</v>
      </c>
      <c r="Q26" s="7">
        <v>0.0</v>
      </c>
      <c r="R26" s="7">
        <v>25.0</v>
      </c>
      <c r="S26" s="7">
        <v>35.0</v>
      </c>
      <c r="T26" s="7">
        <v>250.0</v>
      </c>
      <c r="U26" s="7">
        <v>50.0</v>
      </c>
      <c r="V26" s="7">
        <v>25.0</v>
      </c>
      <c r="W26" s="7">
        <v>40.0</v>
      </c>
      <c r="X26" s="7">
        <v>40.0</v>
      </c>
      <c r="Y26" s="7">
        <v>2.0</v>
      </c>
      <c r="Z26" s="7">
        <v>2.0</v>
      </c>
      <c r="AA26" s="7">
        <v>200.0</v>
      </c>
      <c r="AC26" s="7">
        <v>500.0</v>
      </c>
    </row>
    <row r="27">
      <c r="B27" s="86">
        <v>46462.0</v>
      </c>
      <c r="C27" s="7">
        <v>10.0</v>
      </c>
      <c r="D27" s="7">
        <v>50.0</v>
      </c>
      <c r="E27" s="7">
        <v>25.0</v>
      </c>
      <c r="F27" s="7">
        <v>50.0</v>
      </c>
      <c r="G27" s="7">
        <v>50.0</v>
      </c>
      <c r="H27" s="7">
        <v>100.0</v>
      </c>
      <c r="I27" s="7">
        <v>20.0</v>
      </c>
      <c r="J27" s="7">
        <v>100.0</v>
      </c>
      <c r="K27" s="7">
        <v>5.0</v>
      </c>
      <c r="L27" s="7">
        <v>0.0</v>
      </c>
      <c r="M27" s="7">
        <v>5.0</v>
      </c>
      <c r="N27" s="7">
        <v>0.0</v>
      </c>
      <c r="O27" s="7">
        <v>0.0</v>
      </c>
      <c r="P27" s="7">
        <v>0.0</v>
      </c>
      <c r="Q27" s="7">
        <v>0.0</v>
      </c>
      <c r="R27" s="7">
        <v>25.0</v>
      </c>
      <c r="S27" s="7">
        <v>35.0</v>
      </c>
      <c r="T27" s="7">
        <v>250.0</v>
      </c>
      <c r="U27" s="7">
        <v>50.0</v>
      </c>
      <c r="V27" s="7">
        <v>25.0</v>
      </c>
      <c r="W27" s="7">
        <v>40.0</v>
      </c>
      <c r="X27" s="7">
        <v>40.0</v>
      </c>
      <c r="Y27" s="7">
        <v>2.0</v>
      </c>
      <c r="Z27" s="7">
        <v>2.0</v>
      </c>
      <c r="AA27" s="7">
        <v>200.0</v>
      </c>
      <c r="AC27" s="7">
        <v>500.0</v>
      </c>
    </row>
    <row r="28">
      <c r="B28" s="86">
        <v>46493.0</v>
      </c>
      <c r="C28" s="7">
        <v>10.0</v>
      </c>
      <c r="D28" s="7">
        <v>50.0</v>
      </c>
      <c r="E28" s="7">
        <v>25.0</v>
      </c>
      <c r="F28" s="7">
        <v>50.0</v>
      </c>
      <c r="G28" s="7">
        <v>50.0</v>
      </c>
      <c r="H28" s="7">
        <v>100.0</v>
      </c>
      <c r="I28" s="7">
        <v>20.0</v>
      </c>
      <c r="J28" s="7">
        <v>100.0</v>
      </c>
      <c r="K28" s="7">
        <v>5.0</v>
      </c>
      <c r="L28" s="7">
        <v>0.0</v>
      </c>
      <c r="M28" s="7">
        <v>5.0</v>
      </c>
      <c r="N28" s="7">
        <v>0.0</v>
      </c>
      <c r="O28" s="7">
        <v>0.0</v>
      </c>
      <c r="P28" s="7">
        <v>0.0</v>
      </c>
      <c r="Q28" s="7">
        <v>0.0</v>
      </c>
      <c r="R28" s="7">
        <v>25.0</v>
      </c>
      <c r="S28" s="7">
        <v>35.0</v>
      </c>
      <c r="T28" s="7">
        <v>250.0</v>
      </c>
      <c r="U28" s="7">
        <v>50.0</v>
      </c>
      <c r="V28" s="7">
        <v>25.0</v>
      </c>
      <c r="W28" s="7">
        <v>40.0</v>
      </c>
      <c r="X28" s="7">
        <v>40.0</v>
      </c>
      <c r="Y28" s="7">
        <v>2.0</v>
      </c>
      <c r="Z28" s="7">
        <v>2.0</v>
      </c>
      <c r="AA28" s="7">
        <v>200.0</v>
      </c>
      <c r="AC28" s="7">
        <v>500.0</v>
      </c>
    </row>
    <row r="29">
      <c r="B29" s="86">
        <v>46523.0</v>
      </c>
      <c r="C29" s="7">
        <v>10.0</v>
      </c>
      <c r="D29" s="7">
        <v>50.0</v>
      </c>
      <c r="E29" s="7">
        <v>25.0</v>
      </c>
      <c r="F29" s="7">
        <v>50.0</v>
      </c>
      <c r="G29" s="7">
        <v>50.0</v>
      </c>
      <c r="H29" s="7">
        <v>100.0</v>
      </c>
      <c r="I29" s="7">
        <v>20.0</v>
      </c>
      <c r="J29" s="7">
        <v>100.0</v>
      </c>
      <c r="K29" s="7">
        <v>5.0</v>
      </c>
      <c r="L29" s="7">
        <v>0.0</v>
      </c>
      <c r="M29" s="7">
        <v>5.0</v>
      </c>
      <c r="N29" s="7">
        <v>0.0</v>
      </c>
      <c r="O29" s="7">
        <v>0.0</v>
      </c>
      <c r="P29" s="7">
        <v>0.0</v>
      </c>
      <c r="Q29" s="7">
        <v>0.0</v>
      </c>
      <c r="R29" s="7">
        <v>25.0</v>
      </c>
      <c r="S29" s="7">
        <v>35.0</v>
      </c>
      <c r="T29" s="7">
        <v>250.0</v>
      </c>
      <c r="U29" s="7">
        <v>50.0</v>
      </c>
      <c r="V29" s="7">
        <v>25.0</v>
      </c>
      <c r="W29" s="7">
        <v>40.0</v>
      </c>
      <c r="X29" s="7">
        <v>40.0</v>
      </c>
      <c r="Y29" s="7">
        <v>2.0</v>
      </c>
      <c r="Z29" s="7">
        <v>2.0</v>
      </c>
      <c r="AA29" s="7">
        <v>200.0</v>
      </c>
      <c r="AC29" s="7">
        <v>500.0</v>
      </c>
    </row>
    <row r="30">
      <c r="B30" s="86">
        <v>46554.0</v>
      </c>
      <c r="C30" s="7">
        <v>10.0</v>
      </c>
      <c r="D30" s="7">
        <v>50.0</v>
      </c>
      <c r="E30" s="7">
        <v>25.0</v>
      </c>
      <c r="F30" s="7">
        <v>50.0</v>
      </c>
      <c r="G30" s="7">
        <v>50.0</v>
      </c>
      <c r="H30" s="7">
        <v>100.0</v>
      </c>
      <c r="I30" s="7">
        <v>20.0</v>
      </c>
      <c r="J30" s="7">
        <v>100.0</v>
      </c>
      <c r="K30" s="7">
        <v>5.0</v>
      </c>
      <c r="L30" s="7">
        <v>0.0</v>
      </c>
      <c r="M30" s="7">
        <v>5.0</v>
      </c>
      <c r="N30" s="7">
        <v>0.0</v>
      </c>
      <c r="O30" s="7">
        <v>0.0</v>
      </c>
      <c r="P30" s="7">
        <v>0.0</v>
      </c>
      <c r="Q30" s="7">
        <v>0.0</v>
      </c>
      <c r="R30" s="7">
        <v>25.0</v>
      </c>
      <c r="S30" s="7">
        <v>35.0</v>
      </c>
      <c r="T30" s="7">
        <v>250.0</v>
      </c>
      <c r="U30" s="7">
        <v>50.0</v>
      </c>
      <c r="V30" s="7">
        <v>25.0</v>
      </c>
      <c r="W30" s="7">
        <v>40.0</v>
      </c>
      <c r="X30" s="7">
        <v>40.0</v>
      </c>
      <c r="Y30" s="7">
        <v>2.0</v>
      </c>
      <c r="Z30" s="7">
        <v>2.0</v>
      </c>
      <c r="AA30" s="7">
        <v>200.0</v>
      </c>
      <c r="AC30" s="7">
        <v>500.0</v>
      </c>
    </row>
    <row r="31">
      <c r="B31" s="86">
        <v>46584.0</v>
      </c>
      <c r="C31" s="7">
        <v>10.0</v>
      </c>
      <c r="D31" s="7">
        <v>50.0</v>
      </c>
      <c r="E31" s="7">
        <v>25.0</v>
      </c>
      <c r="F31" s="7">
        <v>50.0</v>
      </c>
      <c r="G31" s="7">
        <v>50.0</v>
      </c>
      <c r="H31" s="7">
        <v>100.0</v>
      </c>
      <c r="I31" s="7">
        <v>20.0</v>
      </c>
      <c r="J31" s="7">
        <v>100.0</v>
      </c>
      <c r="K31" s="7">
        <v>5.0</v>
      </c>
      <c r="L31" s="7">
        <v>0.0</v>
      </c>
      <c r="M31" s="7">
        <v>5.0</v>
      </c>
      <c r="N31" s="7">
        <v>0.0</v>
      </c>
      <c r="O31" s="7">
        <v>0.0</v>
      </c>
      <c r="P31" s="7">
        <v>0.0</v>
      </c>
      <c r="Q31" s="7">
        <v>0.0</v>
      </c>
      <c r="R31" s="7">
        <v>25.0</v>
      </c>
      <c r="S31" s="7">
        <v>35.0</v>
      </c>
      <c r="T31" s="7">
        <v>250.0</v>
      </c>
      <c r="U31" s="7">
        <v>50.0</v>
      </c>
      <c r="V31" s="7">
        <v>25.0</v>
      </c>
      <c r="W31" s="7">
        <v>40.0</v>
      </c>
      <c r="X31" s="7">
        <v>40.0</v>
      </c>
      <c r="Y31" s="7">
        <v>2.0</v>
      </c>
      <c r="Z31" s="7">
        <v>2.0</v>
      </c>
      <c r="AA31" s="7">
        <v>200.0</v>
      </c>
      <c r="AC31" s="7">
        <v>500.0</v>
      </c>
    </row>
    <row r="32">
      <c r="B32" s="86">
        <v>46615.0</v>
      </c>
      <c r="C32" s="7">
        <v>10.0</v>
      </c>
      <c r="D32" s="7">
        <v>50.0</v>
      </c>
      <c r="E32" s="7">
        <v>25.0</v>
      </c>
      <c r="F32" s="7">
        <v>50.0</v>
      </c>
      <c r="G32" s="7">
        <v>50.0</v>
      </c>
      <c r="H32" s="7">
        <v>100.0</v>
      </c>
      <c r="I32" s="7">
        <v>20.0</v>
      </c>
      <c r="J32" s="7">
        <v>100.0</v>
      </c>
      <c r="K32" s="7">
        <v>5.0</v>
      </c>
      <c r="L32" s="7">
        <v>0.0</v>
      </c>
      <c r="M32" s="7">
        <v>5.0</v>
      </c>
      <c r="N32" s="7">
        <v>0.0</v>
      </c>
      <c r="O32" s="7">
        <v>0.0</v>
      </c>
      <c r="P32" s="7">
        <v>0.0</v>
      </c>
      <c r="Q32" s="7">
        <v>0.0</v>
      </c>
      <c r="R32" s="7">
        <v>25.0</v>
      </c>
      <c r="S32" s="7">
        <v>35.0</v>
      </c>
      <c r="T32" s="7">
        <v>250.0</v>
      </c>
      <c r="U32" s="7">
        <v>50.0</v>
      </c>
      <c r="V32" s="7">
        <v>25.0</v>
      </c>
      <c r="W32" s="7">
        <v>40.0</v>
      </c>
      <c r="X32" s="7">
        <v>40.0</v>
      </c>
      <c r="Y32" s="7">
        <v>2.0</v>
      </c>
      <c r="Z32" s="7">
        <v>2.0</v>
      </c>
      <c r="AA32" s="7">
        <v>200.0</v>
      </c>
      <c r="AC32" s="7">
        <v>500.0</v>
      </c>
    </row>
    <row r="33">
      <c r="B33" s="86">
        <v>46646.0</v>
      </c>
      <c r="C33" s="7">
        <v>10.0</v>
      </c>
      <c r="D33" s="7">
        <v>50.0</v>
      </c>
      <c r="E33" s="7">
        <v>25.0</v>
      </c>
      <c r="F33" s="7">
        <v>50.0</v>
      </c>
      <c r="G33" s="7">
        <v>50.0</v>
      </c>
      <c r="H33" s="7">
        <v>100.0</v>
      </c>
      <c r="I33" s="7">
        <v>20.0</v>
      </c>
      <c r="J33" s="7">
        <v>100.0</v>
      </c>
      <c r="K33" s="7">
        <v>5.0</v>
      </c>
      <c r="L33" s="7">
        <v>0.0</v>
      </c>
      <c r="M33" s="7">
        <v>5.0</v>
      </c>
      <c r="N33" s="7">
        <v>0.0</v>
      </c>
      <c r="O33" s="7">
        <v>0.0</v>
      </c>
      <c r="P33" s="7">
        <v>0.0</v>
      </c>
      <c r="Q33" s="7">
        <v>0.0</v>
      </c>
      <c r="R33" s="7">
        <v>25.0</v>
      </c>
      <c r="S33" s="7">
        <v>35.0</v>
      </c>
      <c r="T33" s="7">
        <v>250.0</v>
      </c>
      <c r="U33" s="7">
        <v>50.0</v>
      </c>
      <c r="V33" s="7">
        <v>25.0</v>
      </c>
      <c r="W33" s="7">
        <v>40.0</v>
      </c>
      <c r="X33" s="7">
        <v>40.0</v>
      </c>
      <c r="Y33" s="7">
        <v>2.0</v>
      </c>
      <c r="Z33" s="7">
        <v>2.0</v>
      </c>
      <c r="AA33" s="7">
        <v>200.0</v>
      </c>
      <c r="AC33" s="7">
        <v>500.0</v>
      </c>
    </row>
    <row r="34">
      <c r="B34" s="86">
        <v>46676.0</v>
      </c>
      <c r="C34" s="7">
        <v>10.0</v>
      </c>
      <c r="D34" s="7">
        <v>50.0</v>
      </c>
      <c r="E34" s="7">
        <v>25.0</v>
      </c>
      <c r="F34" s="7">
        <v>50.0</v>
      </c>
      <c r="G34" s="7">
        <v>50.0</v>
      </c>
      <c r="H34" s="7">
        <v>100.0</v>
      </c>
      <c r="I34" s="7">
        <v>20.0</v>
      </c>
      <c r="J34" s="7">
        <v>100.0</v>
      </c>
      <c r="K34" s="7">
        <v>5.0</v>
      </c>
      <c r="L34" s="7">
        <v>0.0</v>
      </c>
      <c r="M34" s="7">
        <v>5.0</v>
      </c>
      <c r="N34" s="7">
        <v>0.0</v>
      </c>
      <c r="O34" s="7">
        <v>0.0</v>
      </c>
      <c r="P34" s="7">
        <v>0.0</v>
      </c>
      <c r="Q34" s="7">
        <v>0.0</v>
      </c>
      <c r="R34" s="7">
        <v>25.0</v>
      </c>
      <c r="S34" s="7">
        <v>35.0</v>
      </c>
      <c r="T34" s="7">
        <v>250.0</v>
      </c>
      <c r="U34" s="7">
        <v>50.0</v>
      </c>
      <c r="V34" s="7">
        <v>25.0</v>
      </c>
      <c r="W34" s="7">
        <v>40.0</v>
      </c>
      <c r="X34" s="7">
        <v>40.0</v>
      </c>
      <c r="Y34" s="7">
        <v>2.0</v>
      </c>
      <c r="Z34" s="7">
        <v>2.0</v>
      </c>
      <c r="AA34" s="7">
        <v>200.0</v>
      </c>
      <c r="AC34" s="7">
        <v>500.0</v>
      </c>
    </row>
    <row r="35">
      <c r="B35" s="86">
        <v>46707.0</v>
      </c>
      <c r="C35" s="7">
        <v>10.0</v>
      </c>
      <c r="D35" s="7">
        <v>50.0</v>
      </c>
      <c r="E35" s="7">
        <v>25.0</v>
      </c>
      <c r="F35" s="7">
        <v>50.0</v>
      </c>
      <c r="G35" s="7">
        <v>50.0</v>
      </c>
      <c r="H35" s="7">
        <v>100.0</v>
      </c>
      <c r="I35" s="7">
        <v>20.0</v>
      </c>
      <c r="J35" s="7">
        <v>100.0</v>
      </c>
      <c r="K35" s="7">
        <v>5.0</v>
      </c>
      <c r="L35" s="7">
        <v>0.0</v>
      </c>
      <c r="M35" s="7">
        <v>5.0</v>
      </c>
      <c r="N35" s="7">
        <v>0.0</v>
      </c>
      <c r="O35" s="7">
        <v>0.0</v>
      </c>
      <c r="P35" s="7">
        <v>0.0</v>
      </c>
      <c r="Q35" s="7">
        <v>0.0</v>
      </c>
      <c r="R35" s="7">
        <v>25.0</v>
      </c>
      <c r="S35" s="7">
        <v>35.0</v>
      </c>
      <c r="T35" s="7">
        <v>250.0</v>
      </c>
      <c r="U35" s="7">
        <v>50.0</v>
      </c>
      <c r="V35" s="7">
        <v>25.0</v>
      </c>
      <c r="W35" s="7">
        <v>40.0</v>
      </c>
      <c r="X35" s="7">
        <v>40.0</v>
      </c>
      <c r="Y35" s="7">
        <v>2.0</v>
      </c>
      <c r="Z35" s="7">
        <v>2.0</v>
      </c>
      <c r="AA35" s="7">
        <v>200.0</v>
      </c>
      <c r="AC35" s="7">
        <v>500.0</v>
      </c>
    </row>
    <row r="36">
      <c r="B36" s="86">
        <v>46737.0</v>
      </c>
      <c r="C36" s="7">
        <v>10.0</v>
      </c>
      <c r="D36" s="7">
        <v>50.0</v>
      </c>
      <c r="E36" s="7">
        <v>25.0</v>
      </c>
      <c r="F36" s="7">
        <v>50.0</v>
      </c>
      <c r="G36" s="7">
        <v>50.0</v>
      </c>
      <c r="H36" s="7">
        <v>100.0</v>
      </c>
      <c r="I36" s="7">
        <v>20.0</v>
      </c>
      <c r="J36" s="7">
        <v>100.0</v>
      </c>
      <c r="K36" s="7">
        <v>5.0</v>
      </c>
      <c r="L36" s="7">
        <v>0.0</v>
      </c>
      <c r="M36" s="7">
        <v>5.0</v>
      </c>
      <c r="N36" s="7">
        <v>0.0</v>
      </c>
      <c r="O36" s="7">
        <v>0.0</v>
      </c>
      <c r="P36" s="7">
        <v>0.0</v>
      </c>
      <c r="Q36" s="7">
        <v>0.0</v>
      </c>
      <c r="R36" s="7">
        <v>25.0</v>
      </c>
      <c r="S36" s="7">
        <v>35.0</v>
      </c>
      <c r="T36" s="7">
        <v>250.0</v>
      </c>
      <c r="U36" s="7">
        <v>50.0</v>
      </c>
      <c r="V36" s="7">
        <v>25.0</v>
      </c>
      <c r="W36" s="7">
        <v>40.0</v>
      </c>
      <c r="X36" s="7">
        <v>40.0</v>
      </c>
      <c r="Y36" s="7">
        <v>2.0</v>
      </c>
      <c r="Z36" s="7">
        <v>2.0</v>
      </c>
      <c r="AA36" s="7">
        <v>200.0</v>
      </c>
      <c r="AC36" s="7">
        <v>500.0</v>
      </c>
    </row>
    <row r="37">
      <c r="B37" s="86">
        <v>46768.0</v>
      </c>
      <c r="C37" s="7">
        <v>10.0</v>
      </c>
      <c r="D37" s="7">
        <v>50.0</v>
      </c>
      <c r="E37" s="7">
        <v>25.0</v>
      </c>
      <c r="F37" s="7">
        <v>50.0</v>
      </c>
      <c r="G37" s="7">
        <v>50.0</v>
      </c>
      <c r="H37" s="7">
        <v>100.0</v>
      </c>
      <c r="I37" s="7">
        <v>20.0</v>
      </c>
      <c r="J37" s="7">
        <v>100.0</v>
      </c>
      <c r="K37" s="7">
        <v>5.0</v>
      </c>
      <c r="L37" s="7">
        <v>0.0</v>
      </c>
      <c r="M37" s="7">
        <v>5.0</v>
      </c>
      <c r="N37" s="7">
        <v>0.0</v>
      </c>
      <c r="O37" s="7">
        <v>0.0</v>
      </c>
      <c r="P37" s="7">
        <v>0.0</v>
      </c>
      <c r="Q37" s="7">
        <v>0.0</v>
      </c>
      <c r="R37" s="7">
        <v>25.0</v>
      </c>
      <c r="S37" s="7">
        <v>35.0</v>
      </c>
      <c r="T37" s="7">
        <v>250.0</v>
      </c>
      <c r="U37" s="7">
        <v>50.0</v>
      </c>
      <c r="V37" s="7">
        <v>25.0</v>
      </c>
      <c r="W37" s="7">
        <v>40.0</v>
      </c>
      <c r="X37" s="7">
        <v>40.0</v>
      </c>
      <c r="Y37" s="7">
        <v>2.0</v>
      </c>
      <c r="Z37" s="7">
        <v>2.0</v>
      </c>
      <c r="AA37" s="7">
        <v>200.0</v>
      </c>
      <c r="AC37" s="7">
        <v>500.0</v>
      </c>
    </row>
    <row r="38">
      <c r="B38" s="86">
        <v>46799.0</v>
      </c>
      <c r="C38" s="7">
        <v>10.0</v>
      </c>
      <c r="D38" s="7">
        <v>50.0</v>
      </c>
      <c r="E38" s="7">
        <v>25.0</v>
      </c>
      <c r="F38" s="7">
        <v>50.0</v>
      </c>
      <c r="G38" s="7">
        <v>50.0</v>
      </c>
      <c r="H38" s="7">
        <v>100.0</v>
      </c>
      <c r="I38" s="7">
        <v>20.0</v>
      </c>
      <c r="J38" s="7">
        <v>100.0</v>
      </c>
      <c r="K38" s="7">
        <v>5.0</v>
      </c>
      <c r="L38" s="7">
        <v>0.0</v>
      </c>
      <c r="M38" s="7">
        <v>5.0</v>
      </c>
      <c r="N38" s="7">
        <v>0.0</v>
      </c>
      <c r="O38" s="7">
        <v>0.0</v>
      </c>
      <c r="P38" s="7">
        <v>0.0</v>
      </c>
      <c r="Q38" s="7">
        <v>0.0</v>
      </c>
      <c r="R38" s="7">
        <v>25.0</v>
      </c>
      <c r="S38" s="7">
        <v>35.0</v>
      </c>
      <c r="T38" s="7">
        <v>250.0</v>
      </c>
      <c r="U38" s="7">
        <v>50.0</v>
      </c>
      <c r="V38" s="7">
        <v>25.0</v>
      </c>
      <c r="W38" s="7">
        <v>40.0</v>
      </c>
      <c r="X38" s="7">
        <v>40.0</v>
      </c>
      <c r="Y38" s="7">
        <v>2.0</v>
      </c>
      <c r="Z38" s="7">
        <v>2.0</v>
      </c>
      <c r="AA38" s="7">
        <v>200.0</v>
      </c>
      <c r="AC38" s="7">
        <v>500.0</v>
      </c>
    </row>
    <row r="39">
      <c r="B39" s="86">
        <v>46828.0</v>
      </c>
      <c r="C39" s="7">
        <v>10.0</v>
      </c>
      <c r="D39" s="7">
        <v>50.0</v>
      </c>
      <c r="E39" s="7">
        <v>25.0</v>
      </c>
      <c r="F39" s="7">
        <v>50.0</v>
      </c>
      <c r="G39" s="7">
        <v>50.0</v>
      </c>
      <c r="H39" s="7">
        <v>100.0</v>
      </c>
      <c r="I39" s="7">
        <v>20.0</v>
      </c>
      <c r="J39" s="7">
        <v>100.0</v>
      </c>
      <c r="K39" s="7">
        <v>5.0</v>
      </c>
      <c r="L39" s="7">
        <v>0.0</v>
      </c>
      <c r="M39" s="7">
        <v>5.0</v>
      </c>
      <c r="N39" s="7">
        <v>0.0</v>
      </c>
      <c r="O39" s="7">
        <v>0.0</v>
      </c>
      <c r="P39" s="7">
        <v>0.0</v>
      </c>
      <c r="Q39" s="7">
        <v>0.0</v>
      </c>
      <c r="R39" s="7">
        <v>25.0</v>
      </c>
      <c r="S39" s="7">
        <v>35.0</v>
      </c>
      <c r="T39" s="7">
        <v>250.0</v>
      </c>
      <c r="U39" s="7">
        <v>50.0</v>
      </c>
      <c r="V39" s="7">
        <v>25.0</v>
      </c>
      <c r="W39" s="7">
        <v>40.0</v>
      </c>
      <c r="X39" s="7">
        <v>40.0</v>
      </c>
      <c r="Y39" s="7">
        <v>2.0</v>
      </c>
      <c r="Z39" s="7">
        <v>2.0</v>
      </c>
      <c r="AA39" s="7">
        <v>200.0</v>
      </c>
      <c r="AC39" s="7">
        <v>500.0</v>
      </c>
    </row>
    <row r="40">
      <c r="B40" s="86">
        <v>46859.0</v>
      </c>
      <c r="C40" s="7">
        <v>10.0</v>
      </c>
      <c r="D40" s="7">
        <v>50.0</v>
      </c>
      <c r="E40" s="7">
        <v>25.0</v>
      </c>
      <c r="F40" s="7">
        <v>50.0</v>
      </c>
      <c r="G40" s="7">
        <v>50.0</v>
      </c>
      <c r="H40" s="7">
        <v>100.0</v>
      </c>
      <c r="I40" s="7">
        <v>20.0</v>
      </c>
      <c r="J40" s="7">
        <v>100.0</v>
      </c>
      <c r="K40" s="7">
        <v>5.0</v>
      </c>
      <c r="L40" s="7">
        <v>0.0</v>
      </c>
      <c r="M40" s="7">
        <v>5.0</v>
      </c>
      <c r="N40" s="7">
        <v>0.0</v>
      </c>
      <c r="O40" s="7">
        <v>0.0</v>
      </c>
      <c r="P40" s="7">
        <v>0.0</v>
      </c>
      <c r="Q40" s="7">
        <v>0.0</v>
      </c>
      <c r="R40" s="7">
        <v>25.0</v>
      </c>
      <c r="S40" s="7">
        <v>35.0</v>
      </c>
      <c r="T40" s="7">
        <v>250.0</v>
      </c>
      <c r="U40" s="7">
        <v>50.0</v>
      </c>
      <c r="V40" s="7">
        <v>25.0</v>
      </c>
      <c r="W40" s="7">
        <v>40.0</v>
      </c>
      <c r="X40" s="7">
        <v>40.0</v>
      </c>
      <c r="Y40" s="7">
        <v>2.0</v>
      </c>
      <c r="Z40" s="7">
        <v>2.0</v>
      </c>
      <c r="AA40" s="7">
        <v>200.0</v>
      </c>
      <c r="AC40" s="7">
        <v>500.0</v>
      </c>
    </row>
    <row r="41">
      <c r="B41" s="86">
        <v>46889.0</v>
      </c>
      <c r="C41" s="7">
        <v>10.0</v>
      </c>
      <c r="D41" s="7">
        <v>50.0</v>
      </c>
      <c r="E41" s="7">
        <v>25.0</v>
      </c>
      <c r="F41" s="7">
        <v>50.0</v>
      </c>
      <c r="G41" s="7">
        <v>50.0</v>
      </c>
      <c r="H41" s="7">
        <v>100.0</v>
      </c>
      <c r="I41" s="7">
        <v>20.0</v>
      </c>
      <c r="J41" s="7">
        <v>100.0</v>
      </c>
      <c r="K41" s="7">
        <v>5.0</v>
      </c>
      <c r="L41" s="7">
        <v>0.0</v>
      </c>
      <c r="M41" s="7">
        <v>5.0</v>
      </c>
      <c r="N41" s="7">
        <v>0.0</v>
      </c>
      <c r="O41" s="7">
        <v>0.0</v>
      </c>
      <c r="P41" s="7">
        <v>0.0</v>
      </c>
      <c r="Q41" s="7">
        <v>0.0</v>
      </c>
      <c r="R41" s="7">
        <v>25.0</v>
      </c>
      <c r="S41" s="7">
        <v>35.0</v>
      </c>
      <c r="T41" s="7">
        <v>250.0</v>
      </c>
      <c r="U41" s="7">
        <v>50.0</v>
      </c>
      <c r="V41" s="7">
        <v>25.0</v>
      </c>
      <c r="W41" s="7">
        <v>40.0</v>
      </c>
      <c r="X41" s="7">
        <v>40.0</v>
      </c>
      <c r="Y41" s="7">
        <v>2.0</v>
      </c>
      <c r="Z41" s="7">
        <v>2.0</v>
      </c>
      <c r="AA41" s="7">
        <v>200.0</v>
      </c>
      <c r="AC41" s="7">
        <v>500.0</v>
      </c>
    </row>
    <row r="42">
      <c r="B42" s="86">
        <v>46920.0</v>
      </c>
      <c r="C42" s="7">
        <v>10.0</v>
      </c>
      <c r="D42" s="7">
        <v>50.0</v>
      </c>
      <c r="E42" s="7">
        <v>25.0</v>
      </c>
      <c r="F42" s="7">
        <v>50.0</v>
      </c>
      <c r="G42" s="7">
        <v>50.0</v>
      </c>
      <c r="H42" s="7">
        <v>100.0</v>
      </c>
      <c r="I42" s="7">
        <v>20.0</v>
      </c>
      <c r="J42" s="7">
        <v>100.0</v>
      </c>
      <c r="K42" s="7">
        <v>5.0</v>
      </c>
      <c r="L42" s="7">
        <v>0.0</v>
      </c>
      <c r="M42" s="7">
        <v>5.0</v>
      </c>
      <c r="N42" s="7">
        <v>0.0</v>
      </c>
      <c r="O42" s="7">
        <v>0.0</v>
      </c>
      <c r="P42" s="7">
        <v>0.0</v>
      </c>
      <c r="Q42" s="7">
        <v>0.0</v>
      </c>
      <c r="R42" s="7">
        <v>25.0</v>
      </c>
      <c r="S42" s="7">
        <v>35.0</v>
      </c>
      <c r="T42" s="7">
        <v>250.0</v>
      </c>
      <c r="U42" s="7">
        <v>50.0</v>
      </c>
      <c r="V42" s="7">
        <v>25.0</v>
      </c>
      <c r="W42" s="7">
        <v>40.0</v>
      </c>
      <c r="X42" s="7">
        <v>40.0</v>
      </c>
      <c r="Y42" s="7">
        <v>2.0</v>
      </c>
      <c r="Z42" s="7">
        <v>2.0</v>
      </c>
      <c r="AA42" s="7">
        <v>200.0</v>
      </c>
      <c r="AC42" s="7">
        <v>500.0</v>
      </c>
    </row>
    <row r="43">
      <c r="B43" s="86">
        <v>46950.0</v>
      </c>
      <c r="C43" s="7">
        <v>10.0</v>
      </c>
      <c r="D43" s="7">
        <v>50.0</v>
      </c>
      <c r="E43" s="7">
        <v>25.0</v>
      </c>
      <c r="F43" s="7">
        <v>50.0</v>
      </c>
      <c r="G43" s="7">
        <v>50.0</v>
      </c>
      <c r="H43" s="7">
        <v>100.0</v>
      </c>
      <c r="I43" s="7">
        <v>20.0</v>
      </c>
      <c r="J43" s="7">
        <v>100.0</v>
      </c>
      <c r="K43" s="7">
        <v>5.0</v>
      </c>
      <c r="L43" s="7">
        <v>0.0</v>
      </c>
      <c r="M43" s="7">
        <v>5.0</v>
      </c>
      <c r="N43" s="7">
        <v>0.0</v>
      </c>
      <c r="O43" s="7">
        <v>0.0</v>
      </c>
      <c r="P43" s="7">
        <v>0.0</v>
      </c>
      <c r="Q43" s="7">
        <v>0.0</v>
      </c>
      <c r="R43" s="7">
        <v>25.0</v>
      </c>
      <c r="S43" s="7">
        <v>35.0</v>
      </c>
      <c r="T43" s="7">
        <v>250.0</v>
      </c>
      <c r="U43" s="7">
        <v>50.0</v>
      </c>
      <c r="V43" s="7">
        <v>25.0</v>
      </c>
      <c r="W43" s="7">
        <v>40.0</v>
      </c>
      <c r="X43" s="7">
        <v>40.0</v>
      </c>
      <c r="Y43" s="7">
        <v>2.0</v>
      </c>
      <c r="Z43" s="7">
        <v>2.0</v>
      </c>
      <c r="AA43" s="7">
        <v>200.0</v>
      </c>
      <c r="AC43" s="7">
        <v>500.0</v>
      </c>
    </row>
    <row r="44">
      <c r="B44" s="86">
        <v>46981.0</v>
      </c>
      <c r="C44" s="7">
        <v>10.0</v>
      </c>
      <c r="D44" s="7">
        <v>50.0</v>
      </c>
      <c r="E44" s="7">
        <v>25.0</v>
      </c>
      <c r="F44" s="7">
        <v>50.0</v>
      </c>
      <c r="G44" s="7">
        <v>50.0</v>
      </c>
      <c r="H44" s="7">
        <v>100.0</v>
      </c>
      <c r="I44" s="7">
        <v>20.0</v>
      </c>
      <c r="J44" s="7">
        <v>100.0</v>
      </c>
      <c r="K44" s="7">
        <v>5.0</v>
      </c>
      <c r="L44" s="7">
        <v>0.0</v>
      </c>
      <c r="M44" s="7">
        <v>5.0</v>
      </c>
      <c r="N44" s="7">
        <v>0.0</v>
      </c>
      <c r="O44" s="7">
        <v>0.0</v>
      </c>
      <c r="P44" s="7">
        <v>0.0</v>
      </c>
      <c r="Q44" s="7">
        <v>0.0</v>
      </c>
      <c r="R44" s="7">
        <v>25.0</v>
      </c>
      <c r="S44" s="7">
        <v>35.0</v>
      </c>
      <c r="T44" s="7">
        <v>250.0</v>
      </c>
      <c r="U44" s="7">
        <v>50.0</v>
      </c>
      <c r="V44" s="7">
        <v>25.0</v>
      </c>
      <c r="W44" s="7">
        <v>40.0</v>
      </c>
      <c r="X44" s="7">
        <v>40.0</v>
      </c>
      <c r="Y44" s="7">
        <v>2.0</v>
      </c>
      <c r="Z44" s="7">
        <v>2.0</v>
      </c>
      <c r="AA44" s="7">
        <v>200.0</v>
      </c>
      <c r="AC44" s="7">
        <v>500.0</v>
      </c>
    </row>
    <row r="45">
      <c r="B45" s="86">
        <v>47012.0</v>
      </c>
      <c r="C45" s="7">
        <v>10.0</v>
      </c>
      <c r="D45" s="7">
        <v>50.0</v>
      </c>
      <c r="E45" s="7">
        <v>25.0</v>
      </c>
      <c r="F45" s="7">
        <v>50.0</v>
      </c>
      <c r="G45" s="7">
        <v>50.0</v>
      </c>
      <c r="H45" s="7">
        <v>100.0</v>
      </c>
      <c r="I45" s="7">
        <v>20.0</v>
      </c>
      <c r="J45" s="7">
        <v>100.0</v>
      </c>
      <c r="K45" s="7">
        <v>5.0</v>
      </c>
      <c r="L45" s="7">
        <v>0.0</v>
      </c>
      <c r="M45" s="7">
        <v>5.0</v>
      </c>
      <c r="N45" s="7">
        <v>0.0</v>
      </c>
      <c r="O45" s="7">
        <v>0.0</v>
      </c>
      <c r="P45" s="7">
        <v>0.0</v>
      </c>
      <c r="Q45" s="7">
        <v>0.0</v>
      </c>
      <c r="R45" s="7">
        <v>25.0</v>
      </c>
      <c r="S45" s="7">
        <v>35.0</v>
      </c>
      <c r="T45" s="7">
        <v>250.0</v>
      </c>
      <c r="U45" s="7">
        <v>50.0</v>
      </c>
      <c r="V45" s="7">
        <v>25.0</v>
      </c>
      <c r="W45" s="7">
        <v>40.0</v>
      </c>
      <c r="X45" s="7">
        <v>40.0</v>
      </c>
      <c r="Y45" s="7">
        <v>2.0</v>
      </c>
      <c r="Z45" s="7">
        <v>2.0</v>
      </c>
      <c r="AA45" s="7">
        <v>200.0</v>
      </c>
      <c r="AC45" s="7">
        <v>500.0</v>
      </c>
    </row>
    <row r="46">
      <c r="B46" s="86">
        <v>47042.0</v>
      </c>
      <c r="C46" s="7">
        <v>10.0</v>
      </c>
      <c r="D46" s="7">
        <v>50.0</v>
      </c>
      <c r="E46" s="7">
        <v>25.0</v>
      </c>
      <c r="F46" s="7">
        <v>50.0</v>
      </c>
      <c r="G46" s="7">
        <v>50.0</v>
      </c>
      <c r="H46" s="7">
        <v>100.0</v>
      </c>
      <c r="I46" s="7">
        <v>20.0</v>
      </c>
      <c r="J46" s="7">
        <v>100.0</v>
      </c>
      <c r="K46" s="7">
        <v>5.0</v>
      </c>
      <c r="L46" s="7">
        <v>0.0</v>
      </c>
      <c r="M46" s="7">
        <v>5.0</v>
      </c>
      <c r="N46" s="7">
        <v>0.0</v>
      </c>
      <c r="O46" s="7">
        <v>0.0</v>
      </c>
      <c r="P46" s="7">
        <v>0.0</v>
      </c>
      <c r="Q46" s="7">
        <v>0.0</v>
      </c>
      <c r="R46" s="7">
        <v>25.0</v>
      </c>
      <c r="S46" s="7">
        <v>35.0</v>
      </c>
      <c r="T46" s="7">
        <v>250.0</v>
      </c>
      <c r="U46" s="7">
        <v>50.0</v>
      </c>
      <c r="V46" s="7">
        <v>25.0</v>
      </c>
      <c r="W46" s="7">
        <v>40.0</v>
      </c>
      <c r="X46" s="7">
        <v>40.0</v>
      </c>
      <c r="Y46" s="7">
        <v>2.0</v>
      </c>
      <c r="Z46" s="7">
        <v>2.0</v>
      </c>
      <c r="AA46" s="7">
        <v>200.0</v>
      </c>
      <c r="AC46" s="7">
        <v>500.0</v>
      </c>
    </row>
    <row r="47">
      <c r="B47" s="86">
        <v>47073.0</v>
      </c>
      <c r="C47" s="7">
        <v>10.0</v>
      </c>
      <c r="D47" s="7">
        <v>50.0</v>
      </c>
      <c r="E47" s="7">
        <v>25.0</v>
      </c>
      <c r="F47" s="7">
        <v>50.0</v>
      </c>
      <c r="G47" s="7">
        <v>50.0</v>
      </c>
      <c r="H47" s="7">
        <v>100.0</v>
      </c>
      <c r="I47" s="7">
        <v>20.0</v>
      </c>
      <c r="J47" s="7">
        <v>100.0</v>
      </c>
      <c r="K47" s="7">
        <v>5.0</v>
      </c>
      <c r="L47" s="7">
        <v>0.0</v>
      </c>
      <c r="M47" s="7">
        <v>5.0</v>
      </c>
      <c r="N47" s="7">
        <v>0.0</v>
      </c>
      <c r="O47" s="7">
        <v>0.0</v>
      </c>
      <c r="P47" s="7">
        <v>0.0</v>
      </c>
      <c r="Q47" s="7">
        <v>0.0</v>
      </c>
      <c r="R47" s="7">
        <v>25.0</v>
      </c>
      <c r="S47" s="7">
        <v>35.0</v>
      </c>
      <c r="T47" s="7">
        <v>250.0</v>
      </c>
      <c r="U47" s="7">
        <v>50.0</v>
      </c>
      <c r="V47" s="7">
        <v>25.0</v>
      </c>
      <c r="W47" s="7">
        <v>40.0</v>
      </c>
      <c r="X47" s="7">
        <v>40.0</v>
      </c>
      <c r="Y47" s="7">
        <v>2.0</v>
      </c>
      <c r="Z47" s="7">
        <v>2.0</v>
      </c>
      <c r="AA47" s="7">
        <v>200.0</v>
      </c>
      <c r="AC47" s="7">
        <v>500.0</v>
      </c>
    </row>
    <row r="48">
      <c r="B48" s="86">
        <v>47103.0</v>
      </c>
      <c r="C48" s="7">
        <v>10.0</v>
      </c>
      <c r="D48" s="7">
        <v>50.0</v>
      </c>
      <c r="E48" s="7">
        <v>25.0</v>
      </c>
      <c r="F48" s="7">
        <v>50.0</v>
      </c>
      <c r="G48" s="7">
        <v>50.0</v>
      </c>
      <c r="H48" s="7">
        <v>100.0</v>
      </c>
      <c r="I48" s="7">
        <v>20.0</v>
      </c>
      <c r="J48" s="7">
        <v>100.0</v>
      </c>
      <c r="K48" s="7">
        <v>5.0</v>
      </c>
      <c r="L48" s="7">
        <v>0.0</v>
      </c>
      <c r="M48" s="7">
        <v>5.0</v>
      </c>
      <c r="N48" s="7">
        <v>0.0</v>
      </c>
      <c r="O48" s="7">
        <v>0.0</v>
      </c>
      <c r="P48" s="7">
        <v>0.0</v>
      </c>
      <c r="Q48" s="7">
        <v>0.0</v>
      </c>
      <c r="R48" s="7">
        <v>25.0</v>
      </c>
      <c r="S48" s="7">
        <v>35.0</v>
      </c>
      <c r="T48" s="7">
        <v>250.0</v>
      </c>
      <c r="U48" s="7">
        <v>50.0</v>
      </c>
      <c r="V48" s="7">
        <v>25.0</v>
      </c>
      <c r="W48" s="7">
        <v>40.0</v>
      </c>
      <c r="X48" s="7">
        <v>40.0</v>
      </c>
      <c r="Y48" s="7">
        <v>2.0</v>
      </c>
      <c r="Z48" s="7">
        <v>2.0</v>
      </c>
      <c r="AA48" s="7">
        <v>200.0</v>
      </c>
      <c r="AC48" s="7">
        <v>500.0</v>
      </c>
    </row>
    <row r="49">
      <c r="B49" s="86">
        <v>47134.0</v>
      </c>
      <c r="C49" s="7">
        <v>10.0</v>
      </c>
      <c r="D49" s="7">
        <v>50.0</v>
      </c>
      <c r="E49" s="7">
        <v>25.0</v>
      </c>
      <c r="F49" s="7">
        <v>50.0</v>
      </c>
      <c r="G49" s="7">
        <v>50.0</v>
      </c>
      <c r="H49" s="7">
        <v>100.0</v>
      </c>
      <c r="I49" s="7">
        <v>20.0</v>
      </c>
      <c r="J49" s="7">
        <v>100.0</v>
      </c>
      <c r="K49" s="7">
        <v>5.0</v>
      </c>
      <c r="L49" s="7">
        <v>0.0</v>
      </c>
      <c r="M49" s="7">
        <v>5.0</v>
      </c>
      <c r="N49" s="7">
        <v>0.0</v>
      </c>
      <c r="O49" s="7">
        <v>0.0</v>
      </c>
      <c r="P49" s="7">
        <v>0.0</v>
      </c>
      <c r="Q49" s="7">
        <v>0.0</v>
      </c>
      <c r="R49" s="7">
        <v>25.0</v>
      </c>
      <c r="S49" s="7">
        <v>35.0</v>
      </c>
      <c r="T49" s="7">
        <v>250.0</v>
      </c>
      <c r="U49" s="7">
        <v>50.0</v>
      </c>
      <c r="V49" s="7">
        <v>25.0</v>
      </c>
      <c r="W49" s="7">
        <v>40.0</v>
      </c>
      <c r="X49" s="7">
        <v>40.0</v>
      </c>
      <c r="Y49" s="7">
        <v>2.0</v>
      </c>
      <c r="Z49" s="7">
        <v>2.0</v>
      </c>
      <c r="AA49" s="7">
        <v>200.0</v>
      </c>
      <c r="AC49" s="7">
        <v>500.0</v>
      </c>
    </row>
    <row r="50">
      <c r="B50" s="86">
        <v>47165.0</v>
      </c>
      <c r="C50" s="7">
        <v>10.0</v>
      </c>
      <c r="D50" s="7">
        <v>50.0</v>
      </c>
      <c r="E50" s="7">
        <v>25.0</v>
      </c>
      <c r="F50" s="7">
        <v>50.0</v>
      </c>
      <c r="G50" s="7">
        <v>50.0</v>
      </c>
      <c r="H50" s="7">
        <v>100.0</v>
      </c>
      <c r="I50" s="7">
        <v>20.0</v>
      </c>
      <c r="J50" s="7">
        <v>100.0</v>
      </c>
      <c r="K50" s="7">
        <v>5.0</v>
      </c>
      <c r="L50" s="7">
        <v>0.0</v>
      </c>
      <c r="M50" s="7">
        <v>5.0</v>
      </c>
      <c r="N50" s="7">
        <v>0.0</v>
      </c>
      <c r="O50" s="7">
        <v>0.0</v>
      </c>
      <c r="P50" s="7">
        <v>0.0</v>
      </c>
      <c r="Q50" s="7">
        <v>0.0</v>
      </c>
      <c r="R50" s="7">
        <v>25.0</v>
      </c>
      <c r="S50" s="7">
        <v>35.0</v>
      </c>
      <c r="T50" s="7">
        <v>250.0</v>
      </c>
      <c r="U50" s="7">
        <v>50.0</v>
      </c>
      <c r="V50" s="7">
        <v>25.0</v>
      </c>
      <c r="W50" s="7">
        <v>40.0</v>
      </c>
      <c r="X50" s="7">
        <v>40.0</v>
      </c>
      <c r="Y50" s="7">
        <v>2.0</v>
      </c>
      <c r="Z50" s="7">
        <v>2.0</v>
      </c>
      <c r="AA50" s="7">
        <v>200.0</v>
      </c>
      <c r="AC50" s="7">
        <v>500.0</v>
      </c>
    </row>
    <row r="51">
      <c r="B51" s="86">
        <v>47193.0</v>
      </c>
      <c r="C51" s="7">
        <v>10.0</v>
      </c>
      <c r="D51" s="7">
        <v>50.0</v>
      </c>
      <c r="E51" s="7">
        <v>25.0</v>
      </c>
      <c r="F51" s="7">
        <v>50.0</v>
      </c>
      <c r="G51" s="7">
        <v>50.0</v>
      </c>
      <c r="H51" s="7">
        <v>100.0</v>
      </c>
      <c r="I51" s="7">
        <v>20.0</v>
      </c>
      <c r="J51" s="7">
        <v>100.0</v>
      </c>
      <c r="K51" s="7">
        <v>5.0</v>
      </c>
      <c r="L51" s="7">
        <v>0.0</v>
      </c>
      <c r="M51" s="7">
        <v>5.0</v>
      </c>
      <c r="N51" s="7">
        <v>0.0</v>
      </c>
      <c r="O51" s="7">
        <v>0.0</v>
      </c>
      <c r="P51" s="7">
        <v>0.0</v>
      </c>
      <c r="Q51" s="7">
        <v>0.0</v>
      </c>
      <c r="R51" s="7">
        <v>25.0</v>
      </c>
      <c r="S51" s="7">
        <v>35.0</v>
      </c>
      <c r="T51" s="7">
        <v>250.0</v>
      </c>
      <c r="U51" s="7">
        <v>50.0</v>
      </c>
      <c r="V51" s="7">
        <v>25.0</v>
      </c>
      <c r="W51" s="7">
        <v>40.0</v>
      </c>
      <c r="X51" s="7">
        <v>40.0</v>
      </c>
      <c r="Y51" s="7">
        <v>2.0</v>
      </c>
      <c r="Z51" s="7">
        <v>2.0</v>
      </c>
      <c r="AA51" s="7">
        <v>200.0</v>
      </c>
      <c r="AC51" s="7">
        <v>500.0</v>
      </c>
    </row>
    <row r="52">
      <c r="B52" s="86">
        <v>47224.0</v>
      </c>
      <c r="C52" s="7">
        <v>10.0</v>
      </c>
      <c r="D52" s="7">
        <v>50.0</v>
      </c>
      <c r="E52" s="7">
        <v>25.0</v>
      </c>
      <c r="F52" s="7">
        <v>50.0</v>
      </c>
      <c r="G52" s="7">
        <v>50.0</v>
      </c>
      <c r="H52" s="7">
        <v>100.0</v>
      </c>
      <c r="I52" s="7">
        <v>20.0</v>
      </c>
      <c r="J52" s="7">
        <v>100.0</v>
      </c>
      <c r="K52" s="7">
        <v>5.0</v>
      </c>
      <c r="L52" s="7">
        <v>0.0</v>
      </c>
      <c r="M52" s="7">
        <v>5.0</v>
      </c>
      <c r="N52" s="7">
        <v>0.0</v>
      </c>
      <c r="O52" s="7">
        <v>0.0</v>
      </c>
      <c r="P52" s="7">
        <v>0.0</v>
      </c>
      <c r="Q52" s="7">
        <v>0.0</v>
      </c>
      <c r="R52" s="7">
        <v>25.0</v>
      </c>
      <c r="S52" s="7">
        <v>35.0</v>
      </c>
      <c r="T52" s="7">
        <v>250.0</v>
      </c>
      <c r="U52" s="7">
        <v>50.0</v>
      </c>
      <c r="V52" s="7">
        <v>25.0</v>
      </c>
      <c r="W52" s="7">
        <v>40.0</v>
      </c>
      <c r="X52" s="7">
        <v>40.0</v>
      </c>
      <c r="Y52" s="7">
        <v>2.0</v>
      </c>
      <c r="Z52" s="7">
        <v>2.0</v>
      </c>
      <c r="AA52" s="7">
        <v>200.0</v>
      </c>
      <c r="AC52" s="7">
        <v>500.0</v>
      </c>
    </row>
    <row r="53">
      <c r="B53" s="86">
        <v>47254.0</v>
      </c>
      <c r="C53" s="7">
        <v>10.0</v>
      </c>
      <c r="D53" s="7">
        <v>50.0</v>
      </c>
      <c r="E53" s="7">
        <v>25.0</v>
      </c>
      <c r="F53" s="7">
        <v>50.0</v>
      </c>
      <c r="G53" s="7">
        <v>50.0</v>
      </c>
      <c r="H53" s="7">
        <v>100.0</v>
      </c>
      <c r="I53" s="7">
        <v>20.0</v>
      </c>
      <c r="J53" s="7">
        <v>100.0</v>
      </c>
      <c r="K53" s="7">
        <v>5.0</v>
      </c>
      <c r="L53" s="7">
        <v>0.0</v>
      </c>
      <c r="M53" s="7">
        <v>5.0</v>
      </c>
      <c r="N53" s="7">
        <v>0.0</v>
      </c>
      <c r="O53" s="7">
        <v>0.0</v>
      </c>
      <c r="P53" s="7">
        <v>0.0</v>
      </c>
      <c r="Q53" s="7">
        <v>0.0</v>
      </c>
      <c r="R53" s="7">
        <v>25.0</v>
      </c>
      <c r="S53" s="7">
        <v>35.0</v>
      </c>
      <c r="T53" s="7">
        <v>250.0</v>
      </c>
      <c r="U53" s="7">
        <v>50.0</v>
      </c>
      <c r="V53" s="7">
        <v>25.0</v>
      </c>
      <c r="W53" s="7">
        <v>40.0</v>
      </c>
      <c r="X53" s="7">
        <v>40.0</v>
      </c>
      <c r="Y53" s="7">
        <v>2.0</v>
      </c>
      <c r="Z53" s="7">
        <v>2.0</v>
      </c>
      <c r="AA53" s="7">
        <v>200.0</v>
      </c>
      <c r="AC53" s="7">
        <v>500.0</v>
      </c>
    </row>
    <row r="54">
      <c r="B54" s="86">
        <v>47285.0</v>
      </c>
      <c r="C54" s="7">
        <v>10.0</v>
      </c>
      <c r="D54" s="7">
        <v>50.0</v>
      </c>
      <c r="E54" s="7">
        <v>25.0</v>
      </c>
      <c r="F54" s="7">
        <v>50.0</v>
      </c>
      <c r="G54" s="7">
        <v>50.0</v>
      </c>
      <c r="H54" s="7">
        <v>100.0</v>
      </c>
      <c r="I54" s="7">
        <v>20.0</v>
      </c>
      <c r="J54" s="7">
        <v>100.0</v>
      </c>
      <c r="K54" s="7">
        <v>5.0</v>
      </c>
      <c r="L54" s="7">
        <v>0.0</v>
      </c>
      <c r="M54" s="7">
        <v>5.0</v>
      </c>
      <c r="N54" s="7">
        <v>0.0</v>
      </c>
      <c r="O54" s="7">
        <v>0.0</v>
      </c>
      <c r="P54" s="7">
        <v>0.0</v>
      </c>
      <c r="Q54" s="7">
        <v>0.0</v>
      </c>
      <c r="R54" s="7">
        <v>25.0</v>
      </c>
      <c r="S54" s="7">
        <v>35.0</v>
      </c>
      <c r="T54" s="7">
        <v>250.0</v>
      </c>
      <c r="U54" s="7">
        <v>50.0</v>
      </c>
      <c r="V54" s="7">
        <v>25.0</v>
      </c>
      <c r="W54" s="7">
        <v>40.0</v>
      </c>
      <c r="X54" s="7">
        <v>40.0</v>
      </c>
      <c r="Y54" s="7">
        <v>2.0</v>
      </c>
      <c r="Z54" s="7">
        <v>2.0</v>
      </c>
      <c r="AA54" s="7">
        <v>200.0</v>
      </c>
      <c r="AC54" s="7">
        <v>500.0</v>
      </c>
    </row>
    <row r="55">
      <c r="B55" s="86">
        <v>47315.0</v>
      </c>
      <c r="C55" s="7">
        <v>10.0</v>
      </c>
      <c r="D55" s="7">
        <v>50.0</v>
      </c>
      <c r="E55" s="7">
        <v>25.0</v>
      </c>
      <c r="F55" s="7">
        <v>50.0</v>
      </c>
      <c r="G55" s="7">
        <v>50.0</v>
      </c>
      <c r="H55" s="7">
        <v>100.0</v>
      </c>
      <c r="I55" s="7">
        <v>20.0</v>
      </c>
      <c r="J55" s="7">
        <v>100.0</v>
      </c>
      <c r="K55" s="7">
        <v>5.0</v>
      </c>
      <c r="L55" s="7">
        <v>0.0</v>
      </c>
      <c r="M55" s="7">
        <v>5.0</v>
      </c>
      <c r="N55" s="7">
        <v>0.0</v>
      </c>
      <c r="O55" s="7">
        <v>0.0</v>
      </c>
      <c r="P55" s="7">
        <v>0.0</v>
      </c>
      <c r="Q55" s="7">
        <v>0.0</v>
      </c>
      <c r="R55" s="7">
        <v>25.0</v>
      </c>
      <c r="S55" s="7">
        <v>35.0</v>
      </c>
      <c r="T55" s="7">
        <v>250.0</v>
      </c>
      <c r="U55" s="7">
        <v>50.0</v>
      </c>
      <c r="V55" s="7">
        <v>25.0</v>
      </c>
      <c r="W55" s="7">
        <v>40.0</v>
      </c>
      <c r="X55" s="7">
        <v>40.0</v>
      </c>
      <c r="Y55" s="7">
        <v>2.0</v>
      </c>
      <c r="Z55" s="7">
        <v>2.0</v>
      </c>
      <c r="AA55" s="7">
        <v>200.0</v>
      </c>
      <c r="AC55" s="7">
        <v>500.0</v>
      </c>
    </row>
    <row r="56">
      <c r="B56" s="86">
        <v>47346.0</v>
      </c>
      <c r="C56" s="7">
        <v>10.0</v>
      </c>
      <c r="D56" s="7">
        <v>50.0</v>
      </c>
      <c r="E56" s="7">
        <v>25.0</v>
      </c>
      <c r="F56" s="7">
        <v>50.0</v>
      </c>
      <c r="G56" s="7">
        <v>50.0</v>
      </c>
      <c r="H56" s="7">
        <v>100.0</v>
      </c>
      <c r="I56" s="7">
        <v>20.0</v>
      </c>
      <c r="J56" s="7">
        <v>100.0</v>
      </c>
      <c r="K56" s="7">
        <v>5.0</v>
      </c>
      <c r="L56" s="7">
        <v>0.0</v>
      </c>
      <c r="M56" s="7">
        <v>5.0</v>
      </c>
      <c r="N56" s="7">
        <v>0.0</v>
      </c>
      <c r="O56" s="7">
        <v>0.0</v>
      </c>
      <c r="P56" s="7">
        <v>0.0</v>
      </c>
      <c r="Q56" s="7">
        <v>0.0</v>
      </c>
      <c r="R56" s="7">
        <v>25.0</v>
      </c>
      <c r="S56" s="7">
        <v>35.0</v>
      </c>
      <c r="T56" s="7">
        <v>250.0</v>
      </c>
      <c r="U56" s="7">
        <v>50.0</v>
      </c>
      <c r="V56" s="7">
        <v>25.0</v>
      </c>
      <c r="W56" s="7">
        <v>40.0</v>
      </c>
      <c r="X56" s="7">
        <v>40.0</v>
      </c>
      <c r="Y56" s="7">
        <v>2.0</v>
      </c>
      <c r="Z56" s="7">
        <v>2.0</v>
      </c>
      <c r="AA56" s="7">
        <v>200.0</v>
      </c>
      <c r="AC56" s="7">
        <v>500.0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pageSetUpPr fitToPage="1"/>
  </sheetPr>
  <sheetViews>
    <sheetView workbookViewId="0"/>
  </sheetViews>
  <sheetFormatPr customHeight="1" defaultColWidth="12.63" defaultRowHeight="15.75"/>
  <cols>
    <col customWidth="1" min="1" max="1" width="15.25"/>
    <col customWidth="1" min="2" max="2" width="17.38"/>
    <col customWidth="1" min="3" max="3" width="2.5"/>
    <col customWidth="1" min="4" max="4" width="7.63"/>
    <col customWidth="1" min="5" max="5" width="11.63"/>
  </cols>
  <sheetData>
    <row r="1" ht="27.0" customHeight="1">
      <c r="A1" s="592" t="s">
        <v>990</v>
      </c>
      <c r="B1" s="259"/>
      <c r="C1" s="259"/>
      <c r="D1" s="259"/>
      <c r="E1" s="259"/>
    </row>
    <row r="2" ht="21.75" customHeight="1">
      <c r="A2" s="593" t="str">
        <f>Reports!J1&amp;" "&amp; "For Month Of "&amp;TEXT(Reports!Q1,"mmmm-yyy")</f>
        <v>CVH Malkana For Month Of April-2026</v>
      </c>
    </row>
    <row r="3">
      <c r="A3" s="7"/>
      <c r="B3" s="7"/>
      <c r="C3" s="594"/>
      <c r="D3" s="595" t="str">
        <f>"Slip Number "&amp;Reports!E58 </f>
        <v>Slip Number 386</v>
      </c>
      <c r="E3" s="259"/>
    </row>
    <row r="4">
      <c r="A4" s="596" t="s">
        <v>991</v>
      </c>
      <c r="C4" s="557"/>
      <c r="D4" s="597"/>
      <c r="E4" s="597"/>
    </row>
    <row r="5" ht="18.75" customHeight="1">
      <c r="A5" s="257"/>
      <c r="B5" s="256" t="s">
        <v>992</v>
      </c>
      <c r="C5" s="598" t="str">
        <f t="shared" ref="C5:C12" si="1">"="</f>
        <v>=</v>
      </c>
      <c r="D5" s="599" t="str">
        <f>(Reports!E5)&amp;"X"&amp;Sum!B35&amp;" ="</f>
        <v>40X10 =</v>
      </c>
      <c r="E5" s="600">
        <f>Reports!D47</f>
        <v>400</v>
      </c>
    </row>
    <row r="6" ht="18.75" customHeight="1">
      <c r="A6" s="257"/>
      <c r="B6" s="601" t="s">
        <v>993</v>
      </c>
      <c r="C6" s="598" t="str">
        <f t="shared" si="1"/>
        <v>=</v>
      </c>
      <c r="D6" s="599" t="str">
        <f>(Reports!F$5)&amp;"X"&amp;Sum!C$35&amp;" ="</f>
        <v>0X50 =</v>
      </c>
      <c r="E6" s="602">
        <f>Reports!E47</f>
        <v>0</v>
      </c>
    </row>
    <row r="7" ht="18.75" customHeight="1">
      <c r="A7" s="257"/>
      <c r="B7" s="256" t="s">
        <v>994</v>
      </c>
      <c r="C7" s="598" t="str">
        <f t="shared" si="1"/>
        <v>=</v>
      </c>
      <c r="D7" s="599"/>
      <c r="E7" s="600">
        <f>Reports!F47</f>
        <v>0</v>
      </c>
    </row>
    <row r="8" ht="18.75" customHeight="1">
      <c r="A8" s="257"/>
      <c r="B8" s="256" t="s">
        <v>995</v>
      </c>
      <c r="C8" s="598" t="str">
        <f t="shared" si="1"/>
        <v>=</v>
      </c>
      <c r="D8" s="599"/>
      <c r="E8" s="602">
        <f>Reports!G47</f>
        <v>0</v>
      </c>
    </row>
    <row r="9" ht="18.75" customHeight="1">
      <c r="A9" s="257"/>
      <c r="B9" s="256" t="s">
        <v>996</v>
      </c>
      <c r="C9" s="598" t="str">
        <f t="shared" si="1"/>
        <v>=</v>
      </c>
      <c r="D9" s="599"/>
      <c r="E9" s="600">
        <f>Reports!H47</f>
        <v>0</v>
      </c>
    </row>
    <row r="10" ht="18.75" customHeight="1">
      <c r="A10" s="257"/>
      <c r="B10" s="256" t="s">
        <v>997</v>
      </c>
      <c r="C10" s="598" t="str">
        <f t="shared" si="1"/>
        <v>=</v>
      </c>
      <c r="D10" s="599"/>
      <c r="E10" s="602">
        <f>Reports!I47</f>
        <v>0</v>
      </c>
    </row>
    <row r="11" ht="18.75" customHeight="1">
      <c r="A11" s="257"/>
      <c r="B11" s="601" t="s">
        <v>998</v>
      </c>
      <c r="C11" s="598" t="str">
        <f t="shared" si="1"/>
        <v>=</v>
      </c>
      <c r="D11" s="599"/>
      <c r="E11" s="600">
        <f>Reports!J47</f>
        <v>0</v>
      </c>
    </row>
    <row r="12" ht="18.75" customHeight="1">
      <c r="A12" s="257"/>
      <c r="B12" s="257" t="s">
        <v>999</v>
      </c>
      <c r="C12" s="598" t="str">
        <f t="shared" si="1"/>
        <v>=</v>
      </c>
      <c r="D12" s="599"/>
      <c r="E12" s="603">
        <f>SUM(E5:E11)</f>
        <v>400</v>
      </c>
    </row>
    <row r="13" ht="18.75" customHeight="1">
      <c r="A13" s="604" t="s">
        <v>1000</v>
      </c>
      <c r="C13" s="605"/>
      <c r="D13" s="605"/>
      <c r="E13" s="606"/>
    </row>
    <row r="14" ht="18.75" customHeight="1">
      <c r="A14" s="604"/>
      <c r="B14" s="255" t="s">
        <v>1001</v>
      </c>
      <c r="C14" s="605" t="str">
        <f t="shared" ref="C14:C15" si="2">"="</f>
        <v>=</v>
      </c>
      <c r="D14" s="605" t="str">
        <f>sum(Reports!J14)&amp;"x"&amp;Sum!Q$35&amp;" ="</f>
        <v>0x25 =</v>
      </c>
      <c r="E14" s="607">
        <f>Reports!L47</f>
        <v>0</v>
      </c>
    </row>
    <row r="15" ht="18.75" customHeight="1">
      <c r="A15" s="604"/>
      <c r="B15" s="255" t="s">
        <v>1002</v>
      </c>
      <c r="C15" s="605" t="str">
        <f t="shared" si="2"/>
        <v>=</v>
      </c>
      <c r="D15" s="605" t="str">
        <f>sum(Reports!P14)&amp;"x"&amp;Sum!R$35&amp;" ="</f>
        <v>0x35 =</v>
      </c>
      <c r="E15" s="607">
        <f>Reports!M47</f>
        <v>0</v>
      </c>
    </row>
    <row r="16" ht="18.75" customHeight="1">
      <c r="A16" s="604"/>
      <c r="B16" s="255" t="s">
        <v>1003</v>
      </c>
      <c r="C16" s="605"/>
      <c r="D16" s="605" t="str">
        <f>Reports!P$16&amp;"x"&amp;Sum!T$35&amp;" ="</f>
        <v>x50 =</v>
      </c>
      <c r="E16" s="607" t="str">
        <f>Reports!O47</f>
        <v/>
      </c>
    </row>
    <row r="17" ht="18.75" customHeight="1">
      <c r="A17" s="604"/>
      <c r="B17" s="255" t="s">
        <v>1004</v>
      </c>
      <c r="C17" s="605" t="str">
        <f t="shared" ref="C17:C21" si="3">"="</f>
        <v>=</v>
      </c>
      <c r="D17" s="605" t="str">
        <f>sum(Reports!Z14)&amp;"x"&amp;Sum!S$35&amp;" ="</f>
        <v>0x250 =</v>
      </c>
      <c r="E17" s="607">
        <f>Reports!N47</f>
        <v>0</v>
      </c>
    </row>
    <row r="18" ht="18.75" customHeight="1">
      <c r="A18" s="604"/>
      <c r="B18" s="255" t="s">
        <v>1005</v>
      </c>
      <c r="C18" s="605" t="str">
        <f t="shared" si="3"/>
        <v>=</v>
      </c>
      <c r="D18" s="605" t="str">
        <f>sum(Reports!F26)&amp;"x"&amp;Sum!U$35&amp;" ="</f>
        <v>0x25 =</v>
      </c>
      <c r="E18" s="607">
        <f>Reports!Q47</f>
        <v>0</v>
      </c>
    </row>
    <row r="19" ht="18.75" customHeight="1">
      <c r="A19" s="604"/>
      <c r="B19" s="255" t="s">
        <v>1006</v>
      </c>
      <c r="C19" s="605" t="str">
        <f t="shared" si="3"/>
        <v>=</v>
      </c>
      <c r="D19" s="605" t="str">
        <f>sum(Reports!K$26)&amp;"x"&amp;Sum!S$35&amp;" ="</f>
        <v>0x250 =</v>
      </c>
      <c r="E19" s="607">
        <f>Reports!R47</f>
        <v>0</v>
      </c>
    </row>
    <row r="20" ht="18.75" customHeight="1">
      <c r="A20" s="604"/>
      <c r="B20" s="255" t="s">
        <v>1007</v>
      </c>
      <c r="C20" s="605" t="str">
        <f t="shared" si="3"/>
        <v>=</v>
      </c>
      <c r="D20" s="605"/>
      <c r="E20" s="608">
        <f>SUM(E14:E19)</f>
        <v>0</v>
      </c>
    </row>
    <row r="21" ht="18.75" customHeight="1">
      <c r="A21" s="605"/>
      <c r="B21" s="605" t="s">
        <v>1008</v>
      </c>
      <c r="C21" s="605" t="str">
        <f t="shared" si="3"/>
        <v>=</v>
      </c>
      <c r="D21" s="609">
        <f>$E$12+$E$20</f>
        <v>400</v>
      </c>
    </row>
    <row r="22" ht="18.75" customHeight="1">
      <c r="A22" s="610" t="str">
        <f>Reports!$C48&amp;" = "&amp;Reports!$T48&amp;"/-, "&amp;Reports!$C49&amp;" = "&amp;Reports!$T49&amp;"/-, "&amp;Reports!$C50&amp;" = "&amp;Reports!$T50&amp;"/-, "&amp;Reports!$C51&amp;" = "&amp;Reports!$T51&amp;"/-, "&amp;Reports!$C52&amp;" = "&amp;Reports!$T52&amp;"/-, "&amp;Reports!$C53&amp;" = "&amp;Reports!$T53&amp;"/-, "&amp;Reports!$C54&amp;" = "&amp;Reports!$T54&amp;"/-"</f>
        <v> = 0/-,  = 0/-,  = 0/-,  = 0/-,  = 0/-,  = 0/-,  = 0/-</v>
      </c>
      <c r="E22" s="606"/>
    </row>
    <row r="23" ht="18.75" customHeight="1">
      <c r="E23" s="611"/>
    </row>
    <row r="24">
      <c r="E24" s="611">
        <f>sum(Reports!T48:T54)</f>
        <v>0</v>
      </c>
    </row>
    <row r="25">
      <c r="A25" s="612" t="s">
        <v>1009</v>
      </c>
      <c r="E25" s="613">
        <f>SUM(D21:E24)</f>
        <v>400</v>
      </c>
    </row>
    <row r="26">
      <c r="A26" s="614" t="str">
        <f>"It is certified that Incharge "&amp;Reports!$J$1&amp;" Deposted Sum of Rupees "&amp;$E$25&amp;"/- as monthly fee of his institute and all attached institutes"</f>
        <v>It is certified that Incharge CVH Malkana Deposted Sum of Rupees 400/- as monthly fee of his institute and all attached institutes</v>
      </c>
    </row>
    <row r="27">
      <c r="A27" s="615"/>
      <c r="B27" s="615"/>
      <c r="C27" s="557"/>
      <c r="D27" s="557"/>
      <c r="E27" s="557"/>
    </row>
    <row r="28">
      <c r="A28" s="615"/>
      <c r="B28" s="615"/>
      <c r="C28" s="557"/>
      <c r="D28" s="557" t="str">
        <f>Reports!J70</f>
        <v/>
      </c>
    </row>
  </sheetData>
  <mergeCells count="10">
    <mergeCell ref="A25:D25"/>
    <mergeCell ref="A26:E26"/>
    <mergeCell ref="D28:E28"/>
    <mergeCell ref="A1:E1"/>
    <mergeCell ref="A2:E2"/>
    <mergeCell ref="D3:E3"/>
    <mergeCell ref="A4:B4"/>
    <mergeCell ref="A13:B13"/>
    <mergeCell ref="D21:E21"/>
    <mergeCell ref="A22:D24"/>
  </mergeCells>
  <printOptions/>
  <pageMargins bottom="0.0" footer="0.0" header="0.0" left="0.18335353617667133" right="0.14770145969787413" top="0.0"/>
  <pageSetup paperSize="5"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sheetViews>
  <sheetFormatPr customHeight="1" defaultColWidth="12.63" defaultRowHeight="15.75"/>
  <cols>
    <col customWidth="1" min="1" max="1" width="21.88"/>
    <col customWidth="1" min="2" max="2" width="26.0"/>
    <col customWidth="1" min="3" max="3" width="24.25"/>
    <col customWidth="1" min="4" max="4" width="19.5"/>
    <col customWidth="1" min="8" max="8" width="16.5"/>
    <col customWidth="1" min="9" max="9" width="29.88"/>
  </cols>
  <sheetData>
    <row r="1" ht="33.0" customHeight="1">
      <c r="A1" s="616" t="s">
        <v>1010</v>
      </c>
      <c r="C1" s="617" t="s">
        <v>777</v>
      </c>
      <c r="E1" s="618"/>
      <c r="F1" s="619" t="s">
        <v>63</v>
      </c>
      <c r="G1" s="620"/>
      <c r="H1" s="621" t="s">
        <v>1011</v>
      </c>
      <c r="J1" s="618"/>
      <c r="K1" s="621" t="s">
        <v>1012</v>
      </c>
      <c r="M1" s="618"/>
      <c r="N1" s="618"/>
      <c r="O1" s="618"/>
      <c r="P1" s="618"/>
    </row>
    <row r="2">
      <c r="A2" s="622" t="s">
        <v>1013</v>
      </c>
      <c r="B2" s="623"/>
      <c r="C2" s="622" t="s">
        <v>1013</v>
      </c>
      <c r="D2" s="623"/>
      <c r="F2" s="619"/>
      <c r="G2" s="624"/>
      <c r="H2" s="7" t="s">
        <v>1014</v>
      </c>
      <c r="I2" s="625" t="s">
        <v>1015</v>
      </c>
      <c r="K2" s="7" t="s">
        <v>1016</v>
      </c>
    </row>
    <row r="3">
      <c r="A3" s="626" t="s">
        <v>1017</v>
      </c>
      <c r="B3" s="626" t="s">
        <v>1018</v>
      </c>
      <c r="C3" s="627" t="s">
        <v>1019</v>
      </c>
      <c r="D3" s="628" t="s">
        <v>1020</v>
      </c>
      <c r="F3" s="619" t="s">
        <v>1021</v>
      </c>
      <c r="G3" s="624"/>
      <c r="H3" s="7" t="s">
        <v>1022</v>
      </c>
      <c r="I3" s="629" t="s">
        <v>1023</v>
      </c>
    </row>
    <row r="4" ht="15.0" customHeight="1">
      <c r="A4" s="622" t="s">
        <v>1024</v>
      </c>
      <c r="B4" s="630" t="s">
        <v>1025</v>
      </c>
      <c r="C4" s="8" t="s">
        <v>1026</v>
      </c>
      <c r="D4" s="631" t="s">
        <v>1027</v>
      </c>
      <c r="F4" s="632" t="s">
        <v>1028</v>
      </c>
      <c r="G4" s="624"/>
      <c r="H4" s="7" t="s">
        <v>1029</v>
      </c>
      <c r="I4" s="629" t="s">
        <v>1030</v>
      </c>
    </row>
    <row r="5">
      <c r="A5" s="633" t="s">
        <v>1031</v>
      </c>
      <c r="B5" s="633" t="s">
        <v>1032</v>
      </c>
      <c r="C5" s="62" t="s">
        <v>1033</v>
      </c>
      <c r="D5" s="634" t="s">
        <v>1034</v>
      </c>
      <c r="F5" s="632" t="s">
        <v>1035</v>
      </c>
      <c r="G5" s="624"/>
      <c r="H5" s="7" t="s">
        <v>1036</v>
      </c>
      <c r="I5" s="629" t="s">
        <v>1037</v>
      </c>
    </row>
    <row r="6" ht="17.25" customHeight="1">
      <c r="A6" s="635" t="s">
        <v>1038</v>
      </c>
      <c r="B6" s="7" t="s">
        <v>1039</v>
      </c>
      <c r="C6" s="635" t="s">
        <v>1038</v>
      </c>
      <c r="D6" s="636" t="s">
        <v>1040</v>
      </c>
      <c r="F6" s="632" t="s">
        <v>1041</v>
      </c>
      <c r="G6" s="624"/>
      <c r="H6" s="7" t="s">
        <v>1042</v>
      </c>
      <c r="I6" s="629" t="s">
        <v>1043</v>
      </c>
    </row>
    <row r="7" ht="17.25" customHeight="1">
      <c r="A7" s="635" t="s">
        <v>1044</v>
      </c>
      <c r="B7" s="637" t="s">
        <v>1045</v>
      </c>
      <c r="C7" s="635" t="s">
        <v>1044</v>
      </c>
      <c r="D7" s="7" t="s">
        <v>1046</v>
      </c>
      <c r="H7" s="7" t="s">
        <v>1047</v>
      </c>
      <c r="I7" s="638" t="s">
        <v>1048</v>
      </c>
    </row>
    <row r="8" ht="17.25" customHeight="1">
      <c r="A8" s="635" t="s">
        <v>1049</v>
      </c>
      <c r="B8" s="639"/>
      <c r="C8" s="635" t="s">
        <v>1049</v>
      </c>
      <c r="D8" s="640"/>
    </row>
    <row r="9" ht="17.25" customHeight="1">
      <c r="A9" s="635" t="s">
        <v>1050</v>
      </c>
      <c r="B9" s="637" t="s">
        <v>1051</v>
      </c>
      <c r="C9" s="635" t="s">
        <v>1050</v>
      </c>
      <c r="D9" s="641" t="s">
        <v>755</v>
      </c>
      <c r="G9" s="7" t="s">
        <v>1039</v>
      </c>
    </row>
    <row r="10" ht="17.25" customHeight="1">
      <c r="A10" s="635" t="s">
        <v>1052</v>
      </c>
      <c r="B10" s="642" t="s">
        <v>1053</v>
      </c>
      <c r="C10" s="635" t="s">
        <v>1052</v>
      </c>
      <c r="D10" s="640" t="s">
        <v>1054</v>
      </c>
      <c r="G10" s="7" t="s">
        <v>1045</v>
      </c>
    </row>
    <row r="11" ht="17.25" customHeight="1">
      <c r="A11" s="635" t="s">
        <v>1055</v>
      </c>
      <c r="B11" s="637" t="s">
        <v>1045</v>
      </c>
      <c r="C11" s="635" t="s">
        <v>1055</v>
      </c>
      <c r="D11" s="7" t="s">
        <v>1046</v>
      </c>
      <c r="G11" s="643"/>
    </row>
    <row r="12" ht="17.25" customHeight="1">
      <c r="A12" s="635" t="s">
        <v>1056</v>
      </c>
      <c r="B12" s="639"/>
      <c r="C12" s="635" t="s">
        <v>1056</v>
      </c>
      <c r="D12" s="640"/>
      <c r="F12" s="624"/>
      <c r="G12" s="7" t="s">
        <v>1051</v>
      </c>
    </row>
    <row r="13" ht="17.25" customHeight="1">
      <c r="A13" s="635" t="s">
        <v>1057</v>
      </c>
      <c r="B13" s="637" t="s">
        <v>1051</v>
      </c>
      <c r="C13" s="635" t="s">
        <v>1057</v>
      </c>
      <c r="D13" s="641" t="s">
        <v>755</v>
      </c>
      <c r="F13" s="624"/>
      <c r="G13" s="7" t="s">
        <v>1053</v>
      </c>
    </row>
    <row r="14" ht="17.25" customHeight="1">
      <c r="A14" s="635" t="s">
        <v>1058</v>
      </c>
      <c r="B14" s="642" t="s">
        <v>1059</v>
      </c>
      <c r="C14" s="635" t="s">
        <v>1058</v>
      </c>
      <c r="D14" s="640" t="s">
        <v>699</v>
      </c>
      <c r="F14" s="624"/>
      <c r="G14" s="7" t="s">
        <v>1045</v>
      </c>
    </row>
    <row r="15" ht="17.25" customHeight="1">
      <c r="A15" s="635" t="s">
        <v>1060</v>
      </c>
      <c r="B15" s="637" t="s">
        <v>1046</v>
      </c>
      <c r="C15" s="635" t="s">
        <v>1060</v>
      </c>
      <c r="D15" s="7" t="s">
        <v>1046</v>
      </c>
      <c r="F15" s="624"/>
      <c r="G15" s="643"/>
    </row>
    <row r="16" ht="17.25" customHeight="1">
      <c r="A16" s="635" t="s">
        <v>1061</v>
      </c>
      <c r="B16" s="639"/>
      <c r="C16" s="635" t="s">
        <v>1061</v>
      </c>
      <c r="D16" s="640"/>
      <c r="F16" s="624"/>
      <c r="G16" s="7" t="s">
        <v>1051</v>
      </c>
    </row>
    <row r="17" ht="17.25" customHeight="1">
      <c r="A17" s="635" t="s">
        <v>1062</v>
      </c>
      <c r="B17" s="637" t="s">
        <v>755</v>
      </c>
      <c r="C17" s="635" t="s">
        <v>1062</v>
      </c>
      <c r="D17" s="641" t="s">
        <v>755</v>
      </c>
      <c r="F17" s="624"/>
      <c r="G17" s="7" t="s">
        <v>1059</v>
      </c>
    </row>
    <row r="18" ht="17.25" customHeight="1">
      <c r="A18" s="644" t="s">
        <v>1063</v>
      </c>
      <c r="B18" s="645" t="s">
        <v>1064</v>
      </c>
      <c r="C18" s="644" t="s">
        <v>1063</v>
      </c>
      <c r="D18" s="640" t="s">
        <v>559</v>
      </c>
      <c r="F18" s="624"/>
      <c r="G18" s="7" t="s">
        <v>1046</v>
      </c>
    </row>
    <row r="19" ht="17.25" customHeight="1">
      <c r="A19" s="644" t="s">
        <v>1065</v>
      </c>
      <c r="B19" s="637" t="s">
        <v>1066</v>
      </c>
      <c r="C19" s="644" t="s">
        <v>1065</v>
      </c>
      <c r="D19" s="7" t="s">
        <v>711</v>
      </c>
      <c r="F19" s="624"/>
      <c r="G19" s="643"/>
    </row>
    <row r="20" ht="17.25" customHeight="1">
      <c r="A20" s="644" t="s">
        <v>1067</v>
      </c>
      <c r="B20" s="646" t="s">
        <v>1068</v>
      </c>
      <c r="C20" s="644" t="s">
        <v>1067</v>
      </c>
      <c r="D20" s="640"/>
      <c r="F20" s="624"/>
      <c r="G20" s="7" t="s">
        <v>755</v>
      </c>
    </row>
    <row r="21" ht="17.25" customHeight="1">
      <c r="A21" s="644" t="s">
        <v>1069</v>
      </c>
      <c r="B21" s="637" t="s">
        <v>1046</v>
      </c>
      <c r="C21" s="644" t="s">
        <v>1069</v>
      </c>
      <c r="D21" s="7" t="s">
        <v>713</v>
      </c>
      <c r="F21" s="624"/>
      <c r="G21" s="7" t="s">
        <v>1064</v>
      </c>
    </row>
    <row r="22" ht="17.25" customHeight="1">
      <c r="A22" s="644" t="s">
        <v>1070</v>
      </c>
      <c r="B22" s="639"/>
      <c r="C22" s="644" t="s">
        <v>1070</v>
      </c>
      <c r="D22" s="640"/>
      <c r="F22" s="624"/>
      <c r="G22" s="7" t="s">
        <v>1066</v>
      </c>
    </row>
    <row r="23" ht="17.25" customHeight="1">
      <c r="A23" s="644" t="s">
        <v>1071</v>
      </c>
      <c r="B23" s="637" t="s">
        <v>755</v>
      </c>
      <c r="C23" s="644" t="s">
        <v>1071</v>
      </c>
      <c r="D23" s="641" t="s">
        <v>725</v>
      </c>
      <c r="F23" s="624"/>
      <c r="G23" s="7" t="s">
        <v>1068</v>
      </c>
    </row>
    <row r="24" ht="17.25" customHeight="1">
      <c r="A24" s="647" t="s">
        <v>1072</v>
      </c>
      <c r="B24" s="642" t="s">
        <v>1073</v>
      </c>
      <c r="C24" s="647" t="s">
        <v>1072</v>
      </c>
      <c r="D24" s="640"/>
      <c r="F24" s="624"/>
      <c r="G24" s="7" t="s">
        <v>1046</v>
      </c>
    </row>
    <row r="25" ht="17.25" customHeight="1">
      <c r="A25" s="647" t="s">
        <v>1074</v>
      </c>
      <c r="B25" s="637" t="s">
        <v>1046</v>
      </c>
      <c r="C25" s="647" t="s">
        <v>1074</v>
      </c>
      <c r="D25" s="641" t="s">
        <v>1075</v>
      </c>
      <c r="F25" s="624"/>
      <c r="G25" s="643"/>
    </row>
    <row r="26" ht="17.25" customHeight="1">
      <c r="A26" s="647" t="s">
        <v>1076</v>
      </c>
      <c r="B26" s="639"/>
      <c r="C26" s="647" t="s">
        <v>1076</v>
      </c>
      <c r="D26" s="636" t="s">
        <v>795</v>
      </c>
      <c r="F26" s="624"/>
      <c r="G26" s="7" t="s">
        <v>755</v>
      </c>
    </row>
    <row r="27" ht="17.25" customHeight="1">
      <c r="A27" s="647" t="s">
        <v>1077</v>
      </c>
      <c r="B27" s="637" t="s">
        <v>755</v>
      </c>
      <c r="C27" s="648" t="s">
        <v>1077</v>
      </c>
      <c r="D27" s="641" t="s">
        <v>1078</v>
      </c>
      <c r="F27" s="624"/>
      <c r="G27" s="7" t="s">
        <v>1073</v>
      </c>
    </row>
    <row r="28" ht="17.25" customHeight="1">
      <c r="A28" s="649" t="s">
        <v>1079</v>
      </c>
      <c r="B28" s="650"/>
      <c r="C28" s="649" t="s">
        <v>1079</v>
      </c>
      <c r="D28" s="640" t="s">
        <v>1080</v>
      </c>
      <c r="F28" s="624"/>
      <c r="G28" s="7" t="s">
        <v>1046</v>
      </c>
    </row>
    <row r="29" ht="17.25" customHeight="1">
      <c r="A29" s="651" t="s">
        <v>1081</v>
      </c>
      <c r="B29" s="652"/>
      <c r="C29" s="653" t="s">
        <v>1081</v>
      </c>
      <c r="D29" s="641" t="s">
        <v>709</v>
      </c>
      <c r="F29" s="624"/>
      <c r="G29" s="643"/>
    </row>
    <row r="30" ht="17.25" customHeight="1">
      <c r="C30" s="648" t="s">
        <v>1082</v>
      </c>
      <c r="D30" s="640"/>
      <c r="F30" s="624"/>
      <c r="G30" s="7" t="s">
        <v>755</v>
      </c>
    </row>
    <row r="31" ht="17.25" customHeight="1">
      <c r="C31" s="648" t="s">
        <v>1083</v>
      </c>
      <c r="D31" s="641" t="s">
        <v>708</v>
      </c>
      <c r="F31" s="624"/>
      <c r="G31" s="643"/>
    </row>
    <row r="32" ht="17.25" customHeight="1">
      <c r="C32" s="648" t="s">
        <v>1084</v>
      </c>
      <c r="D32" s="636" t="s">
        <v>1085</v>
      </c>
      <c r="F32" s="624"/>
      <c r="G32" s="643"/>
    </row>
    <row r="33" ht="17.25" customHeight="1">
      <c r="C33" s="648" t="s">
        <v>1086</v>
      </c>
      <c r="D33" s="641" t="s">
        <v>709</v>
      </c>
    </row>
    <row r="34" ht="17.25" customHeight="1">
      <c r="C34" s="648" t="s">
        <v>1087</v>
      </c>
      <c r="D34" s="640"/>
    </row>
    <row r="35" ht="17.25" customHeight="1">
      <c r="C35" s="648" t="s">
        <v>1088</v>
      </c>
      <c r="D35" s="641" t="s">
        <v>708</v>
      </c>
    </row>
    <row r="36" ht="17.25" customHeight="1">
      <c r="C36" s="648" t="s">
        <v>1089</v>
      </c>
      <c r="D36" s="640" t="s">
        <v>703</v>
      </c>
    </row>
    <row r="37" ht="17.25" customHeight="1">
      <c r="C37" s="648" t="s">
        <v>1090</v>
      </c>
      <c r="D37" s="641" t="s">
        <v>1078</v>
      </c>
    </row>
    <row r="38" ht="17.25" customHeight="1">
      <c r="C38" s="648" t="s">
        <v>1091</v>
      </c>
      <c r="D38" s="640" t="s">
        <v>1092</v>
      </c>
    </row>
    <row r="39" ht="17.25" customHeight="1">
      <c r="C39" s="648" t="s">
        <v>1093</v>
      </c>
      <c r="D39" s="641" t="s">
        <v>1078</v>
      </c>
    </row>
    <row r="40" ht="17.25" customHeight="1">
      <c r="C40" s="648" t="s">
        <v>1094</v>
      </c>
      <c r="D40" s="640" t="s">
        <v>705</v>
      </c>
    </row>
    <row r="41" ht="17.25" customHeight="1">
      <c r="C41" s="648" t="s">
        <v>1095</v>
      </c>
      <c r="D41" s="641" t="s">
        <v>1078</v>
      </c>
    </row>
    <row r="42" ht="17.25" customHeight="1">
      <c r="C42" s="648" t="s">
        <v>1096</v>
      </c>
      <c r="D42" s="640" t="s">
        <v>1097</v>
      </c>
    </row>
    <row r="43" ht="17.25" customHeight="1">
      <c r="C43" s="648" t="s">
        <v>1098</v>
      </c>
      <c r="D43" s="641" t="s">
        <v>1099</v>
      </c>
    </row>
    <row r="44" ht="17.25" customHeight="1">
      <c r="C44" s="648" t="s">
        <v>1100</v>
      </c>
      <c r="D44" s="640"/>
    </row>
    <row r="45" ht="17.25" customHeight="1">
      <c r="C45" s="648" t="s">
        <v>1101</v>
      </c>
      <c r="D45" s="641" t="s">
        <v>1102</v>
      </c>
    </row>
    <row r="46" ht="17.25" customHeight="1">
      <c r="C46" s="648" t="s">
        <v>1103</v>
      </c>
      <c r="D46" s="640"/>
    </row>
    <row r="47" ht="17.25" customHeight="1">
      <c r="C47" s="648" t="s">
        <v>1104</v>
      </c>
      <c r="D47" s="641" t="s">
        <v>1105</v>
      </c>
    </row>
    <row r="48" ht="17.25" customHeight="1">
      <c r="C48" s="648" t="s">
        <v>1106</v>
      </c>
      <c r="D48" s="640"/>
    </row>
    <row r="49" ht="17.25" customHeight="1">
      <c r="C49" s="648" t="s">
        <v>1107</v>
      </c>
      <c r="D49" s="641" t="s">
        <v>1108</v>
      </c>
    </row>
    <row r="50" ht="17.25" customHeight="1">
      <c r="C50" s="648" t="s">
        <v>1109</v>
      </c>
      <c r="D50" s="640"/>
    </row>
    <row r="51" ht="17.25" customHeight="1">
      <c r="C51" s="648" t="s">
        <v>1110</v>
      </c>
      <c r="D51" s="641" t="s">
        <v>767</v>
      </c>
    </row>
    <row r="52" ht="17.25" customHeight="1">
      <c r="C52" s="648" t="s">
        <v>1111</v>
      </c>
      <c r="D52" s="640"/>
    </row>
    <row r="53" ht="17.25" customHeight="1">
      <c r="C53" s="648" t="s">
        <v>1112</v>
      </c>
      <c r="D53" s="641" t="s">
        <v>1113</v>
      </c>
    </row>
    <row r="54" ht="17.25" customHeight="1">
      <c r="C54" s="648" t="s">
        <v>1114</v>
      </c>
      <c r="D54" s="640"/>
    </row>
    <row r="55" ht="17.25" customHeight="1">
      <c r="C55" s="648" t="s">
        <v>1115</v>
      </c>
      <c r="D55" s="641" t="s">
        <v>1116</v>
      </c>
    </row>
    <row r="56" ht="17.25" customHeight="1">
      <c r="C56" s="648" t="s">
        <v>1117</v>
      </c>
      <c r="D56" s="640"/>
    </row>
    <row r="57" ht="17.25" customHeight="1">
      <c r="C57" s="648" t="s">
        <v>1118</v>
      </c>
      <c r="D57" s="641" t="s">
        <v>1119</v>
      </c>
    </row>
    <row r="58" ht="17.25" customHeight="1">
      <c r="C58" s="648" t="s">
        <v>1120</v>
      </c>
      <c r="D58" s="640"/>
    </row>
    <row r="59" ht="17.25" customHeight="1">
      <c r="C59" s="648" t="s">
        <v>1121</v>
      </c>
      <c r="D59" s="641" t="s">
        <v>771</v>
      </c>
    </row>
    <row r="60" ht="17.25" customHeight="1">
      <c r="C60" s="648" t="s">
        <v>1122</v>
      </c>
      <c r="D60" s="640"/>
    </row>
    <row r="61" ht="17.25" customHeight="1">
      <c r="C61" s="648" t="s">
        <v>1123</v>
      </c>
      <c r="D61" s="641" t="s">
        <v>772</v>
      </c>
    </row>
    <row r="62" ht="17.25" customHeight="1">
      <c r="C62" s="648" t="s">
        <v>1124</v>
      </c>
      <c r="D62" s="640"/>
    </row>
    <row r="63" ht="17.25" customHeight="1">
      <c r="C63" s="648" t="s">
        <v>1125</v>
      </c>
      <c r="D63" s="641" t="s">
        <v>773</v>
      </c>
    </row>
    <row r="64" ht="17.25" customHeight="1">
      <c r="C64" s="648" t="s">
        <v>1126</v>
      </c>
      <c r="D64" s="640"/>
    </row>
    <row r="65" ht="17.25" customHeight="1">
      <c r="C65" s="648" t="s">
        <v>1127</v>
      </c>
      <c r="D65" s="641" t="s">
        <v>773</v>
      </c>
    </row>
    <row r="66" ht="17.25" customHeight="1">
      <c r="C66" s="648" t="s">
        <v>1128</v>
      </c>
      <c r="D66" s="640" t="s">
        <v>800</v>
      </c>
    </row>
    <row r="67" ht="17.25" customHeight="1">
      <c r="C67" s="648" t="s">
        <v>1129</v>
      </c>
      <c r="D67" s="641" t="s">
        <v>502</v>
      </c>
    </row>
    <row r="68" ht="17.25" customHeight="1">
      <c r="C68" s="648" t="s">
        <v>1130</v>
      </c>
      <c r="D68" s="654"/>
    </row>
    <row r="69" ht="17.25" customHeight="1">
      <c r="C69" s="648" t="s">
        <v>1131</v>
      </c>
      <c r="D69" s="641" t="s">
        <v>501</v>
      </c>
    </row>
    <row r="70" ht="17.25" customHeight="1">
      <c r="C70" s="648" t="s">
        <v>1132</v>
      </c>
      <c r="D70" s="640"/>
    </row>
    <row r="71" ht="17.25" customHeight="1">
      <c r="C71" s="648" t="s">
        <v>1133</v>
      </c>
      <c r="D71" s="641" t="s">
        <v>504</v>
      </c>
    </row>
    <row r="72" ht="17.25" customHeight="1">
      <c r="C72" s="648" t="s">
        <v>1134</v>
      </c>
      <c r="D72" s="640"/>
    </row>
    <row r="73" ht="17.25" customHeight="1">
      <c r="C73" s="648" t="s">
        <v>1135</v>
      </c>
      <c r="D73" s="641" t="s">
        <v>503</v>
      </c>
    </row>
    <row r="74" ht="17.25" customHeight="1">
      <c r="C74" s="648" t="s">
        <v>1136</v>
      </c>
      <c r="D74" s="640"/>
    </row>
    <row r="75" ht="17.25" customHeight="1">
      <c r="C75" s="648" t="s">
        <v>1137</v>
      </c>
      <c r="D75" s="641" t="s">
        <v>1138</v>
      </c>
    </row>
    <row r="76" ht="17.25" customHeight="1">
      <c r="C76" s="648" t="s">
        <v>1139</v>
      </c>
      <c r="D76" s="640" t="s">
        <v>1140</v>
      </c>
    </row>
    <row r="77" ht="17.25" customHeight="1">
      <c r="C77" s="648" t="s">
        <v>1141</v>
      </c>
      <c r="D77" s="641" t="s">
        <v>1078</v>
      </c>
    </row>
    <row r="78" ht="17.25" customHeight="1">
      <c r="C78" s="648" t="s">
        <v>1142</v>
      </c>
      <c r="D78" s="640" t="s">
        <v>1143</v>
      </c>
    </row>
    <row r="79" ht="17.25" customHeight="1">
      <c r="C79" s="648" t="s">
        <v>1144</v>
      </c>
      <c r="D79" s="641" t="s">
        <v>1078</v>
      </c>
    </row>
    <row r="80" ht="17.25" customHeight="1">
      <c r="C80" s="648" t="s">
        <v>1145</v>
      </c>
      <c r="D80" s="640" t="s">
        <v>1146</v>
      </c>
    </row>
    <row r="81" ht="17.25" customHeight="1">
      <c r="C81" s="648" t="s">
        <v>1147</v>
      </c>
      <c r="D81" s="641" t="s">
        <v>1078</v>
      </c>
    </row>
    <row r="82" ht="17.25" customHeight="1">
      <c r="C82" s="648" t="s">
        <v>1148</v>
      </c>
      <c r="D82" s="640" t="s">
        <v>802</v>
      </c>
    </row>
    <row r="83" ht="17.25" customHeight="1">
      <c r="C83" s="648" t="s">
        <v>1149</v>
      </c>
      <c r="D83" s="641" t="s">
        <v>1078</v>
      </c>
    </row>
    <row r="84" ht="17.25" customHeight="1">
      <c r="C84" s="648" t="s">
        <v>1150</v>
      </c>
      <c r="D84" s="640" t="s">
        <v>1151</v>
      </c>
    </row>
    <row r="85" ht="17.25" customHeight="1">
      <c r="C85" s="648" t="s">
        <v>1152</v>
      </c>
      <c r="D85" s="641" t="s">
        <v>1078</v>
      </c>
    </row>
    <row r="86" ht="17.25" customHeight="1">
      <c r="C86" s="648" t="s">
        <v>1153</v>
      </c>
      <c r="D86" s="640"/>
    </row>
    <row r="87" ht="17.25" customHeight="1">
      <c r="C87" s="648" t="s">
        <v>1154</v>
      </c>
      <c r="D87" s="641"/>
    </row>
    <row r="88" ht="17.25" customHeight="1">
      <c r="C88" s="648" t="s">
        <v>1155</v>
      </c>
      <c r="D88" s="640"/>
    </row>
    <row r="89" ht="17.25" customHeight="1">
      <c r="C89" s="648" t="s">
        <v>1156</v>
      </c>
      <c r="D89" s="641"/>
    </row>
    <row r="90" ht="17.25" customHeight="1">
      <c r="C90" s="648" t="s">
        <v>1157</v>
      </c>
      <c r="D90" s="654"/>
    </row>
    <row r="91" ht="17.25" customHeight="1">
      <c r="C91" s="648" t="s">
        <v>1158</v>
      </c>
      <c r="D91" s="641"/>
    </row>
    <row r="92" ht="17.25" customHeight="1">
      <c r="C92" s="648" t="s">
        <v>1159</v>
      </c>
      <c r="D92" s="640"/>
    </row>
    <row r="93" ht="17.25" customHeight="1">
      <c r="C93" s="648" t="s">
        <v>1160</v>
      </c>
      <c r="D93" s="641"/>
    </row>
    <row r="94" ht="17.25" customHeight="1">
      <c r="C94" s="648" t="s">
        <v>1161</v>
      </c>
      <c r="D94" s="640"/>
    </row>
    <row r="95" ht="17.25" customHeight="1">
      <c r="C95" s="648" t="s">
        <v>1162</v>
      </c>
      <c r="D95" s="641"/>
    </row>
    <row r="96" ht="17.25" customHeight="1">
      <c r="C96" s="648"/>
      <c r="D96" s="641"/>
    </row>
    <row r="97" ht="17.25" customHeight="1">
      <c r="C97" s="648"/>
      <c r="D97" s="641"/>
    </row>
    <row r="98" ht="17.25" customHeight="1">
      <c r="C98" s="648"/>
      <c r="D98" s="641"/>
    </row>
    <row r="99" ht="17.25" customHeight="1">
      <c r="C99" s="648"/>
      <c r="D99" s="641"/>
    </row>
    <row r="100" ht="17.25" customHeight="1">
      <c r="C100" s="648"/>
      <c r="D100" s="641"/>
    </row>
    <row r="101" ht="17.25" customHeight="1">
      <c r="C101" s="648"/>
      <c r="D101" s="641"/>
    </row>
    <row r="102" ht="17.25" customHeight="1">
      <c r="C102" s="648"/>
      <c r="D102" s="641"/>
    </row>
    <row r="103" ht="17.25" customHeight="1">
      <c r="C103" s="648"/>
      <c r="D103" s="641"/>
    </row>
    <row r="104" ht="17.25" customHeight="1">
      <c r="C104" s="648"/>
      <c r="D104" s="641"/>
    </row>
    <row r="105" ht="17.25" customHeight="1">
      <c r="C105" s="648"/>
      <c r="D105" s="641"/>
    </row>
    <row r="106" ht="17.25" customHeight="1">
      <c r="C106" s="648"/>
      <c r="D106" s="641"/>
    </row>
    <row r="107" ht="17.25" customHeight="1">
      <c r="C107" s="648"/>
      <c r="D107" s="641"/>
    </row>
    <row r="108" ht="17.25" customHeight="1">
      <c r="C108" s="648"/>
      <c r="D108" s="641"/>
    </row>
    <row r="109" ht="17.25" customHeight="1">
      <c r="C109" s="648"/>
      <c r="D109" s="641"/>
    </row>
    <row r="110" ht="17.25" customHeight="1">
      <c r="C110" s="648"/>
      <c r="D110" s="641"/>
    </row>
    <row r="111" ht="17.25" customHeight="1">
      <c r="C111" s="648"/>
      <c r="D111" s="641"/>
    </row>
    <row r="112" ht="17.25" customHeight="1">
      <c r="C112" s="648"/>
      <c r="D112" s="641"/>
    </row>
    <row r="113" ht="17.25" customHeight="1">
      <c r="C113" s="648"/>
      <c r="D113" s="641"/>
    </row>
    <row r="114" ht="17.25" customHeight="1">
      <c r="C114" s="648"/>
      <c r="D114" s="641"/>
    </row>
    <row r="115" ht="17.25" customHeight="1">
      <c r="C115" s="648"/>
      <c r="D115" s="641"/>
    </row>
    <row r="116" ht="17.25" customHeight="1">
      <c r="C116" s="648"/>
      <c r="D116" s="641"/>
    </row>
    <row r="117" ht="17.25" customHeight="1">
      <c r="C117" s="648"/>
      <c r="D117" s="641"/>
    </row>
    <row r="118" ht="17.25" customHeight="1">
      <c r="C118" s="648"/>
      <c r="D118" s="641"/>
    </row>
    <row r="119" ht="17.25" customHeight="1">
      <c r="C119" s="648"/>
      <c r="D119" s="641"/>
    </row>
    <row r="120" ht="17.25" customHeight="1">
      <c r="C120" s="648"/>
      <c r="D120" s="641"/>
    </row>
    <row r="121" ht="17.25" customHeight="1">
      <c r="C121" s="648"/>
      <c r="D121" s="641"/>
    </row>
    <row r="122" ht="17.25" customHeight="1">
      <c r="C122" s="648"/>
      <c r="D122" s="641"/>
    </row>
    <row r="123" ht="17.25" customHeight="1">
      <c r="C123" s="648"/>
      <c r="D123" s="641"/>
    </row>
    <row r="124" ht="17.25" customHeight="1">
      <c r="C124" s="648"/>
      <c r="D124" s="641"/>
    </row>
    <row r="125" ht="17.25" customHeight="1">
      <c r="C125" s="648"/>
      <c r="D125" s="641"/>
    </row>
    <row r="126" ht="17.25" customHeight="1">
      <c r="C126" s="648"/>
      <c r="D126" s="641"/>
    </row>
    <row r="127" ht="17.25" customHeight="1">
      <c r="C127" s="648"/>
      <c r="D127" s="641"/>
    </row>
    <row r="128" ht="17.25" customHeight="1">
      <c r="C128" s="648"/>
      <c r="D128" s="641"/>
    </row>
    <row r="129" ht="17.25" customHeight="1">
      <c r="C129" s="648"/>
      <c r="D129" s="641"/>
    </row>
    <row r="130" ht="17.25" customHeight="1">
      <c r="C130" s="648"/>
      <c r="D130" s="641"/>
    </row>
    <row r="131" ht="17.25" customHeight="1">
      <c r="C131" s="648"/>
      <c r="D131" s="641"/>
    </row>
    <row r="132" ht="17.25" customHeight="1">
      <c r="C132" s="648"/>
      <c r="D132" s="641"/>
    </row>
    <row r="133" ht="17.25" customHeight="1">
      <c r="C133" s="648"/>
      <c r="D133" s="641"/>
    </row>
    <row r="134" ht="17.25" customHeight="1">
      <c r="C134" s="648"/>
      <c r="D134" s="641"/>
    </row>
    <row r="135" ht="17.25" customHeight="1">
      <c r="C135" s="648"/>
      <c r="D135" s="641"/>
    </row>
    <row r="136" ht="17.25" customHeight="1">
      <c r="C136" s="648"/>
      <c r="D136" s="641"/>
    </row>
    <row r="137" ht="17.25" customHeight="1">
      <c r="C137" s="648"/>
      <c r="D137" s="641"/>
    </row>
    <row r="138" ht="17.25" customHeight="1">
      <c r="C138" s="648"/>
      <c r="D138" s="641"/>
    </row>
    <row r="139" ht="17.25" customHeight="1">
      <c r="C139" s="648"/>
      <c r="D139" s="641"/>
    </row>
    <row r="140" ht="17.25" customHeight="1">
      <c r="C140" s="648"/>
      <c r="D140" s="641"/>
    </row>
    <row r="141" ht="17.25" customHeight="1">
      <c r="C141" s="648"/>
      <c r="D141" s="641"/>
    </row>
    <row r="142" ht="17.25" customHeight="1">
      <c r="C142" s="648"/>
      <c r="D142" s="641"/>
    </row>
    <row r="143" ht="17.25" customHeight="1">
      <c r="C143" s="648"/>
      <c r="D143" s="641"/>
    </row>
    <row r="144" ht="17.25" customHeight="1">
      <c r="C144" s="648"/>
      <c r="D144" s="641"/>
    </row>
    <row r="145" ht="17.25" customHeight="1">
      <c r="C145" s="648"/>
      <c r="D145" s="641"/>
    </row>
    <row r="146" ht="17.25" customHeight="1">
      <c r="C146" s="648"/>
      <c r="D146" s="641"/>
    </row>
    <row r="147" ht="17.25" customHeight="1">
      <c r="C147" s="648"/>
      <c r="D147" s="641"/>
    </row>
    <row r="148" ht="17.25" customHeight="1">
      <c r="C148" s="648"/>
      <c r="D148" s="641"/>
    </row>
    <row r="149" ht="17.25" customHeight="1">
      <c r="C149" s="648"/>
      <c r="D149" s="641"/>
    </row>
    <row r="150" ht="17.25" customHeight="1">
      <c r="C150" s="648"/>
      <c r="D150" s="641"/>
    </row>
    <row r="151" ht="17.25" customHeight="1">
      <c r="C151" s="648"/>
      <c r="D151" s="641"/>
    </row>
    <row r="152" ht="17.25" customHeight="1">
      <c r="C152" s="648"/>
      <c r="D152" s="641"/>
    </row>
    <row r="153" ht="17.25" customHeight="1">
      <c r="C153" s="648"/>
      <c r="D153" s="641"/>
    </row>
    <row r="154" ht="17.25" customHeight="1">
      <c r="C154" s="648"/>
      <c r="D154" s="641"/>
    </row>
    <row r="155" ht="17.25" customHeight="1">
      <c r="C155" s="648"/>
      <c r="D155" s="641"/>
    </row>
    <row r="156" ht="17.25" customHeight="1">
      <c r="C156" s="648"/>
      <c r="D156" s="641"/>
    </row>
    <row r="157" ht="17.25" customHeight="1">
      <c r="C157" s="648"/>
      <c r="D157" s="641"/>
    </row>
    <row r="158" ht="17.25" customHeight="1">
      <c r="C158" s="648"/>
      <c r="D158" s="641"/>
    </row>
    <row r="159">
      <c r="C159" s="648"/>
      <c r="D159" s="641"/>
    </row>
    <row r="160">
      <c r="C160" s="648"/>
      <c r="D160" s="641"/>
    </row>
    <row r="161">
      <c r="C161" s="648"/>
      <c r="D161" s="641"/>
    </row>
    <row r="162">
      <c r="C162" s="648"/>
      <c r="D162" s="641"/>
    </row>
    <row r="163">
      <c r="C163" s="648"/>
      <c r="D163" s="641"/>
    </row>
    <row r="164">
      <c r="C164" s="648"/>
      <c r="D164" s="641"/>
    </row>
    <row r="165">
      <c r="C165" s="648"/>
      <c r="D165" s="641"/>
    </row>
    <row r="166">
      <c r="C166" s="648"/>
      <c r="D166" s="641"/>
    </row>
    <row r="167">
      <c r="C167" s="648"/>
      <c r="D167" s="641"/>
    </row>
    <row r="168">
      <c r="C168" s="648"/>
      <c r="D168" s="641"/>
    </row>
    <row r="169">
      <c r="C169" s="648"/>
      <c r="D169" s="641"/>
    </row>
    <row r="170">
      <c r="C170" s="648"/>
      <c r="D170" s="641"/>
    </row>
    <row r="171">
      <c r="C171" s="648"/>
      <c r="D171" s="641"/>
    </row>
    <row r="172">
      <c r="C172" s="648"/>
      <c r="D172" s="641"/>
    </row>
    <row r="173">
      <c r="C173" s="648"/>
      <c r="D173" s="641"/>
    </row>
    <row r="174">
      <c r="C174" s="648"/>
      <c r="D174" s="641"/>
    </row>
    <row r="175">
      <c r="C175" s="648"/>
      <c r="D175" s="641"/>
    </row>
    <row r="176">
      <c r="C176" s="648"/>
      <c r="D176" s="641"/>
    </row>
    <row r="177">
      <c r="C177" s="648"/>
      <c r="D177" s="641"/>
    </row>
    <row r="178">
      <c r="C178" s="648"/>
      <c r="D178" s="641"/>
    </row>
    <row r="179">
      <c r="C179" s="648"/>
      <c r="D179" s="641"/>
    </row>
    <row r="180">
      <c r="C180" s="648"/>
      <c r="D180" s="641"/>
    </row>
    <row r="181">
      <c r="C181" s="648"/>
      <c r="D181" s="641"/>
    </row>
    <row r="182">
      <c r="C182" s="648"/>
      <c r="D182" s="641"/>
    </row>
    <row r="183">
      <c r="C183" s="648"/>
      <c r="D183" s="641"/>
    </row>
    <row r="184">
      <c r="C184" s="648"/>
      <c r="D184" s="641"/>
    </row>
    <row r="185">
      <c r="C185" s="648"/>
      <c r="D185" s="641"/>
    </row>
    <row r="186">
      <c r="C186" s="648"/>
      <c r="D186" s="641"/>
    </row>
    <row r="187">
      <c r="C187" s="648"/>
      <c r="D187" s="641"/>
    </row>
    <row r="188">
      <c r="C188" s="648"/>
      <c r="D188" s="641"/>
    </row>
    <row r="189">
      <c r="C189" s="648"/>
      <c r="D189" s="641"/>
    </row>
    <row r="190">
      <c r="C190" s="648"/>
      <c r="D190" s="641"/>
    </row>
    <row r="191">
      <c r="C191" s="648"/>
      <c r="D191" s="641"/>
    </row>
    <row r="192">
      <c r="C192" s="648"/>
      <c r="D192" s="641"/>
    </row>
    <row r="193">
      <c r="C193" s="648"/>
      <c r="D193" s="641"/>
    </row>
    <row r="194">
      <c r="C194" s="648"/>
      <c r="D194" s="641"/>
    </row>
    <row r="195">
      <c r="C195" s="648"/>
      <c r="D195" s="641"/>
    </row>
    <row r="196">
      <c r="C196" s="648"/>
      <c r="D196" s="641"/>
    </row>
    <row r="197">
      <c r="C197" s="648"/>
      <c r="D197" s="641"/>
    </row>
    <row r="198">
      <c r="C198" s="648"/>
      <c r="D198" s="641"/>
    </row>
    <row r="199">
      <c r="C199" s="648"/>
      <c r="D199" s="641"/>
    </row>
    <row r="200">
      <c r="C200" s="648"/>
      <c r="D200" s="641"/>
    </row>
    <row r="201">
      <c r="C201" s="648"/>
      <c r="D201" s="641"/>
    </row>
    <row r="202">
      <c r="C202" s="648"/>
      <c r="D202" s="641"/>
    </row>
    <row r="203">
      <c r="C203" s="648"/>
      <c r="D203" s="641"/>
    </row>
    <row r="204">
      <c r="C204" s="648"/>
      <c r="D204" s="641"/>
    </row>
    <row r="205">
      <c r="C205" s="648"/>
      <c r="D205" s="641"/>
    </row>
    <row r="206">
      <c r="C206" s="648"/>
      <c r="D206" s="641"/>
    </row>
    <row r="207">
      <c r="C207" s="648"/>
      <c r="D207" s="641"/>
    </row>
    <row r="208">
      <c r="C208" s="648"/>
      <c r="D208" s="641"/>
    </row>
  </sheetData>
  <mergeCells count="4">
    <mergeCell ref="A1:B1"/>
    <mergeCell ref="C1:D1"/>
    <mergeCell ref="H1:I1"/>
    <mergeCell ref="K1:L1"/>
  </mergeCells>
  <conditionalFormatting sqref="A6:A29 C6:C208">
    <cfRule type="expression" dxfId="11" priority="1">
      <formula>NOT(EQ(B6:B29,""))</formula>
    </cfRule>
  </conditionalFormatting>
  <conditionalFormatting sqref="A6:A26 C6:C208">
    <cfRule type="expression" dxfId="11" priority="2">
      <formula>NOT(EQ(B6:B29,""))</formula>
    </cfRule>
  </conditionalFormatting>
  <hyperlinks>
    <hyperlink r:id="rId1" ref="I2"/>
    <hyperlink r:id="rId2" ref="I3"/>
    <hyperlink r:id="rId3" ref="I4"/>
    <hyperlink r:id="rId4" ref="I5"/>
    <hyperlink r:id="rId5" ref="I6"/>
    <hyperlink r:id="rId6" ref="I7"/>
  </hyperlinks>
  <drawing r:id="rId7"/>
  <tableParts count="2">
    <tablePart r:id="rId10"/>
    <tablePart r:id="rId11"/>
  </tableParts>
</worksheet>
</file>