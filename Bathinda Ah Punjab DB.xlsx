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 Requests" sheetId="1" r:id="rId5"/>
    <sheet state="visible" name="Sum" sheetId="2" r:id="rId6"/>
    <sheet state="visible" name="Credentials" sheetId="3" r:id="rId7"/>
    <sheet state="visible" name="Reports" sheetId="4" r:id="rId8"/>
    <sheet state="visible" name="Form responses" sheetId="5" r:id="rId9"/>
    <sheet state="visible" name="fee slip" sheetId="6" r:id="rId10"/>
    <sheet state="visible" name="Fee register" sheetId="7" r:id="rId11"/>
    <sheet state="visible" name="Tehsil Reports" sheetId="8" r:id="rId12"/>
    <sheet state="visible" name="Fee receipt" sheetId="9" r:id="rId13"/>
    <sheet state="visible" name="Utility" sheetId="10" r:id="rId14"/>
    <sheet state="visible" name="Semon Bank" sheetId="11" r:id="rId15"/>
    <sheet state="visible" name="fees" sheetId="12" r:id="rId16"/>
  </sheets>
  <definedNames>
    <definedName hidden="1" localSheetId="2" name="_xlnm._FilterDatabase">Credentials!$A$1:$U$58</definedName>
    <definedName hidden="1" localSheetId="4" name="_xlnm._FilterDatabase">'Form responses'!$D$1:$D$18</definedName>
    <definedName hidden="1" localSheetId="4" name="Z_1E8D625F_C4B6_4C93_9DC6_F5026202A214_.wvu.FilterData">'Form responses'!$D$1:$D$18</definedName>
  </definedNames>
  <calcPr/>
  <customWorkbookViews>
    <customWorkbookView activeSheetId="0" maximized="1" windowHeight="0" windowWidth="0" guid="{1E8D625F-C4B6-4C93-9DC6-F5026202A214}" name="Filter 1"/>
  </customWorkbookViews>
</workbook>
</file>

<file path=xl/sharedStrings.xml><?xml version="1.0" encoding="utf-8"?>
<sst xmlns="http://schemas.openxmlformats.org/spreadsheetml/2006/main" count="2076" uniqueCount="795">
  <si>
    <t>Name of Institute</t>
  </si>
  <si>
    <t>Reporting Authority</t>
  </si>
  <si>
    <t>Name</t>
  </si>
  <si>
    <t xml:space="preserve">Designation </t>
  </si>
  <si>
    <t>Moble Nmber</t>
  </si>
  <si>
    <t>Email</t>
  </si>
  <si>
    <t>User Roles</t>
  </si>
  <si>
    <t>Org Id</t>
  </si>
  <si>
    <t>Pass</t>
  </si>
  <si>
    <t>Report From</t>
  </si>
  <si>
    <t>All Sum of Tehsil Talwandi Sabo</t>
  </si>
  <si>
    <t>To</t>
  </si>
  <si>
    <t xml:space="preserve">NEW CASES EQUINE  </t>
  </si>
  <si>
    <t>NEW CASES BOVINE</t>
  </si>
  <si>
    <t>NEW CASES OTHERS</t>
  </si>
  <si>
    <t>NEW CASES DOGS</t>
  </si>
  <si>
    <t xml:space="preserve">OLD CASES EQUINE </t>
  </si>
  <si>
    <t>OLD CASES BOVINE</t>
  </si>
  <si>
    <t>OLD CASES OTHERS</t>
  </si>
  <si>
    <t>OLD CASES DOGS</t>
  </si>
  <si>
    <t xml:space="preserve">TREATED IN  CAMP EQUINE </t>
  </si>
  <si>
    <t>TREATED IN  CAMP BOVINE</t>
  </si>
  <si>
    <t>TREATED IN  CAMP OTHERS</t>
  </si>
  <si>
    <t>TREATED IN  CAMP DOGS</t>
  </si>
  <si>
    <t>BOVINE CASTRATIONS</t>
  </si>
  <si>
    <t>OTHERS CASTRATIONS</t>
  </si>
  <si>
    <t>Number of Pregnancy Diagnosis (OTHER THEN FALLOWUP)</t>
  </si>
  <si>
    <t>A.H. Certificate Small Animals</t>
  </si>
  <si>
    <t>A.H. Certificate Large Animals</t>
  </si>
  <si>
    <t>Post Mortem Small Animals</t>
  </si>
  <si>
    <t>Post Mortem Large Animals</t>
  </si>
  <si>
    <t>Post Mortem Vetro Legal</t>
  </si>
  <si>
    <t xml:space="preserve">H.S. Vaccine Doses Received </t>
  </si>
  <si>
    <t>H.S. Vaccine Doses Used</t>
  </si>
  <si>
    <t xml:space="preserve">H.S. Vaccine Animal Vaccinated </t>
  </si>
  <si>
    <t xml:space="preserve">FMD. Vaccine Doses Received </t>
  </si>
  <si>
    <t>FMD. Vaccine Doses Used</t>
  </si>
  <si>
    <t xml:space="preserve">FMD. Vaccine Animal Vaccinated </t>
  </si>
  <si>
    <t xml:space="preserve">Black Quarter Doses Received </t>
  </si>
  <si>
    <t>Black Quarter Doses Used</t>
  </si>
  <si>
    <t xml:space="preserve">Black Quarter Animal Vaccinated </t>
  </si>
  <si>
    <t xml:space="preserve">Brucellosis Vaccine Doses Received </t>
  </si>
  <si>
    <t>Brucellosis Vaccine Doses Used</t>
  </si>
  <si>
    <t xml:space="preserve">Brucellosis Vaccine Animal Vaccinated </t>
  </si>
  <si>
    <t xml:space="preserve">Entero Toximia Vaccine Doses Received </t>
  </si>
  <si>
    <t>Entero Toximia Vaccine Doses Used</t>
  </si>
  <si>
    <t>Entero Toximia Vaccine Animals Vaccinated</t>
  </si>
  <si>
    <t xml:space="preserve">Theilaria Vaccine Doses Received </t>
  </si>
  <si>
    <t>Theilaria Vaccine Doses Used</t>
  </si>
  <si>
    <t xml:space="preserve">Theilaria Vaccine Animal Vaccinated </t>
  </si>
  <si>
    <t xml:space="preserve">Rabies Vaccine Doses Received </t>
  </si>
  <si>
    <t>Rabies Vaccine Doses Used</t>
  </si>
  <si>
    <t xml:space="preserve">Rabies Vaccine Animal Vaccinated </t>
  </si>
  <si>
    <t>AI Done With HF Straws</t>
  </si>
  <si>
    <t>AI Done With Jersey Straws</t>
  </si>
  <si>
    <t>AI Done With Cross Breed Straws</t>
  </si>
  <si>
    <t>AI Done With Sahiwal Straws</t>
  </si>
  <si>
    <t>Cow Cover With HF Straws</t>
  </si>
  <si>
    <t>Cow Cover With Jersey Straws</t>
  </si>
  <si>
    <t>Cow Cover With Cross Breed Straws</t>
  </si>
  <si>
    <t>Cow Cover With Sahiwal Straws</t>
  </si>
  <si>
    <t>AI Done With HF ETT Straws</t>
  </si>
  <si>
    <t>AI Done With Jersey ETT Straws</t>
  </si>
  <si>
    <t>AI Done With Imported HF Straws</t>
  </si>
  <si>
    <t>AI Done With Imported Jersey Straws</t>
  </si>
  <si>
    <t>Cow Cover With HF ETT Straws</t>
  </si>
  <si>
    <t>Cow Cover With Jersey ETT Straws</t>
  </si>
  <si>
    <t>Cow Cover With Imported HF Straws</t>
  </si>
  <si>
    <t>Cow Cover With Imported Jersey Straws</t>
  </si>
  <si>
    <t>AI Done With Sexed Straws</t>
  </si>
  <si>
    <t>Cow Cover With Sexed Straws</t>
  </si>
  <si>
    <t>AI Done With Murrah Straws</t>
  </si>
  <si>
    <t>AI Done With Nili-Ravi Straws</t>
  </si>
  <si>
    <t>Buffalo Cover With Murrah Straws</t>
  </si>
  <si>
    <t>Buffalo Cover With Nili-Ravi Straws</t>
  </si>
  <si>
    <t>HF Cow Tested</t>
  </si>
  <si>
    <t>HF Cow Tested and Found Postive</t>
  </si>
  <si>
    <t>Jersey Cow Tested</t>
  </si>
  <si>
    <t>Jersey Cow Tested and Found Postive</t>
  </si>
  <si>
    <t>Cross Breed Cow Tested</t>
  </si>
  <si>
    <t>Cross Breed Cow Tested and Found Postive</t>
  </si>
  <si>
    <t>Sahiwal Cow Tested</t>
  </si>
  <si>
    <t>Sahiwal Cow Tested and Found Postive</t>
  </si>
  <si>
    <t>HF ETT Cow Tested</t>
  </si>
  <si>
    <t>HF ETT Cow Tested and Found Postive</t>
  </si>
  <si>
    <t>Jessey ETT Cow Tested</t>
  </si>
  <si>
    <t>Jessey ETT Cow Tested and Found Postive</t>
  </si>
  <si>
    <t>Imported HF Cow Tested</t>
  </si>
  <si>
    <t>Imported HF Cow Tested and Found Postive</t>
  </si>
  <si>
    <t>Imported Jersey Cow Tested</t>
  </si>
  <si>
    <t>Imported Jersey Cow Tested and Found Postive</t>
  </si>
  <si>
    <t>Sexed Semon Cows Tested</t>
  </si>
  <si>
    <t>Sexed Semon Cows Found Postive</t>
  </si>
  <si>
    <t>Murah Tested</t>
  </si>
  <si>
    <t>Murah Tested and Found Postive</t>
  </si>
  <si>
    <t>Nili Ravi Tested</t>
  </si>
  <si>
    <t>Nili Tested and Found Postive</t>
  </si>
  <si>
    <t>HF Male Calves</t>
  </si>
  <si>
    <t>HF female Calves</t>
  </si>
  <si>
    <t>Jersey Male Calves</t>
  </si>
  <si>
    <t>Jersey Cow female Calves</t>
  </si>
  <si>
    <t>Cross Breed Male Calves</t>
  </si>
  <si>
    <t>Cross Breed Cow female Calves</t>
  </si>
  <si>
    <t>Sahiwal Male Calves</t>
  </si>
  <si>
    <t>Sahiwal female Calves</t>
  </si>
  <si>
    <t>HF ETT Male Calves</t>
  </si>
  <si>
    <t>HF ETT female Calves</t>
  </si>
  <si>
    <t>Jersey ETT Male Calves</t>
  </si>
  <si>
    <t>Jersey ETT female Calves</t>
  </si>
  <si>
    <t>Imported HF Male Calves</t>
  </si>
  <si>
    <t>Imported HF female Calves</t>
  </si>
  <si>
    <t>Imported Jersey Male Calves</t>
  </si>
  <si>
    <t>Imported Jersey Cow female Calves</t>
  </si>
  <si>
    <t>Sexed Semon Cow Male Calves</t>
  </si>
  <si>
    <t>Sexed Semon Cow Female Calves</t>
  </si>
  <si>
    <t>Murrah Male Calves</t>
  </si>
  <si>
    <t>Murrah Female Calves</t>
  </si>
  <si>
    <t>Nili Ravi Male Calves</t>
  </si>
  <si>
    <t>Nili Ravi Female Calves</t>
  </si>
  <si>
    <t>HF Straws Used INAPH during month</t>
  </si>
  <si>
    <t>Jesey Straws Used INAPH during month</t>
  </si>
  <si>
    <t>Cross Breed Straws Used INAPH during month</t>
  </si>
  <si>
    <t>Sahiwal Straws Used INAPH during month</t>
  </si>
  <si>
    <t>HF ETT Straws Used INAPH during month</t>
  </si>
  <si>
    <t>Jersey ETT Straws Used INAPH during month</t>
  </si>
  <si>
    <t>Imported HF Straws Used INAPH during month</t>
  </si>
  <si>
    <t>Imported Jersey Straws Used INAPH during month</t>
  </si>
  <si>
    <t>Sexed Straws Used INAPH during month</t>
  </si>
  <si>
    <t>Murrah Straws Used INAPH during month</t>
  </si>
  <si>
    <t>Nili Ravi Straws Used INAPH during month</t>
  </si>
  <si>
    <t>HF Straws Issued to AIW during Month</t>
  </si>
  <si>
    <t>Jesey Straws Issued to AIW during Month</t>
  </si>
  <si>
    <t>Cross Breed Straws Issued to AIW during Month</t>
  </si>
  <si>
    <t>Sahiwal Straws Issued to AIW during Month</t>
  </si>
  <si>
    <t>HF ETT Straws Issued to AIW during Month</t>
  </si>
  <si>
    <t>Jersey ETT Straws Issued to AIW during Month</t>
  </si>
  <si>
    <t>Imported HF Straws Issued to AIW during Month</t>
  </si>
  <si>
    <t>Imported Jersey Straws Issued to AIW during Month</t>
  </si>
  <si>
    <t>Sexed Straws Issued to AIW during Month</t>
  </si>
  <si>
    <t>Murrah Straws Issued to AIW during Month</t>
  </si>
  <si>
    <t>Nili Ravi Straws Issued to AIW during Month</t>
  </si>
  <si>
    <t>HF Straws Received During Month</t>
  </si>
  <si>
    <t>Jesey Straws Received During Month</t>
  </si>
  <si>
    <t>Cross Breed Straws Received During Month</t>
  </si>
  <si>
    <t>Sahiwal Straws Received During Month</t>
  </si>
  <si>
    <t>HF ETT Straws Received During Month</t>
  </si>
  <si>
    <t>Jersey ETT Straws Received During Month</t>
  </si>
  <si>
    <t>Imported HF Straws Received During Month</t>
  </si>
  <si>
    <t>Imported Jersey Straws Received During Month</t>
  </si>
  <si>
    <t>Sexed Straws Received During Month</t>
  </si>
  <si>
    <t>Murrah Straws Received During Month</t>
  </si>
  <si>
    <t>Nili Ravi Straws Received During Month</t>
  </si>
  <si>
    <t>This Month</t>
  </si>
  <si>
    <t>This Year</t>
  </si>
  <si>
    <t>Service Charges of this month</t>
  </si>
  <si>
    <t>OPD Case Fees</t>
  </si>
  <si>
    <t>OPD Case Dogs Fees</t>
  </si>
  <si>
    <t>Pregnency Diagnose Fee</t>
  </si>
  <si>
    <t>Castration Fee</t>
  </si>
  <si>
    <t>Health certificate Fee small animals</t>
  </si>
  <si>
    <t>Health certificate Fee Large animals</t>
  </si>
  <si>
    <t>Post Mortum Fee small animals</t>
  </si>
  <si>
    <t>Post Mortum Fee Large animals</t>
  </si>
  <si>
    <t>HS Vaccine fee</t>
  </si>
  <si>
    <t>FMD Vaccine Fee</t>
  </si>
  <si>
    <t>BQ Vaccine fee</t>
  </si>
  <si>
    <t>Brucellosis Vaccine Fee</t>
  </si>
  <si>
    <t>Theilaria Vaccine Fee</t>
  </si>
  <si>
    <t>Rabies Vaccine Fee</t>
  </si>
  <si>
    <t>ETV vaccine Fee</t>
  </si>
  <si>
    <t>AI Cow Fee (Local semon)</t>
  </si>
  <si>
    <t>Ai Cow Fee (ETT Semon)</t>
  </si>
  <si>
    <t>AI Cow Fee (Imported Semon)</t>
  </si>
  <si>
    <t>AI Cow Fee (Sexed Semon)</t>
  </si>
  <si>
    <t>AI Fee Buffalow</t>
  </si>
  <si>
    <t>Faecal test Fee</t>
  </si>
  <si>
    <t>Blood Test Fee</t>
  </si>
  <si>
    <t>Urine Test Fee</t>
  </si>
  <si>
    <t>Milk Test Fee</t>
  </si>
  <si>
    <t>Post Mortum Fee Vetro legal</t>
  </si>
  <si>
    <t>Faecal test</t>
  </si>
  <si>
    <t>Fee</t>
  </si>
  <si>
    <t>Blood Test</t>
  </si>
  <si>
    <t>Urine Test</t>
  </si>
  <si>
    <t>Milk Test</t>
  </si>
  <si>
    <t>Total fees</t>
  </si>
  <si>
    <t>Institute Sum of Tehsil Talwandi Sabo</t>
  </si>
  <si>
    <t>Sum PAW of Tehsil Talwandi Sabo</t>
  </si>
  <si>
    <t xml:space="preserve">Sum of </t>
  </si>
  <si>
    <t>Post Mortem Vetro legal</t>
  </si>
  <si>
    <t>This month</t>
  </si>
  <si>
    <t>Animals Cower 3 Month Ago</t>
  </si>
  <si>
    <t>That Month</t>
  </si>
  <si>
    <t>Cow Cover 9 Month and Buffalos Cover 10 Month Ago</t>
  </si>
  <si>
    <t>Fecal Test of Institute</t>
  </si>
  <si>
    <t>OrgIds</t>
  </si>
  <si>
    <t>Passwords</t>
  </si>
  <si>
    <t>DOB</t>
  </si>
  <si>
    <t>Linked 1</t>
  </si>
  <si>
    <t>Linked 2</t>
  </si>
  <si>
    <t>Linked 3</t>
  </si>
  <si>
    <t>Linked 4</t>
  </si>
  <si>
    <t>Linked 5</t>
  </si>
  <si>
    <t>Linked 6</t>
  </si>
  <si>
    <t>Linked 7</t>
  </si>
  <si>
    <t>Login_Hash</t>
  </si>
  <si>
    <t>Is First Time</t>
  </si>
  <si>
    <t>Custom Dialog</t>
  </si>
  <si>
    <t>Report Submitted</t>
  </si>
  <si>
    <t>District</t>
  </si>
  <si>
    <t>Tesil</t>
  </si>
  <si>
    <t>test</t>
  </si>
  <si>
    <t>Institute</t>
  </si>
  <si>
    <t>authority</t>
  </si>
  <si>
    <t>Designation</t>
  </si>
  <si>
    <t>arshpreetmalkana@gmail.com</t>
  </si>
  <si>
    <t>aoaFUoKVOGTkMtk5xbwz</t>
  </si>
  <si>
    <t>no_msg</t>
  </si>
  <si>
    <t>cvd9686</t>
  </si>
  <si>
    <t>Ranj0086</t>
  </si>
  <si>
    <t>CVD  Gill Kalan</t>
  </si>
  <si>
    <t>Veterinary Officers Rampura Phul</t>
  </si>
  <si>
    <t>Ranjit Singh</t>
  </si>
  <si>
    <t>Veterinary Inspector</t>
  </si>
  <si>
    <t>ranjitbahiauid@gmail.com</t>
  </si>
  <si>
    <t>EhkyZLPFZLjGSAU0ZNq6</t>
  </si>
  <si>
    <t>Bathinda</t>
  </si>
  <si>
    <t>rampura phul</t>
  </si>
  <si>
    <t>cvd5213</t>
  </si>
  <si>
    <t>Pritpalkaur@1989</t>
  </si>
  <si>
    <t>CVD  Jai Singh Wala</t>
  </si>
  <si>
    <t>Vi CVD Jai Singh Wala</t>
  </si>
  <si>
    <t>Harjinder Singh</t>
  </si>
  <si>
    <t>harjinders983@gmail.com</t>
  </si>
  <si>
    <t>W3BmYs6tuqguboo0zpnU</t>
  </si>
  <si>
    <t>cvd9401</t>
  </si>
  <si>
    <t>Kanw6663</t>
  </si>
  <si>
    <t>CVD  Sivian</t>
  </si>
  <si>
    <t>Vi CVD Sivian</t>
  </si>
  <si>
    <t>Kanwaljit.   Singh</t>
  </si>
  <si>
    <t>maankanwaljit066@gmail.com</t>
  </si>
  <si>
    <t>6Y36x25nCdBiclThiIRX</t>
  </si>
  <si>
    <t>cvd7072</t>
  </si>
  <si>
    <t>Raji2530</t>
  </si>
  <si>
    <t>CVD Aaklia Kalan</t>
  </si>
  <si>
    <t>Rajinder Singh</t>
  </si>
  <si>
    <t>rajinderchaina87@gmail.com</t>
  </si>
  <si>
    <t>UKzp7ND5xZ8NuT3A8OQS</t>
  </si>
  <si>
    <t>cvd1937</t>
  </si>
  <si>
    <t>Raji3820</t>
  </si>
  <si>
    <t>CVD Aklia Kalan</t>
  </si>
  <si>
    <t>rajinderchaina29@gmail.com</t>
  </si>
  <si>
    <t>cvd1337</t>
  </si>
  <si>
    <t>MONI4724</t>
  </si>
  <si>
    <t>CVD Bahoyatri</t>
  </si>
  <si>
    <t>Vo Teona</t>
  </si>
  <si>
    <t>Moninder Sharma</t>
  </si>
  <si>
    <t>sharmamoninder472@gmail.com</t>
  </si>
  <si>
    <t>U03YbUWTMUWcVgXmZcWT</t>
  </si>
  <si>
    <t>cvd9851</t>
  </si>
  <si>
    <t>Hard5965</t>
  </si>
  <si>
    <t>CVD Bhagu</t>
  </si>
  <si>
    <t>V O Kotsmir</t>
  </si>
  <si>
    <t>Hardeep Singh</t>
  </si>
  <si>
    <t>hschgiana@gmail.com</t>
  </si>
  <si>
    <t>PtahFAk3eMo2F2BIbXMu</t>
  </si>
  <si>
    <t>cvd8338</t>
  </si>
  <si>
    <t>Nare4521</t>
  </si>
  <si>
    <t>CVD Bhokhra</t>
  </si>
  <si>
    <t>Veterinary Officer Nahian Wala</t>
  </si>
  <si>
    <t>Naresh Kumar</t>
  </si>
  <si>
    <t>nksharmaomx@gmail.com</t>
  </si>
  <si>
    <t>9W745lmiAHcU5fTz4H0u</t>
  </si>
  <si>
    <t>cvd5815</t>
  </si>
  <si>
    <t>Nav8146</t>
  </si>
  <si>
    <t>CVD Bhucho Kalan</t>
  </si>
  <si>
    <t>V.I.Navdeep Singh</t>
  </si>
  <si>
    <t>Navdeep Singh</t>
  </si>
  <si>
    <t>veterinaryinspector1094@gmail.com</t>
  </si>
  <si>
    <t>MvLSMMzi1lrTBGYQKdOR</t>
  </si>
  <si>
    <t>cvd5433</t>
  </si>
  <si>
    <t>GURP9229</t>
  </si>
  <si>
    <t>CVD Multania</t>
  </si>
  <si>
    <t>Gurpreet Singh</t>
  </si>
  <si>
    <t>bawa.gurpreetsingh@yahoo.in</t>
  </si>
  <si>
    <t>cvd7408</t>
  </si>
  <si>
    <t>MALK2055</t>
  </si>
  <si>
    <t>CVD Cvdbirbehman</t>
  </si>
  <si>
    <t>CVD Bir Behman</t>
  </si>
  <si>
    <t>Malkeet Singh</t>
  </si>
  <si>
    <t>malkeet25@gmail.com</t>
  </si>
  <si>
    <t>wMDKjvn0pUyRQMUB8tGG</t>
  </si>
  <si>
    <t>cvd2115</t>
  </si>
  <si>
    <t>HARW6833</t>
  </si>
  <si>
    <t>CVD Gurusar Sainewala</t>
  </si>
  <si>
    <t>Vo CVH Naruana</t>
  </si>
  <si>
    <t>Harwinder Singh</t>
  </si>
  <si>
    <t>hsgill90031@gmail.com</t>
  </si>
  <si>
    <t>ie0BVjRNOHVqyj8Rtv6R</t>
  </si>
  <si>
    <t>cvd7434</t>
  </si>
  <si>
    <t>Arsh3287</t>
  </si>
  <si>
    <t>CVD Jangirana</t>
  </si>
  <si>
    <t>Vi Arshdeep Kaur</t>
  </si>
  <si>
    <t>Arshdeep Kaur</t>
  </si>
  <si>
    <t>arshdeepji189@gmail.com</t>
  </si>
  <si>
    <t>UYihdisYqcpjcGHNMxNb</t>
  </si>
  <si>
    <t>cvd6373</t>
  </si>
  <si>
    <t>balj1584</t>
  </si>
  <si>
    <t>CVD Jhumba</t>
  </si>
  <si>
    <t>Vo Jhumba</t>
  </si>
  <si>
    <t>Baljinder Singh</t>
  </si>
  <si>
    <t>Veterinary Officer</t>
  </si>
  <si>
    <t>mindi67521@gmail.com</t>
  </si>
  <si>
    <t>cvd1837</t>
  </si>
  <si>
    <t>CVD Khialiwala</t>
  </si>
  <si>
    <t>Vo Jandanwala</t>
  </si>
  <si>
    <t>Barinderjit Sodhi</t>
  </si>
  <si>
    <t>noordaisy@gmail.com</t>
  </si>
  <si>
    <t>NELJcexTAh67SLGHCsCY</t>
  </si>
  <si>
    <t>cvd5184</t>
  </si>
  <si>
    <t>Gurbant@94</t>
  </si>
  <si>
    <t>CVD Kothe Chet Singh</t>
  </si>
  <si>
    <t>Gurbant Singh</t>
  </si>
  <si>
    <t>9463425764g@gmail.com</t>
  </si>
  <si>
    <t>Yny2Bwxp15LRmZinFL0X</t>
  </si>
  <si>
    <t>cvd2107</t>
  </si>
  <si>
    <t>Gaga8184</t>
  </si>
  <si>
    <t>CVD Kothe Natha Singh Wala</t>
  </si>
  <si>
    <t>Vi Gagandeep Kaur</t>
  </si>
  <si>
    <t>Gagandeep Kaur</t>
  </si>
  <si>
    <t>gagandeep81961@gmail.com</t>
  </si>
  <si>
    <t>2F7LCZsUmfYXhQePMyuA</t>
  </si>
  <si>
    <t>cvd5877</t>
  </si>
  <si>
    <t>Gurk9979</t>
  </si>
  <si>
    <t>CVD Loolbai</t>
  </si>
  <si>
    <t>Dr. Devraj</t>
  </si>
  <si>
    <t>Gurkirtan Singh</t>
  </si>
  <si>
    <t>gurkirtankang12@gmail.com</t>
  </si>
  <si>
    <t>cvd6235</t>
  </si>
  <si>
    <t>Vi Multania</t>
  </si>
  <si>
    <t>CQgZz4IyZlaJGDhxvIGE</t>
  </si>
  <si>
    <t>cvd8725</t>
  </si>
  <si>
    <t>JAI 2526</t>
  </si>
  <si>
    <t>CVD Nandgarh</t>
  </si>
  <si>
    <t>Vo Ghudda</t>
  </si>
  <si>
    <t>Jai Prakash</t>
  </si>
  <si>
    <t>mishrajai81@gmail.com</t>
  </si>
  <si>
    <t>cvd3766</t>
  </si>
  <si>
    <t>jai2301</t>
  </si>
  <si>
    <t>Vi Nandgarh</t>
  </si>
  <si>
    <t>RElj4FS1sR9RlpZhEJuD</t>
  </si>
  <si>
    <t>cvd4217</t>
  </si>
  <si>
    <t>Gurj5472</t>
  </si>
  <si>
    <t>CVD Poohli</t>
  </si>
  <si>
    <t>Vo Sema</t>
  </si>
  <si>
    <t>Gurjit Singh</t>
  </si>
  <si>
    <t>gurjitpoohli991@gmail.com</t>
  </si>
  <si>
    <t>v8vWSccwz6v4uVOcSuQz</t>
  </si>
  <si>
    <t>cvh7295</t>
  </si>
  <si>
    <t>Jasw8045</t>
  </si>
  <si>
    <t>CVH Blahar Vinjhu</t>
  </si>
  <si>
    <t>Vi Blahar Vinjhu</t>
  </si>
  <si>
    <t>Jaswinder Singh Dhillon</t>
  </si>
  <si>
    <t>jsdhillon045@gmail.com</t>
  </si>
  <si>
    <t>Cr4agH01N9JWpU2V5sym</t>
  </si>
  <si>
    <t>cvh6625</t>
  </si>
  <si>
    <t>SUKH5567</t>
  </si>
  <si>
    <t>CVH CVH Pathrala</t>
  </si>
  <si>
    <t>Vo Pathrala</t>
  </si>
  <si>
    <t>Sukhveer Singh</t>
  </si>
  <si>
    <t>singhsukhveer95@gmail.com</t>
  </si>
  <si>
    <t>cvh3522</t>
  </si>
  <si>
    <t>GURP5172</t>
  </si>
  <si>
    <t>CVH CVH Poohla</t>
  </si>
  <si>
    <t>Vo Poohla</t>
  </si>
  <si>
    <t>gssvet@gmail.com</t>
  </si>
  <si>
    <t>dmjJY6djpMpqo6xVvC8C</t>
  </si>
  <si>
    <t>cvh9380</t>
  </si>
  <si>
    <t>7576harpreet</t>
  </si>
  <si>
    <t>CVH Ghudda</t>
  </si>
  <si>
    <t>Harpreet Singh</t>
  </si>
  <si>
    <t>harpreetsra75761@gmail.com</t>
  </si>
  <si>
    <t>0MSybrqZjW3M5SoQcJta</t>
  </si>
  <si>
    <t>cvh5758</t>
  </si>
  <si>
    <t>Hn7888755490@</t>
  </si>
  <si>
    <t>CVH Kot Fatta</t>
  </si>
  <si>
    <t>Svo Bathinda</t>
  </si>
  <si>
    <t>Dr Harwinder Singh</t>
  </si>
  <si>
    <t>harryvet05@gmail.com</t>
  </si>
  <si>
    <t>to5F1DJkYXC94VjnvVTp</t>
  </si>
  <si>
    <t>cvh7137</t>
  </si>
  <si>
    <t>DrG2836</t>
  </si>
  <si>
    <t>CVH Kotshamir</t>
  </si>
  <si>
    <t>Vo Kotshamir</t>
  </si>
  <si>
    <t>Dr Gurminder Singh</t>
  </si>
  <si>
    <t>sidhusukhmander762@gmail.com</t>
  </si>
  <si>
    <t>DDy2PwDvhP72RvwSRQlJ</t>
  </si>
  <si>
    <t>cvh3276</t>
  </si>
  <si>
    <t>HARI7082</t>
  </si>
  <si>
    <t>CVH Lehra Mohabat</t>
  </si>
  <si>
    <t>Vo Lehra Mohabat</t>
  </si>
  <si>
    <t>Harinder Kumar</t>
  </si>
  <si>
    <t>garghk1444@gmail.com</t>
  </si>
  <si>
    <t>3NU2RLpfYvEqfNWx2psg</t>
  </si>
  <si>
    <t>cvh1594</t>
  </si>
  <si>
    <t>pawa7815</t>
  </si>
  <si>
    <t>CVH Pathrala</t>
  </si>
  <si>
    <t>Pawandeep</t>
  </si>
  <si>
    <t>Pawandeep Singh</t>
  </si>
  <si>
    <t>cvh4868</t>
  </si>
  <si>
    <t>bhuchomandi@123</t>
  </si>
  <si>
    <t>CVH Bhucho Mandi</t>
  </si>
  <si>
    <t>Vo Bhucho Mandi</t>
  </si>
  <si>
    <t>Jaspreet Singh</t>
  </si>
  <si>
    <t>jaspreetsingh7961@gmail.com</t>
  </si>
  <si>
    <t>jw38UMlAGa9fAFDecLCi</t>
  </si>
  <si>
    <t>cvh7602</t>
  </si>
  <si>
    <t>Durgesh@123</t>
  </si>
  <si>
    <t>CVH Naruana</t>
  </si>
  <si>
    <t>Dr. Durgesh Nandini</t>
  </si>
  <si>
    <t>vetdr.nandini@gmail.com</t>
  </si>
  <si>
    <t>duWZJIpTM7cbuMg091Gt</t>
  </si>
  <si>
    <t>cvd7648</t>
  </si>
  <si>
    <t>vig8032</t>
  </si>
  <si>
    <t>CVD V.I.Cvd  Gillpatti</t>
  </si>
  <si>
    <t>V.O. Neia Wala</t>
  </si>
  <si>
    <t>Vi Gurpal Singh</t>
  </si>
  <si>
    <t>gurpal000111@gmail.com</t>
  </si>
  <si>
    <t xml:space="preserve">Monthly Report of </t>
  </si>
  <si>
    <t>From</t>
  </si>
  <si>
    <t>NEW CASES TREATED</t>
  </si>
  <si>
    <t>OLD CASES Treated</t>
  </si>
  <si>
    <t>Case Treated In Camps/Gaushala</t>
  </si>
  <si>
    <t>Total Cases Treated</t>
  </si>
  <si>
    <t>Castrations</t>
  </si>
  <si>
    <t>PD</t>
  </si>
  <si>
    <t>A.H.CERTIFICATE</t>
  </si>
  <si>
    <t>POST MORT.</t>
  </si>
  <si>
    <t>Species</t>
  </si>
  <si>
    <t>E</t>
  </si>
  <si>
    <t>B</t>
  </si>
  <si>
    <t xml:space="preserve">O </t>
  </si>
  <si>
    <t xml:space="preserve"> PET</t>
  </si>
  <si>
    <t>O</t>
  </si>
  <si>
    <t>NO</t>
  </si>
  <si>
    <t>small</t>
  </si>
  <si>
    <t>Large</t>
  </si>
  <si>
    <t>Vetro Legal</t>
  </si>
  <si>
    <t xml:space="preserve">During the Month </t>
  </si>
  <si>
    <t>Progressive Total-&gt;</t>
  </si>
  <si>
    <t>VACCINATION REPORT</t>
  </si>
  <si>
    <t>VACCINE</t>
  </si>
  <si>
    <t>HS</t>
  </si>
  <si>
    <t>FMD</t>
  </si>
  <si>
    <t>BQ</t>
  </si>
  <si>
    <t>Brucellosis</t>
  </si>
  <si>
    <t>ETV</t>
  </si>
  <si>
    <t>Theilaria</t>
  </si>
  <si>
    <t>Goat Pox</t>
  </si>
  <si>
    <t>DOSES Received</t>
  </si>
  <si>
    <t>DOSES Used</t>
  </si>
  <si>
    <t>No.of Animals Vaccinated</t>
  </si>
  <si>
    <t>During the Month</t>
  </si>
  <si>
    <t>Balane vaccine</t>
  </si>
  <si>
    <r>
      <rPr>
        <rFont val="Arial"/>
        <b/>
        <color theme="1"/>
        <sz val="12.0"/>
      </rPr>
      <t xml:space="preserve"> A.I. WITH </t>
    </r>
    <r>
      <rPr>
        <rFont val="Arial"/>
        <b/>
        <i/>
        <color theme="1"/>
        <sz val="12.0"/>
      </rPr>
      <t>FROZEN</t>
    </r>
    <r>
      <rPr>
        <rFont val="Arial"/>
        <b/>
        <color theme="1"/>
        <sz val="12.0"/>
      </rPr>
      <t xml:space="preserve"> SEMEN IN COWS</t>
    </r>
  </si>
  <si>
    <t>HF</t>
  </si>
  <si>
    <t>JR</t>
  </si>
  <si>
    <t>CB</t>
  </si>
  <si>
    <t>SW</t>
  </si>
  <si>
    <t>HF cover</t>
  </si>
  <si>
    <t>JR Cover</t>
  </si>
  <si>
    <t>CB cover</t>
  </si>
  <si>
    <t>SW Cover</t>
  </si>
  <si>
    <t>AI ETT HF</t>
  </si>
  <si>
    <t>AI ETT JR</t>
  </si>
  <si>
    <t>AI Imp HF</t>
  </si>
  <si>
    <t>AI Imp JR</t>
  </si>
  <si>
    <t>Cover ETT HF</t>
  </si>
  <si>
    <t>Cover ETT JR</t>
  </si>
  <si>
    <t>Cover Imp HF</t>
  </si>
  <si>
    <t>Cover Imp JR</t>
  </si>
  <si>
    <t>A.I. sexed</t>
  </si>
  <si>
    <t>Cover Sexed</t>
  </si>
  <si>
    <t>Total AI</t>
  </si>
  <si>
    <t>Total covered</t>
  </si>
  <si>
    <t>Progressive Total</t>
  </si>
  <si>
    <t>Pregnancy Diagnosis of AI in Cows</t>
  </si>
  <si>
    <t>Jersy</t>
  </si>
  <si>
    <t>Cross Breed</t>
  </si>
  <si>
    <t>Sahiwal</t>
  </si>
  <si>
    <t>HF ETT</t>
  </si>
  <si>
    <t>Jersey ETT</t>
  </si>
  <si>
    <t>Imported HF</t>
  </si>
  <si>
    <t>Imported Jersey</t>
  </si>
  <si>
    <t xml:space="preserve">Sexed </t>
  </si>
  <si>
    <t xml:space="preserve"> TESTED</t>
  </si>
  <si>
    <t xml:space="preserve"> +ve</t>
  </si>
  <si>
    <t>Covered 3 Months ago</t>
  </si>
  <si>
    <t>CALVES Born From AI in Cows</t>
  </si>
  <si>
    <t>M</t>
  </si>
  <si>
    <t>F</t>
  </si>
  <si>
    <t>A.I. done in Buffalos</t>
  </si>
  <si>
    <t>Pregnancy Diagnosis of AI in Buffalos</t>
  </si>
  <si>
    <t>CALVES Born From AI Buffalos</t>
  </si>
  <si>
    <t>Murrah</t>
  </si>
  <si>
    <t>Nili Ravi</t>
  </si>
  <si>
    <t>Murrah Covred</t>
  </si>
  <si>
    <t>Nili Ravi Covred</t>
  </si>
  <si>
    <t>Total AI in Buffalo</t>
  </si>
  <si>
    <t>Buffalo Covred</t>
  </si>
  <si>
    <t>Murrah Tested</t>
  </si>
  <si>
    <t>Conception Rate</t>
  </si>
  <si>
    <t>Male</t>
  </si>
  <si>
    <t>Female</t>
  </si>
  <si>
    <t>Total Calf</t>
  </si>
  <si>
    <t>Account of STRAW Record During Month</t>
  </si>
  <si>
    <t>HF Straws</t>
  </si>
  <si>
    <t>Jersey Straws</t>
  </si>
  <si>
    <t>Cross Breed Straws</t>
  </si>
  <si>
    <t>Sahiwal Straws</t>
  </si>
  <si>
    <t>HF ETT Straws</t>
  </si>
  <si>
    <t>Jersey ETT Straws</t>
  </si>
  <si>
    <t>Imp HF Straws</t>
  </si>
  <si>
    <t>Imp Jersey Straws</t>
  </si>
  <si>
    <t>Sexed Semen</t>
  </si>
  <si>
    <t>Murrah Straws</t>
  </si>
  <si>
    <t>Nilli-Ravi Straws</t>
  </si>
  <si>
    <t>Fertility Camps PLDB</t>
  </si>
  <si>
    <t>Last Year Balance</t>
  </si>
  <si>
    <t>No. of camps held</t>
  </si>
  <si>
    <t>Animals Treated</t>
  </si>
  <si>
    <t>No. of Farmers attended</t>
  </si>
  <si>
    <t>No. of Ladies attended</t>
  </si>
  <si>
    <t>Last Month Balance</t>
  </si>
  <si>
    <t>Recieved This month</t>
  </si>
  <si>
    <t>Used Local AI This Month</t>
  </si>
  <si>
    <t>Fertility Camps ASCAD</t>
  </si>
  <si>
    <t>Used INAPH This Month</t>
  </si>
  <si>
    <t>Issued To AIW This Month</t>
  </si>
  <si>
    <t>Recieved This Year</t>
  </si>
  <si>
    <t>Used Local AI This Year</t>
  </si>
  <si>
    <t>Any Other Camps</t>
  </si>
  <si>
    <t>Used INAPH This Year</t>
  </si>
  <si>
    <t>Issued To AIW This Year</t>
  </si>
  <si>
    <t>Balance In Hand</t>
  </si>
  <si>
    <t>Lab test report</t>
  </si>
  <si>
    <t>PROG T.</t>
  </si>
  <si>
    <t>TOTAL FEE DEPOSITED</t>
  </si>
  <si>
    <t>OPD</t>
  </si>
  <si>
    <t>OPD DOGS</t>
  </si>
  <si>
    <t>CAST</t>
  </si>
  <si>
    <t>LAB</t>
  </si>
  <si>
    <t>HC</t>
  </si>
  <si>
    <t>Post Mortem</t>
  </si>
  <si>
    <t>TOTAL</t>
  </si>
  <si>
    <t>COWS</t>
  </si>
  <si>
    <t>ETT</t>
  </si>
  <si>
    <t>Imp</t>
  </si>
  <si>
    <t>Sexed</t>
  </si>
  <si>
    <t>BUFF</t>
  </si>
  <si>
    <t>TOTAL AI  FEE</t>
  </si>
  <si>
    <t>GRAND TOTAL</t>
  </si>
  <si>
    <t>Grand Total</t>
  </si>
  <si>
    <t>I have verified all data in this report and sending this signed hardcopy to</t>
  </si>
  <si>
    <t>for information and further proceeding</t>
  </si>
  <si>
    <t>Slip Number</t>
  </si>
  <si>
    <t>Dated -</t>
  </si>
  <si>
    <t>Dispach -</t>
  </si>
  <si>
    <t>Tehsil - bathinda</t>
  </si>
  <si>
    <t>Distt</t>
  </si>
  <si>
    <t>Timestamp</t>
  </si>
  <si>
    <t>Start Date of reporting Month</t>
  </si>
  <si>
    <t>End Date of reporting Month</t>
  </si>
  <si>
    <t>Institute Name</t>
  </si>
  <si>
    <t>User ID</t>
  </si>
  <si>
    <t>User Role</t>
  </si>
  <si>
    <t>Fecal Test</t>
  </si>
  <si>
    <t>reciept number</t>
  </si>
  <si>
    <t xml:space="preserve">Fee Deposit Slip </t>
  </si>
  <si>
    <t xml:space="preserve">OPD Fee Deposited </t>
  </si>
  <si>
    <t>OPD FEE</t>
  </si>
  <si>
    <t>OPD FEE DOGS</t>
  </si>
  <si>
    <t>CAST FEE</t>
  </si>
  <si>
    <t>PD FEE</t>
  </si>
  <si>
    <t>LAB FEE</t>
  </si>
  <si>
    <t>HC FEE</t>
  </si>
  <si>
    <t>Post Mortem FEE</t>
  </si>
  <si>
    <t>TOTAL FEE TOTAL</t>
  </si>
  <si>
    <t>Artificial Insemination Fee Deposted</t>
  </si>
  <si>
    <t>AI COWS FEE</t>
  </si>
  <si>
    <t>AI COW ETT FEE</t>
  </si>
  <si>
    <t>AI COW Imp FEE</t>
  </si>
  <si>
    <t>AI COW Sexed FEE</t>
  </si>
  <si>
    <t>AI BUFF FEE</t>
  </si>
  <si>
    <t>AI FEE TOTAL</t>
  </si>
  <si>
    <t>Grand Total Fee</t>
  </si>
  <si>
    <t xml:space="preserve">Attached Institutes and AI workers fee if any </t>
  </si>
  <si>
    <t>Total Fee Deposited</t>
  </si>
  <si>
    <t>Monthly Fees Receipt Register All Institute Tehsil Talwandi Sabo</t>
  </si>
  <si>
    <t>S.No</t>
  </si>
  <si>
    <t>Name Of Institute</t>
  </si>
  <si>
    <t>CVH Talwandi Sabo</t>
  </si>
  <si>
    <t>CVD Teona Pujarian</t>
  </si>
  <si>
    <t>PAW Sangat Khurad</t>
  </si>
  <si>
    <t>CVD Jaga Ram Tirath</t>
  </si>
  <si>
    <t>CVD Nangla</t>
  </si>
  <si>
    <t>PAW Lehri</t>
  </si>
  <si>
    <t>CVH Natheha</t>
  </si>
  <si>
    <t>PAW Mirzeana</t>
  </si>
  <si>
    <t>CVD Rayia</t>
  </si>
  <si>
    <t>PAW Gehlewala</t>
  </si>
  <si>
    <t>CVD Kalalwala</t>
  </si>
  <si>
    <t>CVH Bhagiwander</t>
  </si>
  <si>
    <t xml:space="preserve"> PAW Kaile Wander</t>
  </si>
  <si>
    <t>CVD Chathewala</t>
  </si>
  <si>
    <t>CVD Burj Sema</t>
  </si>
  <si>
    <t>PAW Natt</t>
  </si>
  <si>
    <t>CVH Raman Mandi</t>
  </si>
  <si>
    <t>PAW Kamalu</t>
  </si>
  <si>
    <t>PAW Jajjal</t>
  </si>
  <si>
    <t>CVD Gatwali</t>
  </si>
  <si>
    <t>CVD Sekhu</t>
  </si>
  <si>
    <t>CVH Behman Jassa Singh</t>
  </si>
  <si>
    <t>PAW Behman Kaur Singh</t>
  </si>
  <si>
    <t>CVH Bangi Deepa</t>
  </si>
  <si>
    <t>CVH Pakka Kalan</t>
  </si>
  <si>
    <t>PAW Gurthari</t>
  </si>
  <si>
    <t>PAW Chak Heera Singh Wala</t>
  </si>
  <si>
    <t>CVD Phallar</t>
  </si>
  <si>
    <t>CVD Malwala</t>
  </si>
  <si>
    <t>CVH Maur</t>
  </si>
  <si>
    <t>PAW Maur Charat Singh</t>
  </si>
  <si>
    <t>CVD Kutiwal Kalan</t>
  </si>
  <si>
    <t>CVD Kutiwal Khurd</t>
  </si>
  <si>
    <t>CVD Swaitch Kamalu</t>
  </si>
  <si>
    <t>CVD Sandoha</t>
  </si>
  <si>
    <t>PAW Maur Khurad</t>
  </si>
  <si>
    <t>CVD Ghuman Kalan</t>
  </si>
  <si>
    <t>CVH Maisarkhana</t>
  </si>
  <si>
    <t>CVD Chanarthal</t>
  </si>
  <si>
    <t>CVD Raikhana</t>
  </si>
  <si>
    <t>CVD Kotbhara</t>
  </si>
  <si>
    <t>CVD Ramgarh Bhundar</t>
  </si>
  <si>
    <t>CVH Jodhpur Pakhar</t>
  </si>
  <si>
    <t>CVH Shekhpura</t>
  </si>
  <si>
    <t>PAW Lelewala</t>
  </si>
  <si>
    <t>CVH Singo</t>
  </si>
  <si>
    <t>CVH Rajgarh Kubbe</t>
  </si>
  <si>
    <t>CVH Bangi Kalan</t>
  </si>
  <si>
    <t>CVH Laleana</t>
  </si>
  <si>
    <t>PAW Mahi Nangal</t>
  </si>
  <si>
    <t>CVH Bhagwangarh</t>
  </si>
  <si>
    <t>PAW Shergarh</t>
  </si>
  <si>
    <t>CVH Kanakwal</t>
  </si>
  <si>
    <t>CVH Malkana</t>
  </si>
  <si>
    <t>Total</t>
  </si>
  <si>
    <t>Tehsil Talwandi Sabo</t>
  </si>
  <si>
    <t>Case Treated In Camps/ Gaushala</t>
  </si>
  <si>
    <t>vetro legal</t>
  </si>
  <si>
    <r>
      <rPr>
        <rFont val="Arial"/>
        <b/>
        <color theme="1"/>
        <sz val="12.0"/>
      </rPr>
      <t xml:space="preserve"> A.I. WITH </t>
    </r>
    <r>
      <rPr>
        <rFont val="Arial"/>
        <b/>
        <i/>
        <color theme="1"/>
        <sz val="12.0"/>
      </rPr>
      <t>FROZEN</t>
    </r>
    <r>
      <rPr>
        <rFont val="Arial"/>
        <b/>
        <color theme="1"/>
        <sz val="12.0"/>
      </rPr>
      <t xml:space="preserve"> SEMEN IN COWS</t>
    </r>
  </si>
  <si>
    <t>AI Workers</t>
  </si>
  <si>
    <t>Talwandi Sabo</t>
  </si>
  <si>
    <r>
      <rPr>
        <rFont val="Arial"/>
        <b/>
        <color theme="1"/>
        <sz val="12.0"/>
      </rPr>
      <t xml:space="preserve"> A.I. WITH </t>
    </r>
    <r>
      <rPr>
        <rFont val="Arial"/>
        <b/>
        <i/>
        <color theme="1"/>
        <sz val="12.0"/>
      </rPr>
      <t>FROZEN</t>
    </r>
    <r>
      <rPr>
        <rFont val="Arial"/>
        <b/>
        <color theme="1"/>
        <sz val="12.0"/>
      </rPr>
      <t xml:space="preserve"> SEMEN IN COWS</t>
    </r>
  </si>
  <si>
    <t xml:space="preserve">Straws and Fee report of </t>
  </si>
  <si>
    <t>TOTAL AI FEE DEPOSITED OF DEPARTMENT</t>
  </si>
  <si>
    <t>TOTAL AI FEE DEPOSITED OF AI WORKER</t>
  </si>
  <si>
    <t>TOTAL WORKDONE FEE DEPOSITED TEHSIL TALWANDI SABO</t>
  </si>
  <si>
    <t>Total During the Month</t>
  </si>
  <si>
    <t>ISSUED This month</t>
  </si>
  <si>
    <t>Used By AIW This Month</t>
  </si>
  <si>
    <t>Issued This Year</t>
  </si>
  <si>
    <t>Used By To AIW This Year</t>
  </si>
  <si>
    <t>I have verified all data in this report and sending this signed hardcopy to DDAH Bathinda for information and further proceeding</t>
  </si>
  <si>
    <t>District Bathinda</t>
  </si>
  <si>
    <t>Fees Receipt Of Tehasil Talwandi sabo</t>
  </si>
  <si>
    <t>Fees Receipt For Artifical OPD Cases</t>
  </si>
  <si>
    <t>Outdoor cases fees ( Large Animals)</t>
  </si>
  <si>
    <t>Outdoor cases fees ( Small Animals)</t>
  </si>
  <si>
    <t>PD fees</t>
  </si>
  <si>
    <t>Health Certificate Fees ( Small Animals)</t>
  </si>
  <si>
    <t>Health Certificate Fees ( Large Animals)</t>
  </si>
  <si>
    <t>Post Mortum Fees</t>
  </si>
  <si>
    <t>Lab Tests Fees</t>
  </si>
  <si>
    <t>Draft Number..........................   ,  Date........................</t>
  </si>
  <si>
    <t>Draft issued To - DDAH Bathinda</t>
  </si>
  <si>
    <t>Fees Receipt For Artifical Insemination</t>
  </si>
  <si>
    <t>AI Cow Fee (Local Straws)</t>
  </si>
  <si>
    <t>AI Cow Fee (ETT Straws)</t>
  </si>
  <si>
    <t>AI Cow Fee (Imported Straws)</t>
  </si>
  <si>
    <t>AI Cow Fee (Sexed Straws)</t>
  </si>
  <si>
    <t>AI Buffalo Fee</t>
  </si>
  <si>
    <t xml:space="preserve">Total AI Fees </t>
  </si>
  <si>
    <t>Check Number ...........................   ,    Date...........................</t>
  </si>
  <si>
    <t>Check Issued To Deputy CEO cum DDAH Bathinda</t>
  </si>
  <si>
    <t>Report 1</t>
  </si>
  <si>
    <t>Report 2</t>
  </si>
  <si>
    <t>Report 1 Tittle</t>
  </si>
  <si>
    <t>fmd report</t>
  </si>
  <si>
    <t>Report 2 Tittle</t>
  </si>
  <si>
    <t>Report 1 user roles</t>
  </si>
  <si>
    <t>1,2,3</t>
  </si>
  <si>
    <t>Report 2 user roles</t>
  </si>
  <si>
    <t>1 - CVH With Lab</t>
  </si>
  <si>
    <t>Report 1 District</t>
  </si>
  <si>
    <r>
      <rPr>
        <rFont val="Arial"/>
        <color theme="1"/>
        <sz val="18.0"/>
      </rPr>
      <t>'</t>
    </r>
    <r>
      <rPr>
        <rFont val="Arial"/>
        <b/>
        <color theme="1"/>
        <sz val="18.0"/>
      </rPr>
      <t>Bathinda</t>
    </r>
    <r>
      <rPr>
        <rFont val="Arial"/>
        <color theme="1"/>
        <sz val="18.0"/>
      </rPr>
      <t>'</t>
    </r>
  </si>
  <si>
    <t>Report 2 District</t>
  </si>
  <si>
    <t>'Bathinda'</t>
  </si>
  <si>
    <t xml:space="preserve">2 - CVH </t>
  </si>
  <si>
    <t>Fields</t>
  </si>
  <si>
    <t>Values</t>
  </si>
  <si>
    <t>Fields 2</t>
  </si>
  <si>
    <t>Values 2</t>
  </si>
  <si>
    <t>3 - CVD</t>
  </si>
  <si>
    <t>Label 1</t>
  </si>
  <si>
    <t>cow</t>
  </si>
  <si>
    <t>Total tag recieved</t>
  </si>
  <si>
    <t>4 - PAW</t>
  </si>
  <si>
    <t>Hint 1</t>
  </si>
  <si>
    <t>doses</t>
  </si>
  <si>
    <t>number of tags</t>
  </si>
  <si>
    <t>Label 2</t>
  </si>
  <si>
    <t>buf</t>
  </si>
  <si>
    <t>total tags uses</t>
  </si>
  <si>
    <t>Hint 2</t>
  </si>
  <si>
    <t>Label 3</t>
  </si>
  <si>
    <t>calvs</t>
  </si>
  <si>
    <t>Registrations as on portal</t>
  </si>
  <si>
    <t>Hint 3</t>
  </si>
  <si>
    <t>Registrations</t>
  </si>
  <si>
    <t>Label 4</t>
  </si>
  <si>
    <t>farmer</t>
  </si>
  <si>
    <t>Balance tags</t>
  </si>
  <si>
    <t>Hint 4</t>
  </si>
  <si>
    <t>numbers</t>
  </si>
  <si>
    <t>Label 5</t>
  </si>
  <si>
    <t>tags</t>
  </si>
  <si>
    <t>FMD vaccine recieved</t>
  </si>
  <si>
    <t>Hint 5</t>
  </si>
  <si>
    <t>Doses</t>
  </si>
  <si>
    <t>Label 6</t>
  </si>
  <si>
    <t>FMD vaccine Done</t>
  </si>
  <si>
    <t>Hint 6</t>
  </si>
  <si>
    <t xml:space="preserve">animal vaccinated </t>
  </si>
  <si>
    <t>Label 7</t>
  </si>
  <si>
    <t>FMD vaccine updated on portal</t>
  </si>
  <si>
    <t>Hint 7</t>
  </si>
  <si>
    <t>Label 8</t>
  </si>
  <si>
    <t>FMD vaccine Balance</t>
  </si>
  <si>
    <t>Hint 8</t>
  </si>
  <si>
    <t>.</t>
  </si>
  <si>
    <t>Balance Doses</t>
  </si>
  <si>
    <t>Label 9</t>
  </si>
  <si>
    <t>Hint 9</t>
  </si>
  <si>
    <t>Label 10</t>
  </si>
  <si>
    <t>Hint 10</t>
  </si>
  <si>
    <t>Label 11</t>
  </si>
  <si>
    <t>Hint 11</t>
  </si>
  <si>
    <t>Label 12</t>
  </si>
  <si>
    <t>Hint 12</t>
  </si>
  <si>
    <t>Time stemp</t>
  </si>
  <si>
    <t xml:space="preserve">Date of Transaction </t>
  </si>
  <si>
    <t>Month</t>
  </si>
  <si>
    <t>Semon Bank Name</t>
  </si>
  <si>
    <t>Name OF Institute</t>
  </si>
  <si>
    <t>HF Straws Issued</t>
  </si>
  <si>
    <t>Jesey Straws Issued</t>
  </si>
  <si>
    <t>Cross Breed Straws Issued</t>
  </si>
  <si>
    <t>Sahiwal Straws Issued</t>
  </si>
  <si>
    <t>HF ETT Straws Issued</t>
  </si>
  <si>
    <t>Jersey ETT Straws Issued</t>
  </si>
  <si>
    <t>Imported HF Straws Issued</t>
  </si>
  <si>
    <t>Imported Jesey Straws Issued</t>
  </si>
  <si>
    <t>Sex Fixed Straws Issued</t>
  </si>
  <si>
    <t>Murrah Straws Issued</t>
  </si>
  <si>
    <t>Nili Ravi Straws Issued</t>
  </si>
  <si>
    <t xml:space="preserve">HF Straws Received </t>
  </si>
  <si>
    <t xml:space="preserve">Jesey Straws Received </t>
  </si>
  <si>
    <t xml:space="preserve">Cross Breed Straws Received </t>
  </si>
  <si>
    <t xml:space="preserve">Sahiwal Straws Received </t>
  </si>
  <si>
    <t xml:space="preserve">HF ETT Straws Received </t>
  </si>
  <si>
    <t xml:space="preserve">Jersey ETT Straws Received </t>
  </si>
  <si>
    <t xml:space="preserve">Imported HF Straws Received </t>
  </si>
  <si>
    <t xml:space="preserve">Imported Jesey Straws Received </t>
  </si>
  <si>
    <t xml:space="preserve">Sexed Straws Received </t>
  </si>
  <si>
    <t xml:space="preserve">Murrah Straws Received </t>
  </si>
  <si>
    <t xml:space="preserve">Nili Ravi Straws Received </t>
  </si>
  <si>
    <t>Remarks</t>
  </si>
  <si>
    <t>Select Data Entery Type</t>
  </si>
  <si>
    <t>Password</t>
  </si>
  <si>
    <t>Cluster Talwandi Sabo</t>
  </si>
  <si>
    <t>December</t>
  </si>
  <si>
    <t>AI Cow Fee  (Sexed Semon)</t>
  </si>
  <si>
    <t>Post Mortum Fee Vetro Legal</t>
  </si>
  <si>
    <t>Financial Year</t>
  </si>
  <si>
    <t>KulFee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</si>
</sst>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-&quot;mmm&quot;-&quot;yyyy"/>
    <numFmt numFmtId="165" formatCode="0;-0;-;@"/>
    <numFmt numFmtId="166" formatCode="dd/MM/yyyy"/>
    <numFmt numFmtId="167" formatCode="m/d/yyyy"/>
    <numFmt numFmtId="168" formatCode="0;-0;Nill;@"/>
    <numFmt numFmtId="169" formatCode="dd&quot;/&quot;mm&quot;/&quot;yyyy"/>
    <numFmt numFmtId="170" formatCode="M/d/yyyy"/>
    <numFmt numFmtId="171" formatCode="m/d/yyyy h:mm:ss"/>
    <numFmt numFmtId="172" formatCode="mmmmyyyy"/>
    <numFmt numFmtId="173" formatCode="[$Rs]#,##0.00"/>
    <numFmt numFmtId="174" formatCode="0;-0;;@"/>
    <numFmt numFmtId="175" formatCode="d/m/yyyy"/>
  </numFmts>
  <fonts count="6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Inconsolata"/>
    </font>
    <font>
      <color rgb="FF000000"/>
      <name val="Arial"/>
    </font>
    <font>
      <b/>
      <color theme="1"/>
      <name val="Arial"/>
    </font>
    <font>
      <sz val="12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sz val="12.0"/>
      <color rgb="FF000000"/>
      <name val="Docs-Calibri"/>
    </font>
    <font>
      <sz val="11.0"/>
      <color theme="1"/>
      <name val="Calibri"/>
    </font>
    <font>
      <i/>
      <sz val="10.0"/>
      <color rgb="FF000000"/>
      <name val="Arial"/>
      <scheme val="minor"/>
    </font>
    <font>
      <b/>
      <i/>
      <sz val="14.0"/>
      <color rgb="FF000000"/>
      <name val="Arial"/>
      <scheme val="minor"/>
    </font>
    <font>
      <b/>
      <i/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6.0"/>
      <color theme="1"/>
      <name val="Arial"/>
      <scheme val="minor"/>
    </font>
    <font>
      <b/>
      <sz val="8.0"/>
      <color theme="1"/>
      <name val="Arial"/>
      <scheme val="minor"/>
    </font>
    <font>
      <sz val="6.0"/>
      <color theme="1"/>
      <name val="Arial"/>
      <scheme val="minor"/>
    </font>
    <font>
      <b/>
      <sz val="11.0"/>
      <color rgb="FF000000"/>
      <name val="Arial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6.0"/>
      <color theme="1"/>
      <name val="Arial"/>
      <scheme val="minor"/>
    </font>
    <font>
      <b/>
      <i/>
      <sz val="11.0"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b/>
      <sz val="14.0"/>
      <color theme="1"/>
      <name val="Arial"/>
      <scheme val="minor"/>
    </font>
    <font>
      <b/>
      <i/>
      <sz val="11.0"/>
      <color rgb="FF000000"/>
      <name val="Arial"/>
      <scheme val="minor"/>
    </font>
    <font>
      <b/>
      <sz val="7.0"/>
      <color rgb="FF000000"/>
      <name val="Arial"/>
      <scheme val="minor"/>
    </font>
    <font>
      <b/>
      <sz val="10.0"/>
      <color rgb="FF000000"/>
      <name val="Arial"/>
      <scheme val="minor"/>
    </font>
    <font>
      <sz val="12.0"/>
      <color rgb="FF000000"/>
      <name val="Arial"/>
      <scheme val="minor"/>
    </font>
    <font>
      <sz val="6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FF0000"/>
      <name val="Arial"/>
      <scheme val="minor"/>
    </font>
    <font>
      <b/>
      <i/>
      <sz val="10.0"/>
      <color theme="1"/>
      <name val="Arial"/>
      <scheme val="minor"/>
    </font>
    <font>
      <b/>
      <sz val="14.0"/>
      <color rgb="FF000000"/>
      <name val="Arial"/>
    </font>
    <font>
      <sz val="16.0"/>
      <color rgb="FF000000"/>
      <name val="Arial"/>
    </font>
    <font>
      <b/>
      <sz val="16.0"/>
      <color theme="1"/>
      <name val="Arial"/>
      <scheme val="minor"/>
    </font>
    <font>
      <sz val="12.0"/>
      <color rgb="FF000000"/>
      <name val="Arial"/>
    </font>
    <font>
      <sz val="18.0"/>
      <color theme="1"/>
      <name val="Arial"/>
      <scheme val="minor"/>
    </font>
    <font>
      <b/>
      <sz val="9.0"/>
      <color theme="1"/>
      <name val="Arial"/>
      <scheme val="minor"/>
    </font>
    <font>
      <b/>
      <i/>
      <sz val="12.0"/>
      <color rgb="FF000000"/>
      <name val="Inconsolata"/>
    </font>
    <font>
      <b/>
      <sz val="12.0"/>
      <color theme="1"/>
      <name val="Calibri"/>
    </font>
    <font>
      <b/>
      <i/>
      <sz val="18.0"/>
      <color rgb="FF000000"/>
      <name val="Calibri"/>
    </font>
    <font>
      <b/>
      <i/>
      <sz val="14.0"/>
      <color rgb="FF000000"/>
      <name val="Arial"/>
    </font>
    <font>
      <b/>
      <sz val="14.0"/>
      <color theme="1"/>
      <name val="Arial"/>
    </font>
    <font>
      <b/>
      <sz val="14.0"/>
      <color theme="1"/>
      <name val="Calibri"/>
    </font>
    <font>
      <sz val="14.0"/>
      <color rgb="FF000000"/>
      <name val="Arial"/>
    </font>
    <font>
      <sz val="14.0"/>
      <color theme="1"/>
      <name val="Inconsolata"/>
    </font>
    <font>
      <sz val="11.0"/>
      <color rgb="FFF7981D"/>
      <name val="Inconsolata"/>
    </font>
    <font>
      <sz val="14.0"/>
      <color rgb="FF000000"/>
      <name val="Arial"/>
      <scheme val="minor"/>
    </font>
    <font>
      <b/>
      <sz val="14.0"/>
      <color rgb="FF38761D"/>
      <name val="Arial"/>
    </font>
    <font>
      <b/>
      <sz val="14.0"/>
      <color rgb="FF1155CC"/>
      <name val="Arial"/>
    </font>
    <font>
      <sz val="12.0"/>
      <color theme="1"/>
      <name val="Arial"/>
    </font>
    <font>
      <b/>
      <sz val="14.0"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D9EAD3"/>
        <bgColor rgb="FFD9EAD3"/>
      </patternFill>
    </fill>
    <fill>
      <patternFill patternType="solid">
        <fgColor rgb="FFEEF7E3"/>
        <bgColor rgb="FFEEF7E3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9">
    <border/>
    <border>
      <left style="medium">
        <color rgb="FF38761D"/>
      </left>
      <right style="dotted">
        <color rgb="FF38761D"/>
      </right>
      <top style="medium">
        <color rgb="FF38761D"/>
      </top>
      <bottom style="medium">
        <color rgb="FF38761D"/>
      </bottom>
    </border>
    <border>
      <left style="dotted">
        <color rgb="FF38761D"/>
      </left>
      <right style="dotted">
        <color rgb="FF38761D"/>
      </right>
      <top style="medium">
        <color rgb="FF38761D"/>
      </top>
      <bottom style="medium">
        <color rgb="FF38761D"/>
      </bottom>
    </border>
    <border>
      <left style="dotted">
        <color rgb="FF38761D"/>
      </left>
      <right style="medium">
        <color rgb="FF38761D"/>
      </right>
      <top style="medium">
        <color rgb="FF38761D"/>
      </top>
      <bottom style="medium">
        <color rgb="FF38761D"/>
      </bottom>
    </border>
    <border>
      <left style="medium">
        <color rgb="FF38761D"/>
      </left>
      <right style="dotted">
        <color rgb="FF38761D"/>
      </right>
      <top style="dotted">
        <color rgb="FF38761D"/>
      </top>
      <bottom style="dotted">
        <color rgb="FF38761D"/>
      </bottom>
    </border>
    <border>
      <left style="medium">
        <color rgb="FF38761D"/>
      </left>
      <right style="dotted">
        <color rgb="FF38761D"/>
      </right>
      <top style="dotted">
        <color rgb="FF38761D"/>
      </top>
      <bottom style="medium">
        <color rgb="FF38761D"/>
      </bottom>
    </border>
    <border>
      <bottom style="medium">
        <color rgb="FF38761D"/>
      </bottom>
    </border>
    <border>
      <right style="medium">
        <color rgb="FF38761D"/>
      </right>
    </border>
    <border>
      <right style="dotted">
        <color rgb="FF38761D"/>
      </right>
      <bottom style="dotted">
        <color rgb="FF38761D"/>
      </bottom>
    </border>
    <border>
      <right style="medium">
        <color rgb="FF38761D"/>
      </right>
      <bottom style="dotted">
        <color rgb="FF38761D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dotted">
        <color rgb="FF38761D"/>
      </left>
      <right style="dotted">
        <color rgb="FF38761D"/>
      </right>
      <top style="medium">
        <color rgb="FF38761D"/>
      </top>
      <bottom style="dotted">
        <color rgb="FF38761D"/>
      </bottom>
    </border>
    <border>
      <right style="dotted">
        <color rgb="FF38761D"/>
      </right>
      <bottom style="medium">
        <color rgb="FF38761D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bottom style="double">
        <color rgb="FF000000"/>
      </bottom>
    </border>
    <border>
      <left style="medium">
        <color rgb="FF38761D"/>
      </left>
      <right style="dotted">
        <color rgb="FF38761D"/>
      </right>
      <top style="medium">
        <color rgb="FF38761D"/>
      </top>
      <bottom style="dotted">
        <color rgb="FF38761D"/>
      </bottom>
    </border>
    <border>
      <left style="dotted">
        <color rgb="FF38761D"/>
      </left>
      <top style="medium">
        <color rgb="FF38761D"/>
      </top>
      <bottom style="dotted">
        <color rgb="FF38761D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38761D"/>
      </left>
      <right style="dotted">
        <color rgb="FF38761D"/>
      </right>
      <top style="dotted">
        <color rgb="FF38761D"/>
      </top>
      <bottom style="medium">
        <color rgb="FF38761D"/>
      </bottom>
    </border>
    <border>
      <left style="dotted">
        <color rgb="FF38761D"/>
      </left>
      <top style="dotted">
        <color rgb="FF38761D"/>
      </top>
      <bottom style="medium">
        <color rgb="FF38761D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38761D"/>
      </left>
      <right style="medium">
        <color rgb="FF38761D"/>
      </right>
      <top style="medium">
        <color rgb="FF38761D"/>
      </top>
      <bottom style="dotted">
        <color rgb="FF38761D"/>
      </bottom>
    </border>
    <border>
      <left style="dotted">
        <color rgb="FF38761D"/>
      </left>
      <right style="medium">
        <color rgb="FF38761D"/>
      </right>
      <top style="dotted">
        <color rgb="FF38761D"/>
      </top>
      <bottom style="medium">
        <color rgb="FF38761D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dotted">
        <color rgb="FF38761D"/>
      </bottom>
    </border>
    <border>
      <top style="medium">
        <color rgb="FF000000"/>
      </top>
      <bottom style="dotted">
        <color rgb="FF38761D"/>
      </bottom>
    </border>
    <border>
      <right style="medium">
        <color rgb="FF000000"/>
      </right>
      <top style="medium">
        <color rgb="FF000000"/>
      </top>
      <bottom style="dotted">
        <color rgb="FF38761D"/>
      </bottom>
    </border>
    <border>
      <left style="medium">
        <color rgb="FF000000"/>
      </left>
      <right style="dotted">
        <color rgb="FF38761D"/>
      </right>
      <top style="dotted">
        <color rgb="FF38761D"/>
      </top>
      <bottom style="dotted">
        <color rgb="FF38761D"/>
      </bottom>
    </border>
    <border>
      <left style="dotted">
        <color rgb="FF38761D"/>
      </left>
      <right style="dotted">
        <color rgb="FF38761D"/>
      </right>
      <top style="dotted">
        <color rgb="FF38761D"/>
      </top>
      <bottom style="dotted">
        <color rgb="FF38761D"/>
      </bottom>
    </border>
    <border>
      <left style="dotted">
        <color rgb="FF38761D"/>
      </left>
      <right style="medium">
        <color rgb="FF000000"/>
      </right>
      <top style="dotted">
        <color rgb="FF38761D"/>
      </top>
      <bottom style="dotted">
        <color rgb="FF38761D"/>
      </bottom>
    </border>
    <border>
      <left style="medium">
        <color rgb="FF000000"/>
      </left>
      <right style="dotted">
        <color rgb="FF38761D"/>
      </right>
      <top style="dotted">
        <color rgb="FF38761D"/>
      </top>
      <bottom style="medium">
        <color rgb="FF38761D"/>
      </bottom>
    </border>
    <border>
      <left style="dotted">
        <color rgb="FF38761D"/>
      </left>
      <right style="medium">
        <color rgb="FF000000"/>
      </right>
      <top style="dotted">
        <color rgb="FF38761D"/>
      </top>
      <bottom style="medium">
        <color rgb="FF38761D"/>
      </bottom>
    </border>
    <border>
      <left style="medium">
        <color rgb="FF000000"/>
      </left>
      <top style="medium">
        <color rgb="FF38761D"/>
      </top>
      <bottom style="dotted">
        <color rgb="FF38761D"/>
      </bottom>
    </border>
    <border>
      <top style="medium">
        <color rgb="FF38761D"/>
      </top>
      <bottom style="dotted">
        <color rgb="FF38761D"/>
      </bottom>
    </border>
    <border>
      <right style="medium">
        <color rgb="FF000000"/>
      </right>
      <top style="medium">
        <color rgb="FF38761D"/>
      </top>
      <bottom style="dotted">
        <color rgb="FF38761D"/>
      </bottom>
    </border>
    <border>
      <left style="medium">
        <color rgb="FF000000"/>
      </left>
      <right style="dotted">
        <color rgb="FF38761D"/>
      </right>
      <bottom style="dotted">
        <color rgb="FF38761D"/>
      </bottom>
    </border>
    <border>
      <left style="dotted">
        <color rgb="FF38761D"/>
      </left>
      <right style="dotted">
        <color rgb="FF38761D"/>
      </right>
      <bottom style="dotted">
        <color rgb="FF38761D"/>
      </bottom>
    </border>
    <border>
      <left style="dotted">
        <color rgb="FF38761D"/>
      </left>
      <right style="medium">
        <color rgb="FF000000"/>
      </right>
      <bottom style="dotted">
        <color rgb="FF38761D"/>
      </bottom>
    </border>
    <border>
      <left style="medium">
        <color rgb="FF000000"/>
      </left>
      <right style="dotted">
        <color rgb="FF38761D"/>
      </right>
      <top style="dotted">
        <color rgb="FF38761D"/>
      </top>
      <bottom style="medium">
        <color rgb="FF000000"/>
      </bottom>
    </border>
    <border>
      <left style="dotted">
        <color rgb="FF38761D"/>
      </left>
      <right style="dotted">
        <color rgb="FF38761D"/>
      </right>
      <top style="dotted">
        <color rgb="FF38761D"/>
      </top>
      <bottom style="medium">
        <color rgb="FF000000"/>
      </bottom>
    </border>
    <border>
      <left style="dotted">
        <color rgb="FF38761D"/>
      </left>
      <right style="medium">
        <color rgb="FF000000"/>
      </right>
      <top style="dotted">
        <color rgb="FF38761D"/>
      </top>
      <bottom style="medium">
        <color rgb="FF000000"/>
      </bottom>
    </border>
    <border>
      <left style="medium">
        <color rgb="FF38761D"/>
      </left>
      <right style="thin">
        <color rgb="FF000000"/>
      </right>
      <top style="medium">
        <color rgb="FF38761D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38761D"/>
      </top>
      <bottom style="thin">
        <color rgb="FF000000"/>
      </bottom>
    </border>
    <border>
      <left style="thin">
        <color rgb="FF000000"/>
      </left>
      <right style="medium">
        <color rgb="FF38761D"/>
      </right>
      <top style="medium">
        <color rgb="FF38761D"/>
      </top>
      <bottom style="thin">
        <color rgb="FF000000"/>
      </bottom>
    </border>
    <border>
      <left style="medium">
        <color rgb="FF38761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38761D"/>
      </right>
      <top style="thin">
        <color rgb="FF000000"/>
      </top>
      <bottom style="thin">
        <color rgb="FF000000"/>
      </bottom>
    </border>
    <border>
      <left style="medium">
        <color rgb="FF38761D"/>
      </left>
      <right style="thin">
        <color rgb="FF000000"/>
      </right>
      <top style="thin">
        <color rgb="FF000000"/>
      </top>
      <bottom style="medium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38761D"/>
      </bottom>
    </border>
    <border>
      <left style="thin">
        <color rgb="FF000000"/>
      </left>
      <right style="medium">
        <color rgb="FF38761D"/>
      </right>
      <top style="thin">
        <color rgb="FF000000"/>
      </top>
      <bottom style="medium">
        <color rgb="FF38761D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38761D"/>
      </left>
      <top style="medium">
        <color rgb="FF38761D"/>
      </top>
      <bottom style="medium">
        <color rgb="FF38761D"/>
      </bottom>
    </border>
    <border>
      <top style="medium">
        <color rgb="FF38761D"/>
      </top>
      <bottom style="medium">
        <color rgb="FF38761D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38761D"/>
      </right>
      <top style="medium">
        <color rgb="FF000000"/>
      </top>
      <bottom style="dotted">
        <color rgb="FF38761D"/>
      </bottom>
    </border>
    <border>
      <left style="dotted">
        <color rgb="FF38761D"/>
      </left>
      <right style="dotted">
        <color rgb="FF38761D"/>
      </right>
      <top style="medium">
        <color rgb="FF000000"/>
      </top>
      <bottom style="dotted">
        <color rgb="FF38761D"/>
      </bottom>
    </border>
    <border>
      <left style="dotted">
        <color rgb="FF38761D"/>
      </left>
      <right style="dotted">
        <color rgb="FF38761D"/>
      </right>
      <top style="medium">
        <color rgb="FF000000"/>
      </top>
    </border>
    <border>
      <left style="dotted">
        <color rgb="FF38761D"/>
      </left>
      <right style="medium">
        <color rgb="FF000000"/>
      </right>
      <top style="medium">
        <color rgb="FF000000"/>
      </top>
      <bottom style="dotted">
        <color rgb="FF38761D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</border>
  </borders>
  <cellStyleXfs count="1">
    <xf borderId="0" fillId="0" fontId="0" numFmtId="0" applyAlignment="1" applyFont="1"/>
  </cellStyleXfs>
  <cellXfs count="6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2" fontId="2" numFmtId="0" xfId="0" applyAlignment="1" applyFill="1" applyFont="1">
      <alignment horizontal="right" readingOrder="0"/>
    </xf>
    <xf borderId="0" fillId="2" fontId="3" numFmtId="164" xfId="0" applyAlignment="1" applyFont="1" applyNumberFormat="1">
      <alignment horizontal="right" readingOrder="0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readingOrder="0"/>
    </xf>
    <xf borderId="0" fillId="2" fontId="3" numFmtId="0" xfId="0" applyFont="1"/>
    <xf borderId="0" fillId="2" fontId="2" numFmtId="0" xfId="0" applyFont="1"/>
    <xf borderId="0" fillId="2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/>
    </xf>
    <xf borderId="4" fillId="2" fontId="4" numFmtId="0" xfId="0" applyBorder="1" applyFont="1"/>
    <xf borderId="0" fillId="2" fontId="4" numFmtId="0" xfId="0" applyFont="1"/>
    <xf borderId="5" fillId="2" fontId="4" numFmtId="0" xfId="0" applyBorder="1" applyFont="1"/>
    <xf borderId="0" fillId="2" fontId="5" numFmtId="0" xfId="0" applyAlignment="1" applyFont="1">
      <alignment vertical="bottom"/>
    </xf>
    <xf borderId="6" fillId="2" fontId="3" numFmtId="0" xfId="0" applyAlignment="1" applyBorder="1" applyFont="1">
      <alignment vertical="bottom"/>
    </xf>
    <xf borderId="6" fillId="0" fontId="6" numFmtId="0" xfId="0" applyBorder="1" applyFont="1"/>
    <xf borderId="6" fillId="2" fontId="5" numFmtId="0" xfId="0" applyAlignment="1" applyBorder="1" applyFont="1">
      <alignment vertical="bottom"/>
    </xf>
    <xf borderId="7" fillId="2" fontId="5" numFmtId="0" xfId="0" applyBorder="1" applyFont="1"/>
    <xf borderId="8" fillId="2" fontId="5" numFmtId="0" xfId="0" applyAlignment="1" applyBorder="1" applyFont="1">
      <alignment horizontal="center" shrinkToFit="0" wrapText="1"/>
    </xf>
    <xf borderId="8" fillId="2" fontId="5" numFmtId="0" xfId="0" applyAlignment="1" applyBorder="1" applyFont="1">
      <alignment horizontal="center" readingOrder="0" shrinkToFit="0" wrapText="1"/>
    </xf>
    <xf borderId="9" fillId="2" fontId="5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2" fontId="5" numFmtId="0" xfId="0" applyFont="1"/>
    <xf borderId="7" fillId="2" fontId="4" numFmtId="0" xfId="0" applyAlignment="1" applyBorder="1" applyFont="1">
      <alignment readingOrder="0"/>
    </xf>
    <xf borderId="13" fillId="2" fontId="5" numFmtId="0" xfId="0" applyAlignment="1" applyBorder="1" applyFont="1">
      <alignment horizontal="right" vertical="bottom"/>
    </xf>
    <xf borderId="14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8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horizontal="center" shrinkToFit="0" vertical="center" wrapText="1"/>
    </xf>
    <xf borderId="20" fillId="2" fontId="8" numFmtId="0" xfId="0" applyAlignment="1" applyBorder="1" applyFont="1">
      <alignment horizontal="center" shrinkToFit="0" vertical="center" wrapText="1"/>
    </xf>
    <xf borderId="21" fillId="2" fontId="5" numFmtId="0" xfId="0" applyAlignment="1" applyBorder="1" applyFont="1">
      <alignment vertical="bottom"/>
    </xf>
    <xf borderId="0" fillId="3" fontId="2" numFmtId="0" xfId="0" applyAlignment="1" applyFill="1" applyFont="1">
      <alignment horizontal="right" readingOrder="0"/>
    </xf>
    <xf borderId="0" fillId="3" fontId="2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readingOrder="0"/>
    </xf>
    <xf borderId="0" fillId="0" fontId="3" numFmtId="0" xfId="0" applyFont="1"/>
    <xf borderId="0" fillId="3" fontId="2" numFmtId="0" xfId="0" applyFont="1"/>
    <xf borderId="0" fillId="0" fontId="4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4" fillId="0" fontId="4" numFmtId="0" xfId="0" applyBorder="1" applyFont="1"/>
    <xf borderId="5" fillId="0" fontId="4" numFmtId="0" xfId="0" applyBorder="1" applyFont="1"/>
    <xf borderId="2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9" numFmtId="0" xfId="0" applyFont="1"/>
    <xf borderId="2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0" fillId="0" fontId="4" numFmtId="0" xfId="0" applyAlignment="1" applyFont="1">
      <alignment horizontal="center" vertical="center"/>
    </xf>
    <xf borderId="22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164" xfId="0" applyAlignment="1" applyBorder="1" applyFont="1" applyNumberForma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5" fillId="3" fontId="10" numFmtId="0" xfId="0" applyBorder="1" applyFont="1"/>
    <xf borderId="25" fillId="3" fontId="10" numFmtId="0" xfId="0" applyBorder="1" applyFont="1"/>
    <xf borderId="0" fillId="3" fontId="11" numFmtId="0" xfId="0" applyAlignment="1" applyFont="1">
      <alignment horizontal="left" readingOrder="0"/>
    </xf>
    <xf borderId="29" fillId="3" fontId="10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left" readingOrder="0"/>
    </xf>
    <xf borderId="0" fillId="4" fontId="1" numFmtId="164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 shrinkToFit="0" wrapText="0"/>
    </xf>
    <xf borderId="0" fillId="4" fontId="12" numFmtId="0" xfId="0" applyAlignment="1" applyFont="1">
      <alignment horizontal="center" shrinkToFit="0" vertical="bottom" wrapText="1"/>
    </xf>
    <xf borderId="0" fillId="5" fontId="4" numFmtId="0" xfId="0" applyAlignment="1" applyFill="1" applyFont="1">
      <alignment readingOrder="0"/>
    </xf>
    <xf borderId="0" fillId="5" fontId="13" numFmtId="0" xfId="0" applyAlignment="1" applyFont="1">
      <alignment horizontal="left" readingOrder="0" vertical="center"/>
    </xf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horizontal="right" readingOrder="0" vertical="bottom"/>
    </xf>
    <xf borderId="0" fillId="5" fontId="5" numFmtId="14" xfId="0" applyAlignment="1" applyFont="1" applyNumberFormat="1">
      <alignment horizontal="right" vertical="bottom"/>
    </xf>
    <xf borderId="0" fillId="5" fontId="4" numFmtId="0" xfId="0" applyAlignment="1" applyFont="1">
      <alignment readingOrder="0" shrinkToFit="0" wrapText="0"/>
    </xf>
    <xf borderId="0" fillId="5" fontId="4" numFmtId="0" xfId="0" applyAlignment="1" applyFont="1">
      <alignment readingOrder="0"/>
    </xf>
    <xf borderId="0" fillId="6" fontId="14" numFmtId="0" xfId="0" applyAlignment="1" applyFill="1" applyFont="1">
      <alignment readingOrder="0" shrinkToFit="0" vertical="bottom" wrapText="0"/>
    </xf>
    <xf borderId="0" fillId="6" fontId="4" numFmtId="0" xfId="0" applyAlignment="1" applyFont="1">
      <alignment readingOrder="0"/>
    </xf>
    <xf borderId="0" fillId="6" fontId="13" numFmtId="0" xfId="0" applyAlignment="1" applyFont="1">
      <alignment horizontal="left" readingOrder="0" vertical="center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horizontal="right" readingOrder="0" vertical="bottom"/>
    </xf>
    <xf borderId="0" fillId="6" fontId="5" numFmtId="14" xfId="0" applyAlignment="1" applyFont="1" applyNumberFormat="1">
      <alignment horizontal="right" vertical="bottom"/>
    </xf>
    <xf borderId="0" fillId="6" fontId="4" numFmtId="0" xfId="0" applyAlignment="1" applyFont="1">
      <alignment readingOrder="0" shrinkToFit="0" wrapText="0"/>
    </xf>
    <xf borderId="0" fillId="6" fontId="4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6" fontId="15" numFmtId="0" xfId="0" applyAlignment="1" applyFont="1">
      <alignment horizontal="left" readingOrder="0"/>
    </xf>
    <xf borderId="0" fillId="5" fontId="4" numFmtId="0" xfId="0" applyFont="1"/>
    <xf borderId="0" fillId="5" fontId="4" numFmtId="166" xfId="0" applyAlignment="1" applyFont="1" applyNumberFormat="1">
      <alignment horizontal="right"/>
    </xf>
    <xf borderId="0" fillId="6" fontId="4" numFmtId="0" xfId="0" applyAlignment="1" applyFont="1">
      <alignment horizontal="right" readingOrder="0"/>
    </xf>
    <xf borderId="0" fillId="6" fontId="4" numFmtId="166" xfId="0" applyAlignment="1" applyFont="1" applyNumberFormat="1">
      <alignment horizontal="right"/>
    </xf>
    <xf borderId="0" fillId="5" fontId="4" numFmtId="0" xfId="0" applyAlignment="1" applyFont="1">
      <alignment horizontal="right" readingOrder="0"/>
    </xf>
    <xf borderId="0" fillId="5" fontId="4" numFmtId="164" xfId="0" applyAlignment="1" applyFont="1" applyNumberFormat="1">
      <alignment horizontal="right"/>
    </xf>
    <xf borderId="0" fillId="6" fontId="4" numFmtId="164" xfId="0" applyAlignment="1" applyFont="1" applyNumberFormat="1">
      <alignment horizontal="right"/>
    </xf>
    <xf borderId="0" fillId="5" fontId="16" numFmtId="0" xfId="0" applyAlignment="1" applyFont="1">
      <alignment horizontal="left" readingOrder="0"/>
    </xf>
    <xf borderId="0" fillId="6" fontId="16" numFmtId="0" xfId="0" applyAlignment="1" applyFont="1">
      <alignment horizontal="left" readingOrder="0"/>
    </xf>
    <xf borderId="0" fillId="5" fontId="4" numFmtId="14" xfId="0" applyAlignment="1" applyFont="1" applyNumberFormat="1">
      <alignment readingOrder="0"/>
    </xf>
    <xf borderId="0" fillId="6" fontId="13" numFmtId="0" xfId="0" applyAlignment="1" applyFont="1">
      <alignment horizontal="left" readingOrder="0" shrinkToFit="0" vertical="center" wrapText="0"/>
    </xf>
    <xf borderId="0" fillId="5" fontId="15" numFmtId="0" xfId="0" applyAlignment="1" applyFont="1">
      <alignment horizontal="left" readingOrder="0"/>
    </xf>
    <xf borderId="0" fillId="5" fontId="5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166" xfId="0" applyAlignment="1" applyFont="1" applyNumberFormat="1">
      <alignment vertical="bottom"/>
    </xf>
    <xf borderId="0" fillId="6" fontId="5" numFmtId="0" xfId="0" applyAlignment="1" applyFont="1">
      <alignment horizontal="right" vertical="bottom"/>
    </xf>
    <xf borderId="0" fillId="5" fontId="17" numFmtId="0" xfId="0" applyAlignment="1" applyFont="1">
      <alignment vertical="bottom"/>
    </xf>
    <xf borderId="0" fillId="5" fontId="5" numFmtId="0" xfId="0" applyAlignment="1" applyFont="1">
      <alignment horizontal="right" vertical="bottom"/>
    </xf>
    <xf borderId="0" fillId="5" fontId="13" numFmtId="0" xfId="0" applyAlignment="1" applyFont="1">
      <alignment vertical="bottom"/>
    </xf>
    <xf borderId="0" fillId="5" fontId="5" numFmtId="0" xfId="0" applyAlignment="1" applyFont="1">
      <alignment vertical="bottom"/>
    </xf>
    <xf borderId="33" fillId="5" fontId="5" numFmtId="0" xfId="0" applyAlignment="1" applyBorder="1" applyFont="1">
      <alignment shrinkToFit="0" vertical="bottom" wrapText="0"/>
    </xf>
    <xf borderId="0" fillId="5" fontId="5" numFmtId="164" xfId="0" applyAlignment="1" applyFont="1" applyNumberFormat="1">
      <alignment vertical="bottom"/>
    </xf>
    <xf borderId="0" fillId="5" fontId="5" numFmtId="166" xfId="0" applyAlignment="1" applyFont="1" applyNumberFormat="1">
      <alignment vertical="bottom"/>
    </xf>
    <xf borderId="33" fillId="6" fontId="5" numFmtId="0" xfId="0" applyAlignment="1" applyBorder="1" applyFont="1">
      <alignment readingOrder="0" shrinkToFit="0" vertical="bottom" wrapText="0"/>
    </xf>
    <xf borderId="0" fillId="6" fontId="5" numFmtId="164" xfId="0" applyAlignment="1" applyFont="1" applyNumberFormat="1">
      <alignment vertical="bottom"/>
    </xf>
    <xf borderId="0" fillId="6" fontId="5" numFmtId="166" xfId="0" applyAlignment="1" applyFont="1" applyNumberFormat="1">
      <alignment vertical="bottom"/>
    </xf>
    <xf borderId="33" fillId="6" fontId="5" numFmtId="0" xfId="0" applyAlignment="1" applyBorder="1" applyFont="1">
      <alignment shrinkToFit="0" vertical="bottom" wrapText="0"/>
    </xf>
    <xf borderId="33" fillId="5" fontId="5" numFmtId="166" xfId="0" applyAlignment="1" applyBorder="1" applyFont="1" applyNumberFormat="1">
      <alignment vertical="bottom"/>
    </xf>
    <xf borderId="33" fillId="6" fontId="13" numFmtId="166" xfId="0" applyAlignment="1" applyBorder="1" applyFont="1" applyNumberFormat="1">
      <alignment vertical="bottom"/>
    </xf>
    <xf borderId="33" fillId="6" fontId="13" numFmtId="166" xfId="0" applyAlignment="1" applyBorder="1" applyFont="1" applyNumberFormat="1">
      <alignment shrinkToFit="0" vertical="bottom" wrapText="0"/>
    </xf>
    <xf borderId="0" fillId="6" fontId="5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5" fontId="5" numFmtId="0" xfId="0" applyAlignment="1" applyFont="1">
      <alignment horizontal="right" vertical="bottom"/>
    </xf>
    <xf borderId="33" fillId="6" fontId="13" numFmtId="0" xfId="0" applyAlignment="1" applyBorder="1" applyFont="1">
      <alignment horizontal="left" readingOrder="0" vertical="center"/>
    </xf>
    <xf borderId="0" fillId="6" fontId="4" numFmtId="0" xfId="0" applyFont="1"/>
    <xf borderId="0" fillId="6" fontId="4" numFmtId="0" xfId="0" applyAlignment="1" applyFont="1">
      <alignment horizontal="right"/>
    </xf>
    <xf borderId="0" fillId="6" fontId="4" numFmtId="166" xfId="0" applyAlignment="1" applyFont="1" applyNumberFormat="1">
      <alignment horizontal="right" shrinkToFit="0" wrapText="0"/>
    </xf>
    <xf borderId="33" fillId="5" fontId="13" numFmtId="0" xfId="0" applyAlignment="1" applyBorder="1" applyFont="1">
      <alignment horizontal="left" readingOrder="0" vertical="center"/>
    </xf>
    <xf borderId="0" fillId="5" fontId="4" numFmtId="0" xfId="0" applyFont="1"/>
    <xf borderId="0" fillId="5" fontId="4" numFmtId="0" xfId="0" applyAlignment="1" applyFont="1">
      <alignment horizontal="right"/>
    </xf>
    <xf borderId="0" fillId="5" fontId="4" numFmtId="166" xfId="0" applyAlignment="1" applyFont="1" applyNumberFormat="1">
      <alignment horizontal="right" shrinkToFit="0" wrapText="0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34" fillId="0" fontId="13" numFmtId="0" xfId="0" applyAlignment="1" applyBorder="1" applyFont="1">
      <alignment horizontal="left" readingOrder="0" vertical="center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/>
    </xf>
    <xf borderId="0" fillId="0" fontId="4" numFmtId="166" xfId="0" applyAlignment="1" applyFont="1" applyNumberFormat="1">
      <alignment horizontal="right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33" fillId="0" fontId="13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/>
    </xf>
    <xf borderId="0" fillId="0" fontId="4" numFmtId="164" xfId="0" applyFont="1" applyNumberFormat="1"/>
    <xf borderId="0" fillId="0" fontId="4" numFmtId="0" xfId="0" applyAlignment="1" applyFont="1">
      <alignment shrinkToFit="0" wrapText="0"/>
    </xf>
    <xf borderId="0" fillId="0" fontId="18" numFmtId="165" xfId="0" applyAlignment="1" applyFont="1" applyNumberFormat="1">
      <alignment horizontal="right" vertical="center"/>
    </xf>
    <xf borderId="0" fillId="0" fontId="18" numFmtId="165" xfId="0" applyAlignment="1" applyFont="1" applyNumberFormat="1">
      <alignment horizontal="center" vertical="center"/>
    </xf>
    <xf borderId="35" fillId="0" fontId="19" numFmtId="165" xfId="0" applyAlignment="1" applyBorder="1" applyFont="1" applyNumberFormat="1">
      <alignment horizontal="right" readingOrder="0" vertical="center"/>
    </xf>
    <xf borderId="35" fillId="0" fontId="6" numFmtId="0" xfId="0" applyBorder="1" applyFont="1"/>
    <xf borderId="35" fillId="0" fontId="19" numFmtId="165" xfId="0" applyAlignment="1" applyBorder="1" applyFont="1" applyNumberFormat="1">
      <alignment horizontal="center" readingOrder="0" vertical="center"/>
    </xf>
    <xf borderId="35" fillId="0" fontId="19" numFmtId="167" xfId="0" applyAlignment="1" applyBorder="1" applyFont="1" applyNumberFormat="1">
      <alignment horizontal="center" readingOrder="0" vertical="center"/>
    </xf>
    <xf borderId="35" fillId="0" fontId="19" numFmtId="164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0" fillId="0" fontId="19" numFmtId="165" xfId="0" applyAlignment="1" applyFont="1" applyNumberFormat="1">
      <alignment horizontal="center" readingOrder="0" vertical="center"/>
    </xf>
    <xf borderId="0" fillId="0" fontId="20" numFmtId="165" xfId="0" applyAlignment="1" applyFont="1" applyNumberFormat="1">
      <alignment horizontal="center" readingOrder="0" vertical="center"/>
    </xf>
    <xf borderId="0" fillId="0" fontId="19" numFmtId="165" xfId="0" applyAlignment="1" applyFont="1" applyNumberFormat="1">
      <alignment horizontal="center" vertical="center"/>
    </xf>
    <xf borderId="0" fillId="0" fontId="0" numFmtId="165" xfId="0" applyAlignment="1" applyFont="1" applyNumberFormat="1">
      <alignment horizontal="right" shrinkToFit="0" vertical="center" wrapText="1"/>
    </xf>
    <xf borderId="36" fillId="0" fontId="9" numFmtId="165" xfId="0" applyAlignment="1" applyBorder="1" applyFont="1" applyNumberFormat="1">
      <alignment horizontal="center" shrinkToFit="0" vertical="center" wrapText="1"/>
    </xf>
    <xf borderId="37" fillId="0" fontId="6" numFmtId="0" xfId="0" applyBorder="1" applyFont="1"/>
    <xf borderId="38" fillId="0" fontId="6" numFmtId="0" xfId="0" applyBorder="1" applyFont="1"/>
    <xf borderId="37" fillId="0" fontId="9" numFmtId="165" xfId="0" applyAlignment="1" applyBorder="1" applyFont="1" applyNumberFormat="1">
      <alignment horizontal="center" shrinkToFit="0" vertical="center" wrapText="1"/>
    </xf>
    <xf borderId="36" fillId="0" fontId="9" numFmtId="165" xfId="0" applyAlignment="1" applyBorder="1" applyFont="1" applyNumberFormat="1">
      <alignment horizontal="center" readingOrder="0" shrinkToFit="0" vertical="center" wrapText="1"/>
    </xf>
    <xf borderId="39" fillId="0" fontId="9" numFmtId="165" xfId="0" applyAlignment="1" applyBorder="1" applyFont="1" applyNumberFormat="1">
      <alignment horizontal="center" readingOrder="0" shrinkToFit="0" vertical="center" wrapText="1"/>
    </xf>
    <xf borderId="36" fillId="3" fontId="21" numFmtId="165" xfId="0" applyAlignment="1" applyBorder="1" applyFont="1" applyNumberFormat="1">
      <alignment horizontal="center" readingOrder="0" vertical="center"/>
    </xf>
    <xf borderId="40" fillId="0" fontId="6" numFmtId="0" xfId="0" applyBorder="1" applyFont="1"/>
    <xf borderId="0" fillId="0" fontId="9" numFmtId="165" xfId="0" applyAlignment="1" applyFont="1" applyNumberFormat="1">
      <alignment horizontal="center" shrinkToFit="0" vertical="center" wrapText="1"/>
    </xf>
    <xf borderId="0" fillId="0" fontId="22" numFmtId="165" xfId="0" applyAlignment="1" applyFont="1" applyNumberFormat="1">
      <alignment horizontal="right" readingOrder="0" vertical="center"/>
    </xf>
    <xf borderId="41" fillId="0" fontId="7" numFmtId="165" xfId="0" applyAlignment="1" applyBorder="1" applyFont="1" applyNumberFormat="1">
      <alignment horizontal="center" shrinkToFit="1" vertical="center" wrapText="0"/>
    </xf>
    <xf borderId="34" fillId="0" fontId="7" numFmtId="165" xfId="0" applyAlignment="1" applyBorder="1" applyFont="1" applyNumberFormat="1">
      <alignment horizontal="center" shrinkToFit="1" vertical="center" wrapText="0"/>
    </xf>
    <xf borderId="33" fillId="0" fontId="7" numFmtId="165" xfId="0" applyAlignment="1" applyBorder="1" applyFont="1" applyNumberFormat="1">
      <alignment horizontal="center" shrinkToFit="1" vertical="center" wrapText="0"/>
    </xf>
    <xf borderId="33" fillId="0" fontId="7" numFmtId="165" xfId="0" applyAlignment="1" applyBorder="1" applyFont="1" applyNumberFormat="1">
      <alignment horizontal="center" readingOrder="0" shrinkToFit="1" vertical="center" wrapText="0"/>
    </xf>
    <xf borderId="33" fillId="0" fontId="7" numFmtId="165" xfId="0" applyAlignment="1" applyBorder="1" applyFont="1" applyNumberFormat="1">
      <alignment horizontal="center" vertical="center"/>
    </xf>
    <xf borderId="42" fillId="0" fontId="7" numFmtId="165" xfId="0" applyAlignment="1" applyBorder="1" applyFont="1" applyNumberFormat="1">
      <alignment horizontal="center" vertical="center"/>
    </xf>
    <xf borderId="43" fillId="0" fontId="7" numFmtId="165" xfId="0" applyAlignment="1" applyBorder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vertical="center"/>
    </xf>
    <xf borderId="0" fillId="0" fontId="4" numFmtId="165" xfId="0" applyFont="1" applyNumberFormat="1"/>
    <xf borderId="0" fillId="0" fontId="23" numFmtId="165" xfId="0" applyAlignment="1" applyFont="1" applyNumberFormat="1">
      <alignment horizontal="right" readingOrder="0" shrinkToFit="0" vertical="center" wrapText="1"/>
    </xf>
    <xf borderId="44" fillId="0" fontId="24" numFmtId="165" xfId="0" applyAlignment="1" applyBorder="1" applyFont="1" applyNumberFormat="1">
      <alignment horizontal="center" vertical="center"/>
    </xf>
    <xf borderId="33" fillId="0" fontId="24" numFmtId="165" xfId="0" applyAlignment="1" applyBorder="1" applyFont="1" applyNumberFormat="1">
      <alignment horizontal="center" vertical="center"/>
    </xf>
    <xf borderId="42" fillId="0" fontId="24" numFmtId="165" xfId="0" applyAlignment="1" applyBorder="1" applyFont="1" applyNumberFormat="1">
      <alignment horizontal="center" vertical="center"/>
    </xf>
    <xf borderId="43" fillId="0" fontId="24" numFmtId="165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23" numFmtId="165" xfId="0" applyAlignment="1" applyFont="1" applyNumberFormat="1">
      <alignment horizontal="right" readingOrder="0" vertical="center"/>
    </xf>
    <xf borderId="45" fillId="0" fontId="24" numFmtId="165" xfId="0" applyAlignment="1" applyBorder="1" applyFont="1" applyNumberFormat="1">
      <alignment horizontal="center" vertical="center"/>
    </xf>
    <xf borderId="46" fillId="0" fontId="24" numFmtId="165" xfId="0" applyAlignment="1" applyBorder="1" applyFont="1" applyNumberFormat="1">
      <alignment horizontal="center" vertical="center"/>
    </xf>
    <xf borderId="47" fillId="0" fontId="24" numFmtId="165" xfId="0" applyAlignment="1" applyBorder="1" applyFont="1" applyNumberFormat="1">
      <alignment horizontal="center" vertical="center"/>
    </xf>
    <xf borderId="48" fillId="0" fontId="24" numFmtId="165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horizontal="right" vertical="center"/>
    </xf>
    <xf borderId="0" fillId="0" fontId="22" numFmtId="165" xfId="0" applyAlignment="1" applyFont="1" applyNumberFormat="1">
      <alignment horizontal="center" vertical="center"/>
    </xf>
    <xf borderId="0" fillId="0" fontId="25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left" readingOrder="0" vertical="center"/>
    </xf>
    <xf borderId="0" fillId="0" fontId="9" numFmtId="165" xfId="0" applyAlignment="1" applyFont="1" applyNumberFormat="1">
      <alignment horizontal="center" vertical="center"/>
    </xf>
    <xf borderId="0" fillId="0" fontId="23" numFmtId="165" xfId="0" applyAlignment="1" applyFont="1" applyNumberFormat="1">
      <alignment horizontal="right" shrinkToFit="0" vertical="center" wrapText="1"/>
    </xf>
    <xf borderId="49" fillId="0" fontId="9" numFmtId="165" xfId="0" applyAlignment="1" applyBorder="1" applyFont="1" applyNumberFormat="1">
      <alignment horizontal="center" shrinkToFit="0" vertical="center" wrapText="1"/>
    </xf>
    <xf borderId="36" fillId="3" fontId="21" numFmtId="165" xfId="0" applyAlignment="1" applyBorder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44" fillId="0" fontId="26" numFmtId="165" xfId="0" applyAlignment="1" applyBorder="1" applyFont="1" applyNumberFormat="1">
      <alignment horizontal="center" shrinkToFit="0" vertical="center" wrapText="1"/>
    </xf>
    <xf borderId="33" fillId="0" fontId="26" numFmtId="165" xfId="0" applyAlignment="1" applyBorder="1" applyFont="1" applyNumberFormat="1">
      <alignment horizontal="center" shrinkToFit="0" vertical="center" wrapText="1"/>
    </xf>
    <xf borderId="43" fillId="0" fontId="26" numFmtId="165" xfId="0" applyAlignment="1" applyBorder="1" applyFont="1" applyNumberFormat="1">
      <alignment horizontal="center" shrinkToFit="0" vertical="center" wrapText="1"/>
    </xf>
    <xf borderId="0" fillId="0" fontId="26" numFmtId="165" xfId="0" applyAlignment="1" applyFont="1" applyNumberFormat="1">
      <alignment horizontal="center" shrinkToFit="0" vertical="center" wrapText="1"/>
    </xf>
    <xf borderId="0" fillId="3" fontId="27" numFmtId="165" xfId="0" applyAlignment="1" applyFont="1" applyNumberFormat="1">
      <alignment horizontal="right" readingOrder="0" vertical="center"/>
    </xf>
    <xf borderId="50" fillId="0" fontId="24" numFmtId="168" xfId="0" applyAlignment="1" applyBorder="1" applyFont="1" applyNumberFormat="1">
      <alignment horizontal="center" readingOrder="0" vertical="center"/>
    </xf>
    <xf borderId="51" fillId="0" fontId="6" numFmtId="0" xfId="0" applyBorder="1" applyFont="1"/>
    <xf borderId="52" fillId="0" fontId="6" numFmtId="0" xfId="0" applyBorder="1" applyFont="1"/>
    <xf borderId="0" fillId="0" fontId="9" numFmtId="165" xfId="0" applyAlignment="1" applyFont="1" applyNumberFormat="1">
      <alignment horizontal="center" readingOrder="0" vertical="center"/>
    </xf>
    <xf borderId="0" fillId="0" fontId="28" numFmtId="165" xfId="0" applyAlignment="1" applyFont="1" applyNumberFormat="1">
      <alignment readingOrder="0"/>
    </xf>
    <xf borderId="0" fillId="0" fontId="29" numFmtId="165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right" shrinkToFit="0" textRotation="90" vertical="center" wrapText="1"/>
    </xf>
    <xf borderId="53" fillId="0" fontId="7" numFmtId="165" xfId="0" applyAlignment="1" applyBorder="1" applyFont="1" applyNumberFormat="1">
      <alignment horizontal="center" shrinkToFit="0" vertical="center" wrapText="1"/>
    </xf>
    <xf borderId="39" fillId="0" fontId="7" numFmtId="165" xfId="0" applyAlignment="1" applyBorder="1" applyFont="1" applyNumberFormat="1">
      <alignment horizontal="center" shrinkToFit="0" vertical="center" wrapText="1"/>
    </xf>
    <xf borderId="39" fillId="0" fontId="7" numFmtId="165" xfId="0" applyAlignment="1" applyBorder="1" applyFont="1" applyNumberFormat="1">
      <alignment horizontal="center" readingOrder="0" shrinkToFit="0" vertical="center" wrapText="1"/>
    </xf>
    <xf borderId="54" fillId="0" fontId="7" numFmtId="165" xfId="0" applyAlignment="1" applyBorder="1" applyFont="1" applyNumberFormat="1">
      <alignment horizontal="center" readingOrder="0" shrinkToFit="0" vertical="center" wrapText="1"/>
    </xf>
    <xf borderId="0" fillId="0" fontId="30" numFmtId="165" xfId="0" applyAlignment="1" applyFont="1" applyNumberFormat="1">
      <alignment horizontal="center" shrinkToFit="0" vertical="center" wrapText="1"/>
    </xf>
    <xf borderId="0" fillId="0" fontId="31" numFmtId="165" xfId="0" applyAlignment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44" fillId="0" fontId="26" numFmtId="165" xfId="0" applyAlignment="1" applyBorder="1" applyFont="1" applyNumberFormat="1">
      <alignment horizontal="center" vertical="center"/>
    </xf>
    <xf borderId="33" fillId="0" fontId="32" numFmtId="165" xfId="0" applyAlignment="1" applyBorder="1" applyFont="1" applyNumberFormat="1">
      <alignment horizontal="center" vertical="center"/>
    </xf>
    <xf borderId="33" fillId="0" fontId="26" numFmtId="165" xfId="0" applyAlignment="1" applyBorder="1" applyFont="1" applyNumberFormat="1">
      <alignment horizontal="center" vertical="center"/>
    </xf>
    <xf borderId="43" fillId="0" fontId="32" numFmtId="165" xfId="0" applyAlignment="1" applyBorder="1" applyFont="1" applyNumberFormat="1">
      <alignment horizontal="center" vertical="center"/>
    </xf>
    <xf borderId="0" fillId="0" fontId="33" numFmtId="165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right" readingOrder="0" shrinkToFit="0" vertical="center" wrapText="1"/>
    </xf>
    <xf borderId="55" fillId="0" fontId="24" numFmtId="165" xfId="0" applyAlignment="1" applyBorder="1" applyFont="1" applyNumberFormat="1">
      <alignment horizontal="center" vertical="center"/>
    </xf>
    <xf borderId="56" fillId="0" fontId="6" numFmtId="0" xfId="0" applyBorder="1" applyFont="1"/>
    <xf borderId="57" fillId="0" fontId="6" numFmtId="0" xfId="0" applyBorder="1" applyFont="1"/>
    <xf borderId="0" fillId="0" fontId="34" numFmtId="165" xfId="0" applyAlignment="1" applyFont="1" applyNumberFormat="1">
      <alignment horizontal="center" readingOrder="0" vertical="center"/>
    </xf>
    <xf borderId="0" fillId="0" fontId="34" numFmtId="165" xfId="0" applyAlignment="1" applyFont="1" applyNumberFormat="1">
      <alignment horizontal="center" vertical="center"/>
    </xf>
    <xf borderId="0" fillId="0" fontId="35" numFmtId="165" xfId="0" applyAlignment="1" applyFont="1" applyNumberFormat="1">
      <alignment horizontal="right" shrinkToFit="0" vertical="center" wrapText="1"/>
    </xf>
    <xf borderId="49" fillId="0" fontId="9" numFmtId="165" xfId="0" applyAlignment="1" applyBorder="1" applyFont="1" applyNumberFormat="1">
      <alignment horizontal="center" vertical="center"/>
    </xf>
    <xf borderId="36" fillId="0" fontId="9" numFmtId="165" xfId="0" applyAlignment="1" applyBorder="1" applyFont="1" applyNumberFormat="1">
      <alignment horizontal="center" readingOrder="0" vertical="center"/>
    </xf>
    <xf borderId="44" fillId="0" fontId="29" numFmtId="165" xfId="0" applyAlignment="1" applyBorder="1" applyFont="1" applyNumberFormat="1">
      <alignment horizontal="center" vertical="center"/>
    </xf>
    <xf borderId="33" fillId="0" fontId="29" numFmtId="165" xfId="0" applyAlignment="1" applyBorder="1" applyFont="1" applyNumberFormat="1">
      <alignment horizontal="center" vertical="center"/>
    </xf>
    <xf borderId="43" fillId="0" fontId="29" numFmtId="165" xfId="0" applyAlignment="1" applyBorder="1" applyFont="1" applyNumberForma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horizontal="left" readingOrder="0" vertical="center"/>
    </xf>
    <xf borderId="0" fillId="0" fontId="21" numFmtId="165" xfId="0" applyAlignment="1" applyFont="1" applyNumberFormat="1">
      <alignment horizontal="center" vertical="center"/>
    </xf>
    <xf borderId="58" fillId="0" fontId="9" numFmtId="165" xfId="0" applyAlignment="1" applyBorder="1" applyFont="1" applyNumberFormat="1">
      <alignment horizontal="center" vertical="center"/>
    </xf>
    <xf borderId="59" fillId="0" fontId="9" numFmtId="165" xfId="0" applyAlignment="1" applyBorder="1" applyFont="1" applyNumberFormat="1">
      <alignment horizontal="center" vertical="center"/>
    </xf>
    <xf borderId="59" fillId="0" fontId="9" numFmtId="165" xfId="0" applyAlignment="1" applyBorder="1" applyFont="1" applyNumberFormat="1">
      <alignment horizontal="center" readingOrder="0" shrinkToFit="0" vertical="center" wrapText="1"/>
    </xf>
    <xf borderId="60" fillId="0" fontId="9" numFmtId="165" xfId="0" applyAlignment="1" applyBorder="1" applyFont="1" applyNumberFormat="1">
      <alignment horizontal="center" readingOrder="0" shrinkToFit="0" vertical="center" wrapText="1"/>
    </xf>
    <xf borderId="53" fillId="0" fontId="9" numFmtId="165" xfId="0" applyAlignment="1" applyBorder="1" applyFont="1" applyNumberFormat="1">
      <alignment horizontal="center" readingOrder="0" shrinkToFit="0" vertical="center" wrapText="1"/>
    </xf>
    <xf borderId="39" fillId="0" fontId="9" numFmtId="165" xfId="0" applyAlignment="1" applyBorder="1" applyFont="1" applyNumberFormat="1">
      <alignment horizontal="center" vertical="center"/>
    </xf>
    <xf borderId="60" fillId="0" fontId="21" numFmtId="165" xfId="0" applyAlignment="1" applyBorder="1" applyFont="1" applyNumberFormat="1">
      <alignment horizontal="center" shrinkToFit="0" vertical="center" wrapText="1"/>
    </xf>
    <xf borderId="0" fillId="0" fontId="21" numFmtId="165" xfId="0" applyAlignment="1" applyFont="1" applyNumberFormat="1">
      <alignment horizontal="center" shrinkToFit="0" vertical="center" wrapText="1"/>
    </xf>
    <xf borderId="53" fillId="0" fontId="9" numFmtId="165" xfId="0" applyAlignment="1" applyBorder="1" applyFont="1" applyNumberFormat="1">
      <alignment horizontal="center" readingOrder="0" vertical="center"/>
    </xf>
    <xf borderId="39" fillId="0" fontId="9" numFmtId="165" xfId="0" applyAlignment="1" applyBorder="1" applyFont="1" applyNumberFormat="1">
      <alignment horizontal="center" readingOrder="0" vertical="center"/>
    </xf>
    <xf borderId="60" fillId="0" fontId="21" numFmtId="165" xfId="0" applyAlignment="1" applyBorder="1" applyFont="1" applyNumberFormat="1">
      <alignment horizontal="center" readingOrder="0" vertical="center"/>
    </xf>
    <xf borderId="0" fillId="0" fontId="37" numFmtId="165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right" shrinkToFit="0" vertical="center" wrapText="1"/>
    </xf>
    <xf borderId="41" fillId="0" fontId="6" numFmtId="0" xfId="0" applyBorder="1" applyFont="1"/>
    <xf borderId="34" fillId="0" fontId="6" numFmtId="0" xfId="0" applyBorder="1" applyFont="1"/>
    <xf borderId="61" fillId="0" fontId="6" numFmtId="0" xfId="0" applyBorder="1" applyFont="1"/>
    <xf borderId="55" fillId="0" fontId="29" numFmtId="165" xfId="0" applyAlignment="1" applyBorder="1" applyFont="1" applyNumberFormat="1">
      <alignment horizontal="center" vertical="center"/>
    </xf>
    <xf borderId="42" fillId="0" fontId="29" numFmtId="165" xfId="0" applyAlignment="1" applyBorder="1" applyFont="1" applyNumberFormat="1">
      <alignment horizontal="center" vertical="center"/>
    </xf>
    <xf borderId="0" fillId="0" fontId="38" numFmtId="165" xfId="0" applyAlignment="1" applyFont="1" applyNumberFormat="1">
      <alignment horizontal="center" shrinkToFit="0" vertical="center" wrapText="1"/>
    </xf>
    <xf borderId="0" fillId="0" fontId="39" numFmtId="165" xfId="0" applyAlignment="1" applyFont="1" applyNumberFormat="1">
      <alignment horizontal="center" shrinkToFit="0" vertical="center" wrapText="1"/>
    </xf>
    <xf borderId="0" fillId="0" fontId="21" numFmtId="165" xfId="0" applyAlignment="1" applyFont="1" applyNumberFormat="1">
      <alignment horizontal="center" readingOrder="0" vertical="center"/>
    </xf>
    <xf borderId="0" fillId="0" fontId="28" numFmtId="165" xfId="0" applyAlignment="1" applyFont="1" applyNumberFormat="1">
      <alignment horizontal="center" vertical="center"/>
    </xf>
    <xf borderId="0" fillId="0" fontId="21" numFmtId="165" xfId="0" applyAlignment="1" applyFont="1" applyNumberFormat="1">
      <alignment horizontal="left" readingOrder="0" vertical="center"/>
    </xf>
    <xf borderId="39" fillId="0" fontId="9" numFmtId="165" xfId="0" applyAlignment="1" applyBorder="1" applyFont="1" applyNumberFormat="1">
      <alignment horizontal="center" shrinkToFit="0" vertical="center" wrapText="1"/>
    </xf>
    <xf borderId="54" fillId="0" fontId="9" numFmtId="165" xfId="0" applyAlignment="1" applyBorder="1" applyFont="1" applyNumberFormat="1">
      <alignment horizontal="center" readingOrder="0" shrinkToFit="0" vertical="center" wrapText="1"/>
    </xf>
    <xf borderId="62" fillId="0" fontId="9" numFmtId="165" xfId="0" applyAlignment="1" applyBorder="1" applyFont="1" applyNumberFormat="1">
      <alignment horizontal="center" readingOrder="0" shrinkToFit="0" vertical="center" wrapText="1"/>
    </xf>
    <xf borderId="63" fillId="0" fontId="6" numFmtId="0" xfId="0" applyBorder="1" applyFont="1"/>
    <xf borderId="64" fillId="0" fontId="6" numFmtId="0" xfId="0" applyBorder="1" applyFont="1"/>
    <xf borderId="44" fillId="0" fontId="24" numFmtId="165" xfId="0" applyAlignment="1" applyBorder="1" applyFont="1" applyNumberFormat="1">
      <alignment horizontal="center" readingOrder="0" vertical="center"/>
    </xf>
    <xf borderId="33" fillId="0" fontId="24" numFmtId="165" xfId="0" applyAlignment="1" applyBorder="1" applyFont="1" applyNumberFormat="1">
      <alignment horizontal="center" readingOrder="0" vertical="center"/>
    </xf>
    <xf borderId="43" fillId="0" fontId="24" numFmtId="165" xfId="0" applyAlignment="1" applyBorder="1" applyFont="1" applyNumberFormat="1">
      <alignment horizontal="center" readingOrder="0" vertical="center"/>
    </xf>
    <xf borderId="65" fillId="0" fontId="30" numFmtId="165" xfId="0" applyAlignment="1" applyBorder="1" applyFont="1" applyNumberFormat="1">
      <alignment horizontal="center" shrinkToFit="0" vertical="center" wrapText="1"/>
    </xf>
    <xf borderId="66" fillId="0" fontId="30" numFmtId="165" xfId="0" applyAlignment="1" applyBorder="1" applyFont="1" applyNumberFormat="1">
      <alignment horizontal="center" shrinkToFit="0" vertical="center" wrapText="1"/>
    </xf>
    <xf borderId="66" fillId="0" fontId="30" numFmtId="165" xfId="0" applyAlignment="1" applyBorder="1" applyFont="1" applyNumberFormat="1">
      <alignment horizontal="center" readingOrder="0" shrinkToFit="0" vertical="center" wrapText="1"/>
    </xf>
    <xf borderId="67" fillId="0" fontId="30" numFmtId="165" xfId="0" applyAlignment="1" applyBorder="1" applyFont="1" applyNumberFormat="1">
      <alignment horizontal="center" shrinkToFit="0" vertical="center" wrapText="1"/>
    </xf>
    <xf borderId="65" fillId="0" fontId="8" numFmtId="165" xfId="0" applyAlignment="1" applyBorder="1" applyFont="1" applyNumberFormat="1">
      <alignment horizontal="center" shrinkToFit="0" vertical="center" wrapText="1"/>
    </xf>
    <xf borderId="66" fillId="0" fontId="8" numFmtId="165" xfId="0" applyAlignment="1" applyBorder="1" applyFont="1" applyNumberFormat="1">
      <alignment horizontal="center" shrinkToFit="0" vertical="center" wrapText="1"/>
    </xf>
    <xf borderId="67" fillId="0" fontId="8" numFmtId="165" xfId="0" applyAlignment="1" applyBorder="1" applyFont="1" applyNumberFormat="1">
      <alignment horizontal="center" shrinkToFit="0" vertical="center" wrapText="1"/>
    </xf>
    <xf borderId="68" fillId="3" fontId="8" numFmtId="165" xfId="0" applyAlignment="1" applyBorder="1" applyFont="1" applyNumberFormat="1">
      <alignment horizontal="center" shrinkToFit="0" vertical="center" wrapText="1"/>
    </xf>
    <xf borderId="25" fillId="3" fontId="8" numFmtId="165" xfId="0" applyAlignment="1" applyBorder="1" applyFont="1" applyNumberFormat="1">
      <alignment horizontal="center" shrinkToFit="0" vertical="center" wrapText="1"/>
    </xf>
    <xf borderId="69" fillId="3" fontId="8" numFmtId="165" xfId="0" applyAlignment="1" applyBorder="1" applyFont="1" applyNumberFormat="1">
      <alignment horizontal="center" shrinkToFit="0" vertical="center" wrapText="1"/>
    </xf>
    <xf borderId="70" fillId="0" fontId="9" numFmtId="165" xfId="0" applyAlignment="1" applyBorder="1" applyFont="1" applyNumberFormat="1">
      <alignment horizontal="center" readingOrder="0" shrinkToFit="0" vertical="center" wrapText="1"/>
    </xf>
    <xf borderId="71" fillId="0" fontId="6" numFmtId="0" xfId="0" applyBorder="1" applyFont="1"/>
    <xf borderId="72" fillId="0" fontId="6" numFmtId="0" xfId="0" applyBorder="1" applyFont="1"/>
    <xf borderId="70" fillId="0" fontId="9" numFmtId="165" xfId="0" applyAlignment="1" applyBorder="1" applyFont="1" applyNumberFormat="1">
      <alignment horizontal="center" shrinkToFit="0" vertical="center" wrapText="1"/>
    </xf>
    <xf borderId="73" fillId="0" fontId="30" numFmtId="165" xfId="0" applyAlignment="1" applyBorder="1" applyFont="1" applyNumberFormat="1">
      <alignment horizontal="center" shrinkToFit="0" vertical="center" wrapText="1"/>
    </xf>
    <xf borderId="74" fillId="0" fontId="30" numFmtId="165" xfId="0" applyAlignment="1" applyBorder="1" applyFont="1" applyNumberFormat="1">
      <alignment horizontal="center" readingOrder="0" shrinkToFit="0" vertical="center" wrapText="1"/>
    </xf>
    <xf borderId="74" fillId="0" fontId="30" numFmtId="165" xfId="0" applyAlignment="1" applyBorder="1" applyFont="1" applyNumberFormat="1">
      <alignment horizontal="center" shrinkToFit="0" vertical="center" wrapText="1"/>
    </xf>
    <xf borderId="75" fillId="0" fontId="30" numFmtId="165" xfId="0" applyAlignment="1" applyBorder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left" shrinkToFit="0" vertical="center" wrapText="1"/>
    </xf>
    <xf borderId="76" fillId="3" fontId="8" numFmtId="165" xfId="0" applyAlignment="1" applyBorder="1" applyFont="1" applyNumberFormat="1">
      <alignment horizontal="center" shrinkToFit="0" vertical="center" wrapText="1"/>
    </xf>
    <xf borderId="77" fillId="3" fontId="8" numFmtId="165" xfId="0" applyAlignment="1" applyBorder="1" applyFont="1" applyNumberFormat="1">
      <alignment horizontal="center" shrinkToFit="0" vertical="center" wrapText="1"/>
    </xf>
    <xf borderId="78" fillId="3" fontId="8" numFmtId="165" xfId="0" applyAlignment="1" applyBorder="1" applyFont="1" applyNumberFormat="1">
      <alignment horizontal="center" shrinkToFit="0" vertical="center" wrapText="1"/>
    </xf>
    <xf borderId="0" fillId="0" fontId="30" numFmtId="165" xfId="0" applyAlignment="1" applyFont="1" applyNumberFormat="1">
      <alignment horizontal="center" readingOrder="0" shrinkToFit="0" vertical="center" wrapText="1"/>
    </xf>
    <xf borderId="0" fillId="0" fontId="26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left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79" fillId="0" fontId="7" numFmtId="165" xfId="0" applyAlignment="1" applyBorder="1" applyFont="1" applyNumberFormat="1">
      <alignment horizontal="center" shrinkToFit="0" vertical="center" wrapText="1"/>
    </xf>
    <xf borderId="80" fillId="0" fontId="7" numFmtId="165" xfId="0" applyAlignment="1" applyBorder="1" applyFont="1" applyNumberFormat="1">
      <alignment horizontal="center" shrinkToFit="0" vertical="center" wrapText="1"/>
    </xf>
    <xf borderId="81" fillId="0" fontId="7" numFmtId="165" xfId="0" applyAlignment="1" applyBorder="1" applyFont="1" applyNumberFormat="1">
      <alignment horizontal="center" shrinkToFit="0" vertical="center" wrapText="1"/>
    </xf>
    <xf borderId="82" fillId="0" fontId="28" numFmtId="165" xfId="0" applyAlignment="1" applyBorder="1" applyFont="1" applyNumberFormat="1">
      <alignment horizontal="center" shrinkToFit="0" vertical="center" wrapText="1"/>
    </xf>
    <xf borderId="33" fillId="0" fontId="28" numFmtId="165" xfId="0" applyAlignment="1" applyBorder="1" applyFont="1" applyNumberFormat="1">
      <alignment horizontal="center" shrinkToFit="0" vertical="center" wrapText="1"/>
    </xf>
    <xf borderId="83" fillId="0" fontId="28" numFmtId="165" xfId="0" applyAlignment="1" applyBorder="1" applyFont="1" applyNumberFormat="1">
      <alignment horizontal="center" shrinkToFit="0" vertical="center" wrapText="1"/>
    </xf>
    <xf borderId="0" fillId="0" fontId="23" numFmtId="165" xfId="0" applyAlignment="1" applyFont="1" applyNumberFormat="1">
      <alignment horizontal="right" vertical="center"/>
    </xf>
    <xf borderId="84" fillId="0" fontId="28" numFmtId="165" xfId="0" applyAlignment="1" applyBorder="1" applyFont="1" applyNumberFormat="1">
      <alignment horizontal="center" shrinkToFit="0" vertical="center" wrapText="1"/>
    </xf>
    <xf borderId="85" fillId="0" fontId="28" numFmtId="165" xfId="0" applyAlignment="1" applyBorder="1" applyFont="1" applyNumberFormat="1">
      <alignment horizontal="center" shrinkToFit="0" vertical="center" wrapText="1"/>
    </xf>
    <xf borderId="86" fillId="0" fontId="28" numFmtId="165" xfId="0" applyAlignment="1" applyBorder="1" applyFont="1" applyNumberFormat="1">
      <alignment horizontal="center" shrinkToFit="0" vertical="center" wrapText="1"/>
    </xf>
    <xf borderId="0" fillId="0" fontId="40" numFmtId="165" xfId="0" applyAlignment="1" applyFont="1" applyNumberFormat="1">
      <alignment horizontal="center" vertical="center"/>
    </xf>
    <xf borderId="0" fillId="0" fontId="41" numFmtId="165" xfId="0" applyAlignment="1" applyFont="1" applyNumberFormat="1">
      <alignment horizontal="center" vertical="center"/>
    </xf>
    <xf borderId="53" fillId="0" fontId="7" numFmtId="165" xfId="0" applyAlignment="1" applyBorder="1" applyFont="1" applyNumberFormat="1">
      <alignment horizontal="center" vertical="center"/>
    </xf>
    <xf borderId="39" fillId="0" fontId="7" numFmtId="165" xfId="0" applyAlignment="1" applyBorder="1" applyFont="1" applyNumberFormat="1">
      <alignment horizontal="center" vertical="center"/>
    </xf>
    <xf borderId="39" fillId="0" fontId="42" numFmtId="165" xfId="0" applyAlignment="1" applyBorder="1" applyFont="1" applyNumberFormat="1">
      <alignment horizontal="center" vertical="center"/>
    </xf>
    <xf borderId="39" fillId="0" fontId="42" numFmtId="165" xfId="0" applyAlignment="1" applyBorder="1" applyFont="1" applyNumberFormat="1">
      <alignment horizontal="center" readingOrder="0" vertical="center"/>
    </xf>
    <xf borderId="54" fillId="0" fontId="7" numFmtId="165" xfId="0" applyAlignment="1" applyBorder="1" applyFont="1" applyNumberFormat="1">
      <alignment horizontal="center" shrinkToFit="0" vertical="center" wrapText="1"/>
    </xf>
    <xf borderId="44" fillId="3" fontId="34" numFmtId="165" xfId="0" applyAlignment="1" applyBorder="1" applyFont="1" applyNumberFormat="1">
      <alignment horizontal="center" vertical="center"/>
    </xf>
    <xf borderId="42" fillId="3" fontId="43" numFmtId="165" xfId="0" applyAlignment="1" applyBorder="1" applyFont="1" applyNumberFormat="1">
      <alignment horizontal="center" vertical="center"/>
    </xf>
    <xf borderId="33" fillId="3" fontId="34" numFmtId="165" xfId="0" applyAlignment="1" applyBorder="1" applyFont="1" applyNumberFormat="1">
      <alignment horizontal="center" vertical="center"/>
    </xf>
    <xf borderId="43" fillId="3" fontId="34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44" fillId="3" fontId="24" numFmtId="165" xfId="0" applyAlignment="1" applyBorder="1" applyFont="1" applyNumberFormat="1">
      <alignment horizontal="center" vertical="center"/>
    </xf>
    <xf borderId="42" fillId="3" fontId="44" numFmtId="165" xfId="0" applyAlignment="1" applyBorder="1" applyFont="1" applyNumberFormat="1">
      <alignment horizontal="center" vertical="center"/>
    </xf>
    <xf borderId="33" fillId="3" fontId="24" numFmtId="165" xfId="0" applyAlignment="1" applyBorder="1" applyFont="1" applyNumberFormat="1">
      <alignment horizontal="center" vertical="center"/>
    </xf>
    <xf borderId="33" fillId="3" fontId="24" numFmtId="165" xfId="0" applyAlignment="1" applyBorder="1" applyFont="1" applyNumberFormat="1">
      <alignment horizontal="center" readingOrder="0" vertical="center"/>
    </xf>
    <xf borderId="33" fillId="3" fontId="45" numFmtId="165" xfId="0" applyAlignment="1" applyBorder="1" applyFont="1" applyNumberFormat="1">
      <alignment horizontal="center" vertical="center"/>
    </xf>
    <xf borderId="43" fillId="3" fontId="24" numFmtId="165" xfId="0" applyAlignment="1" applyBorder="1" applyFont="1" applyNumberFormat="1">
      <alignment horizontal="center" vertical="center"/>
    </xf>
    <xf borderId="87" fillId="3" fontId="24" numFmtId="165" xfId="0" applyAlignment="1" applyBorder="1" applyFont="1" applyNumberFormat="1">
      <alignment horizontal="center" vertical="center"/>
    </xf>
    <xf borderId="88" fillId="3" fontId="44" numFmtId="165" xfId="0" applyAlignment="1" applyBorder="1" applyFont="1" applyNumberFormat="1">
      <alignment horizontal="center" vertical="center"/>
    </xf>
    <xf borderId="89" fillId="3" fontId="24" numFmtId="165" xfId="0" applyAlignment="1" applyBorder="1" applyFont="1" applyNumberFormat="1">
      <alignment horizontal="center" vertical="center"/>
    </xf>
    <xf borderId="89" fillId="3" fontId="24" numFmtId="165" xfId="0" applyAlignment="1" applyBorder="1" applyFont="1" applyNumberFormat="1">
      <alignment horizontal="center" readingOrder="0" vertical="center"/>
    </xf>
    <xf borderId="89" fillId="3" fontId="45" numFmtId="165" xfId="0" applyAlignment="1" applyBorder="1" applyFont="1" applyNumberFormat="1">
      <alignment horizontal="center" vertical="center"/>
    </xf>
    <xf borderId="90" fillId="3" fontId="24" numFmtId="165" xfId="0" applyAlignment="1" applyBorder="1" applyFont="1" applyNumberFormat="1">
      <alignment horizontal="center" vertical="center"/>
    </xf>
    <xf borderId="91" fillId="3" fontId="45" numFmtId="165" xfId="0" applyAlignment="1" applyBorder="1" applyFont="1" applyNumberFormat="1">
      <alignment horizontal="center" vertical="center"/>
    </xf>
    <xf borderId="92" fillId="3" fontId="45" numFmtId="165" xfId="0" applyAlignment="1" applyBorder="1" applyFont="1" applyNumberFormat="1">
      <alignment horizontal="center" vertical="center"/>
    </xf>
    <xf borderId="0" fillId="0" fontId="8" numFmtId="165" xfId="0" applyAlignment="1" applyFont="1" applyNumberFormat="1">
      <alignment horizontal="right" vertical="center"/>
    </xf>
    <xf borderId="0" fillId="0" fontId="28" numFmtId="165" xfId="0" applyAlignment="1" applyFont="1" applyNumberFormat="1">
      <alignment horizontal="right" vertical="top"/>
    </xf>
    <xf borderId="0" fillId="3" fontId="46" numFmtId="165" xfId="0" applyAlignment="1" applyFont="1" applyNumberFormat="1">
      <alignment horizontal="left" readingOrder="0" vertical="top"/>
    </xf>
    <xf borderId="0" fillId="3" fontId="46" numFmtId="165" xfId="0" applyAlignment="1" applyFont="1" applyNumberFormat="1">
      <alignment horizontal="center" vertical="top"/>
    </xf>
    <xf borderId="0" fillId="0" fontId="28" numFmtId="165" xfId="0" applyAlignment="1" applyFont="1" applyNumberFormat="1">
      <alignment horizontal="center" vertical="top"/>
    </xf>
    <xf borderId="0" fillId="0" fontId="28" numFmtId="165" xfId="0" applyAlignment="1" applyFont="1" applyNumberFormat="1">
      <alignment horizontal="right" vertical="center"/>
    </xf>
    <xf borderId="0" fillId="0" fontId="8" numFmtId="165" xfId="0" applyAlignment="1" applyFont="1" applyNumberFormat="1">
      <alignment horizontal="center" readingOrder="0" vertical="center"/>
    </xf>
    <xf borderId="0" fillId="0" fontId="28" numFmtId="165" xfId="0" applyAlignment="1" applyFont="1" applyNumberFormat="1">
      <alignment horizontal="left" vertical="center"/>
    </xf>
    <xf borderId="0" fillId="0" fontId="28" numFmtId="165" xfId="0" applyFont="1" applyNumberFormat="1"/>
    <xf borderId="0" fillId="0" fontId="29" numFmtId="165" xfId="0" applyAlignment="1" applyFont="1" applyNumberFormat="1">
      <alignment horizontal="center" readingOrder="0" vertical="center"/>
    </xf>
    <xf borderId="0" fillId="0" fontId="29" numFmtId="169" xfId="0" applyAlignment="1" applyFont="1" applyNumberFormat="1">
      <alignment horizontal="center" vertical="center"/>
    </xf>
    <xf borderId="0" fillId="3" fontId="10" numFmtId="170" xfId="0" applyAlignment="1" applyFont="1" applyNumberFormat="1">
      <alignment readingOrder="0"/>
    </xf>
    <xf borderId="0" fillId="0" fontId="28" numFmtId="171" xfId="0" applyAlignment="1" applyFont="1" applyNumberFormat="1">
      <alignment horizontal="center" readingOrder="0" vertical="center"/>
    </xf>
    <xf borderId="0" fillId="0" fontId="28" numFmtId="170" xfId="0" applyAlignment="1" applyFont="1" applyNumberFormat="1">
      <alignment horizontal="center" vertical="center"/>
    </xf>
    <xf borderId="35" fillId="0" fontId="4" numFmtId="170" xfId="0" applyAlignment="1" applyBorder="1" applyFont="1" applyNumberFormat="1">
      <alignment horizontal="center" readingOrder="0" shrinkToFit="0" vertical="center" wrapText="1"/>
    </xf>
    <xf borderId="2" fillId="0" fontId="4" numFmtId="170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3" fillId="0" fontId="4" numFmtId="0" xfId="0" applyAlignment="1" applyBorder="1" applyFont="1">
      <alignment horizontal="center" readingOrder="0" shrinkToFit="0" vertical="center" wrapText="1"/>
    </xf>
    <xf borderId="94" fillId="0" fontId="4" numFmtId="0" xfId="0" applyAlignment="1" applyBorder="1" applyFont="1">
      <alignment horizontal="center" readingOrder="0" shrinkToFit="0" vertical="center" wrapText="1"/>
    </xf>
    <xf borderId="0" fillId="0" fontId="4" numFmtId="171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Font="1"/>
    <xf borderId="95" fillId="0" fontId="47" numFmtId="0" xfId="0" applyAlignment="1" applyBorder="1" applyFont="1">
      <alignment horizontal="center" readingOrder="0" vertical="top"/>
    </xf>
    <xf borderId="95" fillId="0" fontId="6" numFmtId="0" xfId="0" applyBorder="1" applyFont="1"/>
    <xf borderId="0" fillId="0" fontId="28" numFmtId="172" xfId="0" applyAlignment="1" applyFont="1" applyNumberFormat="1">
      <alignment horizontal="center" readingOrder="0"/>
    </xf>
    <xf borderId="95" fillId="0" fontId="9" numFmtId="0" xfId="0" applyBorder="1" applyFont="1"/>
    <xf borderId="0" fillId="0" fontId="7" numFmtId="165" xfId="0" applyAlignment="1" applyFont="1" applyNumberFormat="1">
      <alignment horizontal="left" readingOrder="0" vertical="center"/>
    </xf>
    <xf borderId="95" fillId="0" fontId="8" numFmtId="165" xfId="0" applyAlignment="1" applyBorder="1" applyFont="1" applyNumberFormat="1">
      <alignment horizontal="left" readingOrder="0" vertical="center"/>
    </xf>
    <xf borderId="0" fillId="0" fontId="7" numFmtId="165" xfId="0" applyAlignment="1" applyFont="1" applyNumberFormat="1">
      <alignment horizontal="left" vertical="center"/>
    </xf>
    <xf borderId="0" fillId="0" fontId="48" numFmtId="165" xfId="0" applyAlignment="1" applyFont="1" applyNumberFormat="1">
      <alignment horizontal="right" vertical="center"/>
    </xf>
    <xf borderId="95" fillId="0" fontId="42" numFmtId="173" xfId="0" applyAlignment="1" applyBorder="1" applyFont="1" applyNumberFormat="1">
      <alignment horizontal="right" vertical="center"/>
    </xf>
    <xf borderId="0" fillId="0" fontId="7" numFmtId="165" xfId="0" applyAlignment="1" applyFont="1" applyNumberFormat="1">
      <alignment horizontal="left" readingOrder="0" shrinkToFit="0" vertical="center" wrapText="1"/>
    </xf>
    <xf borderId="96" fillId="0" fontId="8" numFmtId="165" xfId="0" applyAlignment="1" applyBorder="1" applyFont="1" applyNumberFormat="1">
      <alignment horizontal="left" readingOrder="0" shrinkToFit="0" vertical="center" wrapText="1"/>
    </xf>
    <xf borderId="96" fillId="0" fontId="42" numFmtId="173" xfId="0" applyAlignment="1" applyBorder="1" applyFont="1" applyNumberFormat="1">
      <alignment horizontal="right" readingOrder="0" shrinkToFit="0" vertical="center" wrapText="1"/>
    </xf>
    <xf borderId="96" fillId="0" fontId="8" numFmtId="165" xfId="0" applyAlignment="1" applyBorder="1" applyFont="1" applyNumberFormat="1">
      <alignment horizontal="left" readingOrder="0" vertical="center"/>
    </xf>
    <xf borderId="96" fillId="0" fontId="42" numFmtId="173" xfId="0" applyAlignment="1" applyBorder="1" applyFont="1" applyNumberFormat="1">
      <alignment horizontal="right" vertical="center"/>
    </xf>
    <xf borderId="0" fillId="0" fontId="9" numFmtId="173" xfId="0" applyAlignment="1" applyFont="1" applyNumberFormat="1">
      <alignment horizontal="right" readingOrder="0" shrinkToFit="0" vertical="center" wrapText="1"/>
    </xf>
    <xf borderId="0" fillId="0" fontId="42" numFmtId="165" xfId="0" applyAlignment="1" applyFont="1" applyNumberFormat="1">
      <alignment horizontal="left" readingOrder="0" vertical="center"/>
    </xf>
    <xf borderId="0" fillId="0" fontId="42" numFmtId="173" xfId="0" applyAlignment="1" applyFont="1" applyNumberFormat="1">
      <alignment horizontal="right" vertical="center"/>
    </xf>
    <xf borderId="96" fillId="0" fontId="42" numFmtId="173" xfId="0" applyAlignment="1" applyBorder="1" applyFont="1" applyNumberFormat="1">
      <alignment horizontal="right" readingOrder="0" vertical="center"/>
    </xf>
    <xf borderId="97" fillId="0" fontId="9" numFmtId="173" xfId="0" applyAlignment="1" applyBorder="1" applyFont="1" applyNumberFormat="1">
      <alignment horizontal="right" vertical="center"/>
    </xf>
    <xf borderId="0" fillId="0" fontId="9" numFmtId="173" xfId="0" applyAlignment="1" applyFont="1" applyNumberFormat="1">
      <alignment horizontal="center" readingOrder="0" shrinkToFit="0" vertical="center" wrapText="1"/>
    </xf>
    <xf borderId="0" fillId="3" fontId="49" numFmtId="173" xfId="0" applyFont="1" applyNumberFormat="1"/>
    <xf borderId="0" fillId="0" fontId="7" numFmtId="165" xfId="0" applyAlignment="1" applyFont="1" applyNumberFormat="1">
      <alignment horizontal="right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center" shrinkToFit="0" wrapText="1"/>
    </xf>
    <xf borderId="0" fillId="0" fontId="13" numFmtId="0" xfId="0" applyAlignment="1" applyFont="1">
      <alignment horizontal="right" shrinkToFit="0" vertical="center" wrapText="1"/>
    </xf>
    <xf borderId="0" fillId="0" fontId="50" numFmtId="0" xfId="0" applyAlignment="1" applyFont="1">
      <alignment horizontal="left" shrinkToFit="0" vertical="center" wrapText="1"/>
    </xf>
    <xf borderId="0" fillId="0" fontId="51" numFmtId="0" xfId="0" applyAlignment="1" applyFont="1">
      <alignment horizontal="center" readingOrder="0" vertical="center"/>
    </xf>
    <xf borderId="0" fillId="0" fontId="52" numFmtId="164" xfId="0" applyAlignment="1" applyFont="1" applyNumberFormat="1">
      <alignment horizontal="center" readingOrder="0" vertical="center"/>
    </xf>
    <xf borderId="0" fillId="0" fontId="52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shrinkToFit="0" vertical="center" wrapText="1"/>
    </xf>
    <xf borderId="53" fillId="0" fontId="50" numFmtId="0" xfId="0" applyAlignment="1" applyBorder="1" applyFont="1">
      <alignment horizontal="right" shrinkToFit="0" vertical="center" wrapText="1"/>
    </xf>
    <xf borderId="39" fillId="0" fontId="53" numFmtId="0" xfId="0" applyAlignment="1" applyBorder="1" applyFont="1">
      <alignment horizontal="left" shrinkToFit="0" vertical="center" wrapText="1"/>
    </xf>
    <xf borderId="44" fillId="0" fontId="13" numFmtId="0" xfId="0" applyAlignment="1" applyBorder="1" applyFont="1">
      <alignment horizontal="right" vertical="center"/>
    </xf>
    <xf borderId="33" fillId="0" fontId="54" numFmtId="0" xfId="0" applyAlignment="1" applyBorder="1" applyFont="1">
      <alignment horizontal="left" readingOrder="0" vertical="center"/>
    </xf>
    <xf borderId="33" fillId="3" fontId="28" numFmtId="165" xfId="0" applyAlignment="1" applyBorder="1" applyFont="1" applyNumberFormat="1">
      <alignment horizontal="center" vertical="center"/>
    </xf>
    <xf borderId="33" fillId="3" fontId="55" numFmtId="165" xfId="0" applyAlignment="1" applyBorder="1" applyFont="1" applyNumberFormat="1">
      <alignment horizontal="center" vertical="center"/>
    </xf>
    <xf borderId="34" fillId="3" fontId="56" numFmtId="165" xfId="0" applyAlignment="1" applyBorder="1" applyFont="1" applyNumberFormat="1">
      <alignment horizontal="center" readingOrder="0" vertical="center"/>
    </xf>
    <xf borderId="34" fillId="3" fontId="28" numFmtId="165" xfId="0" applyAlignment="1" applyBorder="1" applyFont="1" applyNumberFormat="1">
      <alignment horizontal="center" vertical="center"/>
    </xf>
    <xf borderId="33" fillId="0" fontId="54" numFmtId="0" xfId="0" applyAlignment="1" applyBorder="1" applyFont="1">
      <alignment horizontal="left" readingOrder="0" vertical="center"/>
    </xf>
    <xf borderId="44" fillId="0" fontId="13" numFmtId="0" xfId="0" applyAlignment="1" applyBorder="1" applyFont="1">
      <alignment horizontal="right" readingOrder="0" vertical="center"/>
    </xf>
    <xf borderId="98" fillId="0" fontId="28" numFmtId="0" xfId="0" applyAlignment="1" applyBorder="1" applyFont="1">
      <alignment horizontal="right" vertical="center"/>
    </xf>
    <xf borderId="35" fillId="0" fontId="34" numFmtId="0" xfId="0" applyAlignment="1" applyBorder="1" applyFont="1">
      <alignment readingOrder="0"/>
    </xf>
    <xf borderId="98" fillId="0" fontId="34" numFmtId="17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right"/>
    </xf>
    <xf borderId="0" fillId="0" fontId="54" numFmtId="0" xfId="0" applyAlignment="1" applyFont="1">
      <alignment horizontal="left"/>
    </xf>
    <xf borderId="0" fillId="0" fontId="50" numFmtId="0" xfId="0" applyFont="1"/>
    <xf borderId="0" fillId="0" fontId="50" numFmtId="0" xfId="0" applyAlignment="1" applyFont="1">
      <alignment readingOrder="0"/>
    </xf>
    <xf borderId="0" fillId="0" fontId="38" numFmtId="0" xfId="0" applyAlignment="1" applyFont="1">
      <alignment horizontal="right" vertical="center"/>
    </xf>
    <xf borderId="0" fillId="0" fontId="18" numFmtId="0" xfId="0" applyAlignment="1" applyFont="1">
      <alignment horizontal="center" vertical="center"/>
    </xf>
    <xf borderId="35" fillId="0" fontId="19" numFmtId="0" xfId="0" applyAlignment="1" applyBorder="1" applyFont="1">
      <alignment horizontal="right" readingOrder="0" vertical="center"/>
    </xf>
    <xf borderId="35" fillId="3" fontId="52" numFmtId="0" xfId="0" applyAlignment="1" applyBorder="1" applyFont="1">
      <alignment horizontal="left" readingOrder="0"/>
    </xf>
    <xf borderId="35" fillId="0" fontId="19" numFmtId="0" xfId="0" applyAlignment="1" applyBorder="1" applyFont="1">
      <alignment horizontal="center" readingOrder="0" vertical="center"/>
    </xf>
    <xf borderId="35" fillId="0" fontId="19" numFmtId="169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38" numFmtId="174" xfId="0" applyAlignment="1" applyFont="1" applyNumberFormat="1">
      <alignment horizontal="right" shrinkToFit="0" vertical="center" wrapText="1"/>
    </xf>
    <xf borderId="49" fillId="0" fontId="9" numFmtId="174" xfId="0" applyAlignment="1" applyBorder="1" applyFont="1" applyNumberFormat="1">
      <alignment horizontal="center" shrinkToFit="0" vertical="center" wrapText="1"/>
    </xf>
    <xf borderId="36" fillId="0" fontId="9" numFmtId="174" xfId="0" applyAlignment="1" applyBorder="1" applyFont="1" applyNumberFormat="1">
      <alignment horizontal="center" shrinkToFit="0" vertical="center" wrapText="1"/>
    </xf>
    <xf borderId="36" fillId="0" fontId="9" numFmtId="174" xfId="0" applyAlignment="1" applyBorder="1" applyFont="1" applyNumberFormat="1">
      <alignment horizontal="center" readingOrder="0" shrinkToFit="0" vertical="center" wrapText="1"/>
    </xf>
    <xf borderId="39" fillId="0" fontId="9" numFmtId="174" xfId="0" applyAlignment="1" applyBorder="1" applyFont="1" applyNumberFormat="1">
      <alignment horizontal="center" readingOrder="0" shrinkToFit="0" vertical="center" wrapText="1"/>
    </xf>
    <xf borderId="36" fillId="3" fontId="21" numFmtId="17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29" numFmtId="174" xfId="0" applyAlignment="1" applyFont="1" applyNumberFormat="1">
      <alignment horizontal="right" readingOrder="0" vertical="center"/>
    </xf>
    <xf borderId="44" fillId="0" fontId="7" numFmtId="174" xfId="0" applyAlignment="1" applyBorder="1" applyFont="1" applyNumberFormat="1">
      <alignment horizontal="center" shrinkToFit="1" vertical="center" wrapText="0"/>
    </xf>
    <xf borderId="33" fillId="0" fontId="7" numFmtId="174" xfId="0" applyAlignment="1" applyBorder="1" applyFont="1" applyNumberFormat="1">
      <alignment horizontal="center" shrinkToFit="1" vertical="center" wrapText="0"/>
    </xf>
    <xf borderId="33" fillId="0" fontId="7" numFmtId="174" xfId="0" applyAlignment="1" applyBorder="1" applyFont="1" applyNumberFormat="1">
      <alignment horizontal="center" readingOrder="0" shrinkToFit="1" vertical="center" wrapText="0"/>
    </xf>
    <xf borderId="33" fillId="0" fontId="7" numFmtId="174" xfId="0" applyAlignment="1" applyBorder="1" applyFont="1" applyNumberFormat="1">
      <alignment horizontal="center" vertical="center"/>
    </xf>
    <xf borderId="43" fillId="0" fontId="7" numFmtId="174" xfId="0" applyAlignment="1" applyBorder="1" applyFont="1" applyNumberFormat="1">
      <alignment horizontal="center" vertical="center"/>
    </xf>
    <xf borderId="43" fillId="0" fontId="7" numFmtId="17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38" numFmtId="174" xfId="0" applyAlignment="1" applyFont="1" applyNumberFormat="1">
      <alignment horizontal="right" readingOrder="0" shrinkToFit="0" vertical="center" wrapText="1"/>
    </xf>
    <xf borderId="44" fillId="0" fontId="28" numFmtId="174" xfId="0" applyAlignment="1" applyBorder="1" applyFont="1" applyNumberFormat="1">
      <alignment horizontal="center" vertical="center"/>
    </xf>
    <xf borderId="33" fillId="0" fontId="28" numFmtId="174" xfId="0" applyAlignment="1" applyBorder="1" applyFont="1" applyNumberFormat="1">
      <alignment horizontal="center" vertical="center"/>
    </xf>
    <xf borderId="43" fillId="0" fontId="28" numFmtId="17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8" numFmtId="174" xfId="0" applyAlignment="1" applyFont="1" applyNumberFormat="1">
      <alignment horizontal="right" readingOrder="0" vertical="center"/>
    </xf>
    <xf borderId="45" fillId="0" fontId="28" numFmtId="174" xfId="0" applyAlignment="1" applyBorder="1" applyFont="1" applyNumberFormat="1">
      <alignment horizontal="center" vertical="center"/>
    </xf>
    <xf borderId="46" fillId="0" fontId="28" numFmtId="174" xfId="0" applyAlignment="1" applyBorder="1" applyFont="1" applyNumberFormat="1">
      <alignment horizontal="center" vertical="center"/>
    </xf>
    <xf borderId="46" fillId="3" fontId="57" numFmtId="174" xfId="0" applyAlignment="1" applyBorder="1" applyFont="1" applyNumberFormat="1">
      <alignment horizontal="left"/>
    </xf>
    <xf borderId="48" fillId="0" fontId="28" numFmtId="174" xfId="0" applyAlignment="1" applyBorder="1" applyFont="1" applyNumberFormat="1">
      <alignment horizontal="center" vertical="center"/>
    </xf>
    <xf borderId="0" fillId="0" fontId="29" numFmtId="174" xfId="0" applyAlignment="1" applyFont="1" applyNumberFormat="1">
      <alignment horizontal="right" vertical="center"/>
    </xf>
    <xf borderId="0" fillId="0" fontId="22" numFmtId="174" xfId="0" applyAlignment="1" applyFont="1" applyNumberFormat="1">
      <alignment horizontal="center" vertical="center"/>
    </xf>
    <xf borderId="0" fillId="0" fontId="7" numFmtId="174" xfId="0" applyAlignment="1" applyFont="1" applyNumberFormat="1">
      <alignment horizontal="center" vertical="center"/>
    </xf>
    <xf borderId="0" fillId="0" fontId="7" numFmtId="174" xfId="0" applyAlignment="1" applyFont="1" applyNumberFormat="1">
      <alignment horizontal="center" readingOrder="0" vertical="center"/>
    </xf>
    <xf borderId="0" fillId="0" fontId="25" numFmtId="174" xfId="0" applyAlignment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9" numFmtId="174" xfId="0" applyAlignment="1" applyFont="1" applyNumberFormat="1">
      <alignment horizontal="left" readingOrder="0" vertical="center"/>
    </xf>
    <xf borderId="0" fillId="0" fontId="9" numFmtId="174" xfId="0" applyAlignment="1" applyFont="1" applyNumberFormat="1">
      <alignment horizontal="center" vertical="center"/>
    </xf>
    <xf borderId="0" fillId="0" fontId="4" numFmtId="174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49" fillId="0" fontId="7" numFmtId="174" xfId="0" applyAlignment="1" applyBorder="1" applyFont="1" applyNumberFormat="1">
      <alignment horizontal="center" shrinkToFit="0" vertical="center" wrapText="1"/>
    </xf>
    <xf borderId="36" fillId="0" fontId="7" numFmtId="174" xfId="0" applyAlignment="1" applyBorder="1" applyFont="1" applyNumberFormat="1">
      <alignment horizontal="center" shrinkToFit="0" vertical="center" wrapText="1"/>
    </xf>
    <xf borderId="36" fillId="0" fontId="7" numFmtId="174" xfId="0" applyAlignment="1" applyBorder="1" applyFont="1" applyNumberFormat="1">
      <alignment horizontal="center" readingOrder="0" shrinkToFit="0" vertical="center" wrapText="1"/>
    </xf>
    <xf borderId="36" fillId="3" fontId="37" numFmtId="174" xfId="0" applyAlignment="1" applyBorder="1" applyFont="1" applyNumberFormat="1">
      <alignment horizontal="center" readingOrder="0" shrinkToFit="0" vertical="center" wrapText="1"/>
    </xf>
    <xf borderId="0" fillId="0" fontId="7" numFmtId="17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4" fillId="0" fontId="26" numFmtId="174" xfId="0" applyAlignment="1" applyBorder="1" applyFont="1" applyNumberFormat="1">
      <alignment horizontal="center" shrinkToFit="0" vertical="center" wrapText="1"/>
    </xf>
    <xf borderId="33" fillId="0" fontId="26" numFmtId="174" xfId="0" applyAlignment="1" applyBorder="1" applyFont="1" applyNumberFormat="1">
      <alignment horizontal="center" shrinkToFit="0" vertical="center" wrapText="1"/>
    </xf>
    <xf borderId="43" fillId="0" fontId="26" numFmtId="174" xfId="0" applyAlignment="1" applyBorder="1" applyFont="1" applyNumberFormat="1">
      <alignment horizontal="center" shrinkToFit="0" vertical="center" wrapText="1"/>
    </xf>
    <xf borderId="0" fillId="0" fontId="26" numFmtId="174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8" numFmtId="174" xfId="0" applyAlignment="1" applyFont="1" applyNumberFormat="1">
      <alignment horizontal="center" vertical="center"/>
    </xf>
    <xf borderId="0" fillId="3" fontId="46" numFmtId="174" xfId="0" applyAlignment="1" applyFont="1" applyNumberFormat="1">
      <alignment horizontal="right" readingOrder="0" vertical="center"/>
    </xf>
    <xf borderId="0" fillId="0" fontId="9" numFmtId="174" xfId="0" applyAlignment="1" applyFont="1" applyNumberFormat="1">
      <alignment horizontal="center" readingOrder="0" vertical="center"/>
    </xf>
    <xf borderId="0" fillId="0" fontId="4" numFmtId="174" xfId="0" applyFont="1" applyNumberFormat="1"/>
    <xf borderId="0" fillId="0" fontId="29" numFmtId="174" xfId="0" applyAlignment="1" applyFont="1" applyNumberForma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29" numFmtId="174" xfId="0" applyAlignment="1" applyFont="1" applyNumberFormat="1">
      <alignment horizontal="right" shrinkToFit="0" textRotation="90" vertical="center" wrapText="1"/>
    </xf>
    <xf borderId="53" fillId="0" fontId="7" numFmtId="174" xfId="0" applyAlignment="1" applyBorder="1" applyFont="1" applyNumberFormat="1">
      <alignment horizontal="center" shrinkToFit="0" vertical="center" wrapText="1"/>
    </xf>
    <xf borderId="39" fillId="0" fontId="7" numFmtId="174" xfId="0" applyAlignment="1" applyBorder="1" applyFont="1" applyNumberFormat="1">
      <alignment horizontal="center" shrinkToFit="0" vertical="center" wrapText="1"/>
    </xf>
    <xf borderId="39" fillId="0" fontId="7" numFmtId="174" xfId="0" applyAlignment="1" applyBorder="1" applyFont="1" applyNumberFormat="1">
      <alignment horizontal="center" readingOrder="0" shrinkToFit="0" vertical="center" wrapText="1"/>
    </xf>
    <xf borderId="54" fillId="0" fontId="7" numFmtId="174" xfId="0" applyAlignment="1" applyBorder="1" applyFont="1" applyNumberFormat="1">
      <alignment horizontal="center" readingOrder="0" shrinkToFit="0" vertical="center" wrapText="1"/>
    </xf>
    <xf borderId="44" fillId="0" fontId="28" numFmtId="165" xfId="0" applyAlignment="1" applyBorder="1" applyFont="1" applyNumberFormat="1">
      <alignment horizontal="center" vertical="center"/>
    </xf>
    <xf borderId="33" fillId="0" fontId="28" numFmtId="165" xfId="0" applyAlignment="1" applyBorder="1" applyFont="1" applyNumberFormat="1">
      <alignment horizontal="center" vertical="center"/>
    </xf>
    <xf borderId="43" fillId="0" fontId="28" numFmtId="165" xfId="0" applyAlignment="1" applyBorder="1" applyFont="1" applyNumberFormat="1">
      <alignment horizontal="center" vertical="center"/>
    </xf>
    <xf borderId="45" fillId="0" fontId="28" numFmtId="165" xfId="0" applyAlignment="1" applyBorder="1" applyFont="1" applyNumberFormat="1">
      <alignment horizontal="center" vertical="center"/>
    </xf>
    <xf borderId="46" fillId="0" fontId="28" numFmtId="165" xfId="0" applyAlignment="1" applyBorder="1" applyFont="1" applyNumberFormat="1">
      <alignment horizontal="center" vertical="center"/>
    </xf>
    <xf borderId="0" fillId="0" fontId="30" numFmtId="174" xfId="0" applyAlignment="1" applyFont="1" applyNumberFormat="1">
      <alignment horizontal="center" shrinkToFit="0" vertical="center" wrapText="1"/>
    </xf>
    <xf borderId="0" fillId="0" fontId="9" numFmtId="174" xfId="0" applyAlignment="1" applyFont="1" applyNumberFormat="1">
      <alignment horizontal="center" shrinkToFit="0" vertical="center" wrapText="1"/>
    </xf>
    <xf borderId="0" fillId="0" fontId="29" numFmtId="174" xfId="0" applyAlignment="1" applyFont="1" applyNumberFormat="1">
      <alignment horizontal="right" shrinkToFit="0" vertical="center" wrapText="1"/>
    </xf>
    <xf borderId="0" fillId="0" fontId="7" numFmtId="174" xfId="0" applyAlignment="1" applyFont="1" applyNumberFormat="1">
      <alignment horizontal="center" readingOrder="0" shrinkToFit="0" vertical="center" wrapText="1"/>
    </xf>
    <xf borderId="44" fillId="0" fontId="26" numFmtId="174" xfId="0" applyAlignment="1" applyBorder="1" applyFont="1" applyNumberFormat="1">
      <alignment horizontal="center" vertical="center"/>
    </xf>
    <xf borderId="33" fillId="0" fontId="32" numFmtId="174" xfId="0" applyAlignment="1" applyBorder="1" applyFont="1" applyNumberFormat="1">
      <alignment horizontal="center" vertical="center"/>
    </xf>
    <xf borderId="33" fillId="0" fontId="26" numFmtId="174" xfId="0" applyAlignment="1" applyBorder="1" applyFont="1" applyNumberFormat="1">
      <alignment horizontal="center" vertical="center"/>
    </xf>
    <xf borderId="43" fillId="0" fontId="32" numFmtId="174" xfId="0" applyAlignment="1" applyBorder="1" applyFont="1" applyNumberFormat="1">
      <alignment horizontal="center" vertical="center"/>
    </xf>
    <xf borderId="0" fillId="0" fontId="33" numFmtId="174" xfId="0" applyAlignment="1" applyFont="1" applyNumberFormat="1">
      <alignment horizontal="center" vertical="center"/>
    </xf>
    <xf borderId="49" fillId="0" fontId="7" numFmtId="174" xfId="0" applyAlignment="1" applyBorder="1" applyFont="1" applyNumberFormat="1">
      <alignment horizontal="center" vertical="center"/>
    </xf>
    <xf borderId="36" fillId="0" fontId="7" numFmtId="174" xfId="0" applyAlignment="1" applyBorder="1" applyFont="1" applyNumberFormat="1">
      <alignment horizontal="center" readingOrder="0" vertical="center"/>
    </xf>
    <xf borderId="44" fillId="0" fontId="8" numFmtId="174" xfId="0" applyAlignment="1" applyBorder="1" applyFont="1" applyNumberFormat="1">
      <alignment horizontal="center" vertical="center"/>
    </xf>
    <xf borderId="33" fillId="0" fontId="29" numFmtId="174" xfId="0" applyAlignment="1" applyBorder="1" applyFont="1" applyNumberFormat="1">
      <alignment horizontal="center" vertical="center"/>
    </xf>
    <xf borderId="43" fillId="0" fontId="29" numFmtId="174" xfId="0" applyAlignment="1" applyBorder="1" applyFont="1" applyNumberFormat="1">
      <alignment horizontal="center" vertical="center"/>
    </xf>
    <xf borderId="0" fillId="0" fontId="36" numFmtId="174" xfId="0" applyAlignment="1" applyFont="1" applyNumberFormat="1">
      <alignment horizontal="center" vertical="center"/>
    </xf>
    <xf borderId="0" fillId="0" fontId="9" numFmtId="174" xfId="0" applyAlignment="1" applyFont="1" applyNumberFormat="1">
      <alignment horizontal="left" vertical="center"/>
    </xf>
    <xf borderId="0" fillId="3" fontId="2" numFmtId="174" xfId="0" applyAlignment="1" applyFont="1" applyNumberFormat="1">
      <alignment horizontal="left" readingOrder="0" vertical="center"/>
    </xf>
    <xf borderId="0" fillId="0" fontId="21" numFmtId="174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53" fillId="0" fontId="7" numFmtId="174" xfId="0" applyAlignment="1" applyBorder="1" applyFont="1" applyNumberFormat="1">
      <alignment horizontal="center" vertical="center"/>
    </xf>
    <xf borderId="39" fillId="0" fontId="7" numFmtId="174" xfId="0" applyAlignment="1" applyBorder="1" applyFont="1" applyNumberFormat="1">
      <alignment horizontal="center" vertical="center"/>
    </xf>
    <xf borderId="53" fillId="0" fontId="7" numFmtId="174" xfId="0" applyAlignment="1" applyBorder="1" applyFont="1" applyNumberFormat="1">
      <alignment horizontal="center" readingOrder="0" shrinkToFit="0" vertical="center" wrapText="1"/>
    </xf>
    <xf borderId="54" fillId="0" fontId="37" numFmtId="174" xfId="0" applyAlignment="1" applyBorder="1" applyFont="1" applyNumberFormat="1">
      <alignment horizontal="center" shrinkToFit="0" vertical="center" wrapText="1"/>
    </xf>
    <xf borderId="0" fillId="0" fontId="37" numFmtId="174" xfId="0" applyAlignment="1" applyFont="1" applyNumberFormat="1">
      <alignment horizontal="center" shrinkToFit="0" vertical="center" wrapText="1"/>
    </xf>
    <xf borderId="53" fillId="0" fontId="7" numFmtId="174" xfId="0" applyAlignment="1" applyBorder="1" applyFont="1" applyNumberFormat="1">
      <alignment horizontal="center" readingOrder="0" vertical="center"/>
    </xf>
    <xf borderId="39" fillId="0" fontId="7" numFmtId="174" xfId="0" applyAlignment="1" applyBorder="1" applyFont="1" applyNumberFormat="1">
      <alignment horizontal="center" readingOrder="0" vertical="center"/>
    </xf>
    <xf borderId="54" fillId="0" fontId="37" numFmtId="174" xfId="0" applyAlignment="1" applyBorder="1" applyFont="1" applyNumberFormat="1">
      <alignment horizontal="center" readingOrder="0" vertical="center"/>
    </xf>
    <xf borderId="0" fillId="0" fontId="37" numFmtId="174" xfId="0" applyAlignment="1" applyFont="1" applyNumberFormat="1">
      <alignment horizontal="center" vertical="center"/>
    </xf>
    <xf borderId="0" fillId="0" fontId="37" numFmtId="0" xfId="0" applyAlignment="1" applyFont="1">
      <alignment horizontal="center" vertical="center"/>
    </xf>
    <xf borderId="44" fillId="3" fontId="28" numFmtId="174" xfId="0" applyBorder="1" applyFont="1" applyNumberFormat="1"/>
    <xf borderId="33" fillId="3" fontId="28" numFmtId="174" xfId="0" applyBorder="1" applyFont="1" applyNumberFormat="1"/>
    <xf borderId="0" fillId="0" fontId="28" numFmtId="174" xfId="0" applyAlignment="1" applyFont="1" applyNumberFormat="1">
      <alignment horizontal="center" vertical="center"/>
    </xf>
    <xf borderId="0" fillId="0" fontId="58" numFmtId="174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vertical="center"/>
    </xf>
    <xf borderId="45" fillId="3" fontId="28" numFmtId="174" xfId="0" applyBorder="1" applyFont="1" applyNumberFormat="1"/>
    <xf borderId="46" fillId="3" fontId="28" numFmtId="174" xfId="0" applyBorder="1" applyFont="1" applyNumberFormat="1"/>
    <xf borderId="99" fillId="0" fontId="7" numFmtId="174" xfId="0" applyAlignment="1" applyBorder="1" applyFont="1" applyNumberFormat="1">
      <alignment horizontal="center" readingOrder="0" vertical="center"/>
    </xf>
    <xf borderId="100" fillId="0" fontId="7" numFmtId="174" xfId="0" applyAlignment="1" applyBorder="1" applyFont="1" applyNumberFormat="1">
      <alignment horizontal="center" readingOrder="0" vertical="center"/>
    </xf>
    <xf borderId="101" fillId="0" fontId="7" numFmtId="174" xfId="0" applyAlignment="1" applyBorder="1" applyFont="1" applyNumberFormat="1">
      <alignment horizontal="center" readingOrder="0" vertical="center"/>
    </xf>
    <xf borderId="102" fillId="0" fontId="37" numFmtId="174" xfId="0" applyAlignment="1" applyBorder="1" applyFont="1" applyNumberFormat="1">
      <alignment horizontal="center" readingOrder="0" vertical="center"/>
    </xf>
    <xf borderId="15" fillId="0" fontId="28" numFmtId="174" xfId="0" applyAlignment="1" applyBorder="1" applyFont="1" applyNumberFormat="1">
      <alignment horizontal="center" vertical="center"/>
    </xf>
    <xf borderId="16" fillId="0" fontId="28" numFmtId="174" xfId="0" applyAlignment="1" applyBorder="1" applyFont="1" applyNumberFormat="1">
      <alignment horizontal="center" vertical="center"/>
    </xf>
    <xf borderId="67" fillId="0" fontId="28" numFmtId="174" xfId="0" applyAlignment="1" applyBorder="1" applyFont="1" applyNumberFormat="1">
      <alignment horizontal="center" vertical="center"/>
    </xf>
    <xf borderId="18" fillId="0" fontId="28" numFmtId="174" xfId="0" applyAlignment="1" applyBorder="1" applyFont="1" applyNumberFormat="1">
      <alignment horizontal="center" vertical="center"/>
    </xf>
    <xf borderId="19" fillId="0" fontId="28" numFmtId="174" xfId="0" applyAlignment="1" applyBorder="1" applyFont="1" applyNumberFormat="1">
      <alignment horizontal="center" vertical="center"/>
    </xf>
    <xf borderId="78" fillId="0" fontId="28" numFmtId="174" xfId="0" applyAlignment="1" applyBorder="1" applyFont="1" applyNumberFormat="1">
      <alignment horizontal="center" vertical="center"/>
    </xf>
    <xf borderId="0" fillId="0" fontId="21" numFmtId="174" xfId="0" applyAlignment="1" applyFont="1" applyNumberFormat="1">
      <alignment horizontal="center" readingOrder="0" vertical="center"/>
    </xf>
    <xf borderId="0" fillId="0" fontId="21" numFmtId="174" xfId="0" applyAlignment="1" applyFont="1" applyNumberFormat="1">
      <alignment horizontal="left" readingOrder="0" vertical="center"/>
    </xf>
    <xf borderId="0" fillId="0" fontId="41" numFmtId="174" xfId="0" applyAlignment="1" applyFont="1" applyNumberFormat="1">
      <alignment horizontal="center" vertical="center"/>
    </xf>
    <xf borderId="0" fillId="0" fontId="40" numFmtId="174" xfId="0" applyAlignment="1" applyFont="1" applyNumberFormat="1">
      <alignment horizontal="center" vertical="center"/>
    </xf>
    <xf borderId="53" fillId="0" fontId="42" numFmtId="174" xfId="0" applyAlignment="1" applyBorder="1" applyFont="1" applyNumberFormat="1">
      <alignment horizontal="center" vertical="center"/>
    </xf>
    <xf borderId="39" fillId="0" fontId="42" numFmtId="174" xfId="0" applyAlignment="1" applyBorder="1" applyFont="1" applyNumberFormat="1">
      <alignment horizontal="center" readingOrder="0" vertical="center"/>
    </xf>
    <xf borderId="39" fillId="0" fontId="42" numFmtId="174" xfId="0" applyAlignment="1" applyBorder="1" applyFont="1" applyNumberFormat="1">
      <alignment horizontal="center" vertical="center"/>
    </xf>
    <xf borderId="44" fillId="3" fontId="9" numFmtId="174" xfId="0" applyAlignment="1" applyBorder="1" applyFont="1" applyNumberFormat="1">
      <alignment horizontal="center" vertical="center"/>
    </xf>
    <xf borderId="33" fillId="3" fontId="9" numFmtId="174" xfId="0" applyAlignment="1" applyBorder="1" applyFont="1" applyNumberFormat="1">
      <alignment horizontal="center" vertical="center"/>
    </xf>
    <xf borderId="43" fillId="3" fontId="9" numFmtId="174" xfId="0" applyAlignment="1" applyBorder="1" applyFont="1" applyNumberFormat="1">
      <alignment horizontal="center" vertical="center"/>
    </xf>
    <xf borderId="0" fillId="3" fontId="9" numFmtId="17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45" fillId="3" fontId="9" numFmtId="174" xfId="0" applyAlignment="1" applyBorder="1" applyFont="1" applyNumberFormat="1">
      <alignment horizontal="center" vertical="center"/>
    </xf>
    <xf borderId="46" fillId="3" fontId="9" numFmtId="174" xfId="0" applyAlignment="1" applyBorder="1" applyFont="1" applyNumberFormat="1">
      <alignment horizontal="center" vertical="center"/>
    </xf>
    <xf borderId="48" fillId="3" fontId="9" numFmtId="174" xfId="0" applyAlignment="1" applyBorder="1" applyFont="1" applyNumberFormat="1">
      <alignment horizontal="center" vertical="center"/>
    </xf>
    <xf borderId="36" fillId="0" fontId="7" numFmtId="0" xfId="0" applyAlignment="1" applyBorder="1" applyFont="1">
      <alignment horizontal="center" readingOrder="0" shrinkToFit="0" vertical="center" wrapText="1"/>
    </xf>
    <xf borderId="36" fillId="0" fontId="22" numFmtId="0" xfId="0" applyAlignment="1" applyBorder="1" applyFont="1">
      <alignment horizontal="center" readingOrder="0" vertical="center"/>
    </xf>
    <xf borderId="42" fillId="3" fontId="9" numFmtId="0" xfId="0" applyAlignment="1" applyBorder="1" applyFont="1">
      <alignment horizontal="center" vertical="center"/>
    </xf>
    <xf borderId="42" fillId="0" fontId="34" numFmtId="174" xfId="0" applyAlignment="1" applyBorder="1" applyFont="1" applyNumberFormat="1">
      <alignment horizontal="center"/>
    </xf>
    <xf borderId="47" fillId="3" fontId="9" numFmtId="0" xfId="0" applyAlignment="1" applyBorder="1" applyFont="1">
      <alignment horizontal="center" vertical="center"/>
    </xf>
    <xf borderId="47" fillId="0" fontId="34" numFmtId="174" xfId="0" applyAlignment="1" applyBorder="1" applyFont="1" applyNumberFormat="1">
      <alignment horizontal="center"/>
    </xf>
    <xf borderId="103" fillId="0" fontId="6" numFmtId="0" xfId="0" applyBorder="1" applyFont="1"/>
    <xf borderId="0" fillId="0" fontId="28" numFmtId="0" xfId="0" applyAlignment="1" applyFont="1">
      <alignment horizontal="center" vertical="center"/>
    </xf>
    <xf borderId="0" fillId="0" fontId="27" numFmtId="0" xfId="0" applyAlignment="1" applyFont="1">
      <alignment horizontal="right" readingOrder="0" shrinkToFit="0" wrapText="0"/>
    </xf>
    <xf borderId="44" fillId="0" fontId="9" numFmtId="165" xfId="0" applyAlignment="1" applyBorder="1" applyFont="1" applyNumberFormat="1">
      <alignment horizontal="center" shrinkToFit="0" vertical="center" wrapText="1"/>
    </xf>
    <xf borderId="33" fillId="0" fontId="9" numFmtId="165" xfId="0" applyAlignment="1" applyBorder="1" applyFont="1" applyNumberFormat="1">
      <alignment horizontal="center" shrinkToFit="0" vertical="center" wrapText="1"/>
    </xf>
    <xf borderId="43" fillId="0" fontId="9" numFmtId="165" xfId="0" applyAlignment="1" applyBorder="1" applyFont="1" applyNumberFormat="1">
      <alignment horizontal="center" shrinkToFit="0" vertical="center" wrapText="1"/>
    </xf>
    <xf borderId="104" fillId="0" fontId="27" numFmtId="0" xfId="0" applyAlignment="1" applyBorder="1" applyFont="1">
      <alignment horizontal="right" readingOrder="0" shrinkToFit="0" wrapText="0"/>
    </xf>
    <xf borderId="105" fillId="0" fontId="27" numFmtId="0" xfId="0" applyAlignment="1" applyBorder="1" applyFont="1">
      <alignment horizontal="right" readingOrder="0" shrinkToFit="0" wrapText="0"/>
    </xf>
    <xf borderId="53" fillId="0" fontId="9" numFmtId="165" xfId="0" applyAlignment="1" applyBorder="1" applyFont="1" applyNumberFormat="1">
      <alignment horizontal="center" shrinkToFit="0" vertical="center" wrapText="1"/>
    </xf>
    <xf borderId="54" fillId="0" fontId="9" numFmtId="165" xfId="0" applyAlignment="1" applyBorder="1" applyFont="1" applyNumberFormat="1">
      <alignment horizontal="center" shrinkToFit="0" vertical="center" wrapText="1"/>
    </xf>
    <xf borderId="45" fillId="0" fontId="9" numFmtId="165" xfId="0" applyAlignment="1" applyBorder="1" applyFont="1" applyNumberFormat="1">
      <alignment horizontal="center" shrinkToFit="0" vertical="center" wrapText="1"/>
    </xf>
    <xf borderId="46" fillId="0" fontId="9" numFmtId="165" xfId="0" applyAlignment="1" applyBorder="1" applyFont="1" applyNumberFormat="1">
      <alignment horizontal="center" shrinkToFit="0" vertical="center" wrapText="1"/>
    </xf>
    <xf borderId="48" fillId="0" fontId="9" numFmtId="165" xfId="0" applyAlignment="1" applyBorder="1" applyFont="1" applyNumberFormat="1">
      <alignment horizontal="center" shrinkToFit="0" vertical="center" wrapText="1"/>
    </xf>
    <xf borderId="0" fillId="0" fontId="29" numFmtId="165" xfId="0" applyAlignment="1" applyFont="1" applyNumberFormat="1">
      <alignment horizontal="right" shrinkToFit="0" vertical="center" wrapText="1"/>
    </xf>
    <xf borderId="0" fillId="0" fontId="38" numFmtId="165" xfId="0" applyAlignment="1" applyFont="1" applyNumberFormat="1">
      <alignment horizontal="right" readingOrder="0" shrinkToFit="0" vertical="center" wrapText="1"/>
    </xf>
    <xf borderId="44" fillId="0" fontId="28" numFmtId="165" xfId="0" applyAlignment="1" applyBorder="1" applyFont="1" applyNumberFormat="1">
      <alignment horizontal="center" vertical="center"/>
    </xf>
    <xf borderId="33" fillId="0" fontId="28" numFmtId="165" xfId="0" applyAlignment="1" applyBorder="1" applyFont="1" applyNumberFormat="1">
      <alignment horizontal="center" vertical="center"/>
    </xf>
    <xf borderId="43" fillId="0" fontId="28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9" numFmtId="165" xfId="0" applyAlignment="1" applyFont="1" applyNumberFormat="1">
      <alignment horizontal="right" readingOrder="0" shrinkToFit="0" vertical="center" wrapText="1"/>
    </xf>
    <xf borderId="45" fillId="0" fontId="28" numFmtId="165" xfId="0" applyAlignment="1" applyBorder="1" applyFont="1" applyNumberFormat="1">
      <alignment horizontal="center" vertical="center"/>
    </xf>
    <xf borderId="46" fillId="0" fontId="28" numFmtId="165" xfId="0" applyAlignment="1" applyBorder="1" applyFont="1" applyNumberFormat="1">
      <alignment horizontal="center" vertical="center"/>
    </xf>
    <xf borderId="48" fillId="0" fontId="28" numFmtId="165" xfId="0" applyAlignment="1" applyBorder="1" applyFont="1" applyNumberFormat="1">
      <alignment horizontal="center" vertical="center"/>
    </xf>
    <xf borderId="0" fillId="0" fontId="29" numFmtId="0" xfId="0" applyAlignment="1" applyFont="1">
      <alignment horizontal="right" vertical="center"/>
    </xf>
    <xf borderId="0" fillId="0" fontId="4" numFmtId="0" xfId="0" applyAlignment="1" applyFont="1">
      <alignment horizontal="right"/>
    </xf>
    <xf borderId="0" fillId="0" fontId="28" numFmtId="165" xfId="0" applyAlignment="1" applyFont="1" applyNumberFormat="1">
      <alignment horizontal="right" readingOrder="0" vertical="center"/>
    </xf>
    <xf borderId="0" fillId="0" fontId="29" numFmtId="165" xfId="0" applyAlignment="1" applyFont="1" applyNumberFormat="1">
      <alignment horizontal="right" readingOrder="0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59" numFmtId="0" xfId="0" applyAlignment="1" applyFont="1">
      <alignment horizontal="center" readingOrder="0"/>
    </xf>
    <xf borderId="0" fillId="0" fontId="59" numFmtId="169" xfId="0" applyAlignment="1" applyFont="1" applyNumberFormat="1">
      <alignment horizontal="center" readingOrder="0"/>
    </xf>
    <xf borderId="0" fillId="0" fontId="60" numFmtId="0" xfId="0" applyAlignment="1" applyFont="1">
      <alignment horizontal="left" readingOrder="0" vertical="center"/>
    </xf>
    <xf borderId="95" fillId="0" fontId="60" numFmtId="0" xfId="0" applyAlignment="1" applyBorder="1" applyFont="1">
      <alignment horizontal="left" readingOrder="0"/>
    </xf>
    <xf borderId="95" fillId="0" fontId="53" numFmtId="0" xfId="0" applyAlignment="1" applyBorder="1" applyFont="1">
      <alignment horizontal="center" readingOrder="0"/>
    </xf>
    <xf borderId="105" fillId="0" fontId="13" numFmtId="0" xfId="0" applyAlignment="1" applyBorder="1" applyFont="1">
      <alignment horizontal="center" vertical="center"/>
    </xf>
    <xf borderId="106" fillId="0" fontId="61" numFmtId="0" xfId="0" applyAlignment="1" applyBorder="1" applyFont="1">
      <alignment horizontal="left" readingOrder="0" vertical="center"/>
    </xf>
    <xf borderId="34" fillId="0" fontId="13" numFmtId="174" xfId="0" applyAlignment="1" applyBorder="1" applyFont="1" applyNumberFormat="1">
      <alignment horizontal="center" vertical="center"/>
    </xf>
    <xf borderId="34" fillId="0" fontId="13" numFmtId="0" xfId="0" applyAlignment="1" applyBorder="1" applyFont="1">
      <alignment horizontal="center" vertical="center"/>
    </xf>
    <xf borderId="105" fillId="0" fontId="13" numFmtId="0" xfId="0" applyAlignment="1" applyBorder="1" applyFont="1">
      <alignment horizontal="center" readingOrder="0" vertical="center"/>
    </xf>
    <xf borderId="56" fillId="0" fontId="61" numFmtId="0" xfId="0" applyAlignment="1" applyBorder="1" applyFont="1">
      <alignment horizontal="left" readingOrder="0" vertical="center"/>
    </xf>
    <xf borderId="33" fillId="0" fontId="13" numFmtId="174" xfId="0" applyAlignment="1" applyBorder="1" applyFont="1" applyNumberFormat="1">
      <alignment horizontal="center" vertical="center"/>
    </xf>
    <xf borderId="33" fillId="0" fontId="13" numFmtId="0" xfId="0" applyAlignment="1" applyBorder="1" applyFont="1">
      <alignment horizontal="center" vertical="center"/>
    </xf>
    <xf borderId="33" fillId="0" fontId="13" numFmtId="174" xfId="0" applyAlignment="1" applyBorder="1" applyFont="1" applyNumberFormat="1">
      <alignment horizontal="center" readingOrder="0" vertical="center"/>
    </xf>
    <xf borderId="105" fillId="0" fontId="13" numFmtId="0" xfId="0" applyAlignment="1" applyBorder="1" applyFont="1">
      <alignment horizontal="left" vertical="center"/>
    </xf>
    <xf borderId="96" fillId="0" fontId="61" numFmtId="0" xfId="0" applyAlignment="1" applyBorder="1" applyFont="1">
      <alignment horizontal="left" readingOrder="0" vertical="center"/>
    </xf>
    <xf borderId="96" fillId="0" fontId="6" numFmtId="0" xfId="0" applyBorder="1" applyFont="1"/>
    <xf borderId="97" fillId="0" fontId="61" numFmtId="0" xfId="0" applyAlignment="1" applyBorder="1" applyFont="1">
      <alignment horizontal="center" readingOrder="0" vertical="center"/>
    </xf>
    <xf borderId="97" fillId="0" fontId="6" numFmtId="0" xfId="0" applyBorder="1" applyFont="1"/>
    <xf borderId="107" fillId="0" fontId="6" numFmtId="0" xfId="0" applyBorder="1" applyFont="1"/>
    <xf borderId="96" fillId="0" fontId="60" numFmtId="0" xfId="0" applyAlignment="1" applyBorder="1" applyFont="1">
      <alignment horizontal="left" readingOrder="0" vertical="center"/>
    </xf>
    <xf borderId="96" fillId="0" fontId="53" numFmtId="0" xfId="0" applyAlignment="1" applyBorder="1" applyFont="1">
      <alignment horizontal="left" readingOrder="0" vertical="center"/>
    </xf>
    <xf borderId="106" fillId="0" fontId="61" numFmtId="0" xfId="0" applyAlignment="1" applyBorder="1" applyFont="1">
      <alignment readingOrder="0" vertical="center"/>
    </xf>
    <xf borderId="56" fillId="0" fontId="61" numFmtId="0" xfId="0" applyAlignment="1" applyBorder="1" applyFont="1">
      <alignment readingOrder="0" vertical="center"/>
    </xf>
    <xf borderId="105" fillId="3" fontId="57" numFmtId="174" xfId="0" applyBorder="1" applyFont="1" applyNumberFormat="1"/>
    <xf borderId="105" fillId="0" fontId="13" numFmtId="0" xfId="0" applyAlignment="1" applyBorder="1" applyFont="1">
      <alignment vertical="center"/>
    </xf>
    <xf borderId="96" fillId="0" fontId="61" numFmtId="0" xfId="0" applyAlignment="1" applyBorder="1" applyFont="1">
      <alignment readingOrder="0" vertical="center"/>
    </xf>
    <xf borderId="96" fillId="0" fontId="61" numFmtId="0" xfId="0" applyAlignment="1" applyBorder="1" applyFont="1">
      <alignment horizontal="center" readingOrder="0" vertical="center"/>
    </xf>
    <xf borderId="0" fillId="7" fontId="34" numFmtId="0" xfId="0" applyAlignment="1" applyFill="1" applyFont="1">
      <alignment horizontal="center" readingOrder="0" shrinkToFit="0" vertical="center" wrapText="1"/>
    </xf>
    <xf borderId="0" fillId="7" fontId="62" numFmtId="0" xfId="0" applyAlignment="1" applyFont="1">
      <alignment horizontal="center" readingOrder="0" shrinkToFit="0" vertical="center" wrapText="1"/>
    </xf>
    <xf borderId="0" fillId="0" fontId="28" numFmtId="0" xfId="0" applyFont="1"/>
    <xf borderId="108" fillId="0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8" fontId="4" numFmtId="0" xfId="0" applyAlignment="1" applyFill="1" applyFont="1">
      <alignment readingOrder="0"/>
    </xf>
    <xf quotePrefix="1" borderId="0" fillId="3" fontId="47" numFmtId="0" xfId="0" applyAlignment="1" applyFont="1">
      <alignment readingOrder="0"/>
    </xf>
    <xf borderId="108" fillId="3" fontId="11" numFmtId="0" xfId="0" applyAlignment="1" applyBorder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167" xfId="0" applyAlignment="1" applyFont="1" applyNumberFormat="1">
      <alignment readingOrder="0"/>
    </xf>
    <xf borderId="0" fillId="0" fontId="4" numFmtId="17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Profile Requests-style">
      <tableStyleElement dxfId="1" type="headerRow"/>
      <tableStyleElement dxfId="2" type="firstRowStripe"/>
      <tableStyleElement dxfId="3" type="secondRowStripe"/>
    </tableStyle>
    <tableStyle count="3" pivot="0" name="Utility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97" displayName="Table_1" name="Table_1" id="1">
  <tableColumns count="9">
    <tableColumn name="Name of Institute" id="1"/>
    <tableColumn name="Reporting Authority" id="2"/>
    <tableColumn name="Name" id="3"/>
    <tableColumn name="Designation " id="4"/>
    <tableColumn name="Moble Nmber" id="5"/>
    <tableColumn name="Email" id="6"/>
    <tableColumn name="User Roles" id="7"/>
    <tableColumn name="Org Id" id="8"/>
    <tableColumn name="Pass" id="9"/>
  </tableColumns>
  <tableStyleInfo name="Profile Requests-style" showColumnStripes="0" showFirstColumn="1" showLastColumn="1" showRowStripes="1"/>
</table>
</file>

<file path=xl/tables/table2.xml><?xml version="1.0" encoding="utf-8"?>
<table xmlns="http://schemas.openxmlformats.org/spreadsheetml/2006/main" ref="A5:D29" displayName="Table_2" name="Table_2" id="2">
  <tableColumns count="4">
    <tableColumn name="Fields" id="1"/>
    <tableColumn name="Values" id="2"/>
    <tableColumn name="Fields 2" id="3"/>
    <tableColumn name="Values 2" id="4"/>
  </tableColumns>
  <tableStyleInfo name="Util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/>
      <c r="B2" s="2"/>
      <c r="C2" s="2"/>
      <c r="D2" s="2"/>
      <c r="E2" s="2"/>
      <c r="F2" s="2"/>
      <c r="G2" s="2"/>
      <c r="H2" s="2"/>
      <c r="I2" s="2"/>
    </row>
    <row r="3">
      <c r="A3" s="1"/>
      <c r="B3" s="2"/>
      <c r="C3" s="2"/>
      <c r="D3" s="2"/>
      <c r="E3" s="2"/>
      <c r="F3" s="2"/>
      <c r="G3" s="2"/>
      <c r="H3" s="2"/>
      <c r="I3" s="2"/>
    </row>
    <row r="4">
      <c r="A4" s="1"/>
      <c r="B4" s="2"/>
      <c r="C4" s="2"/>
      <c r="D4" s="2"/>
      <c r="E4" s="2"/>
      <c r="F4" s="2"/>
      <c r="G4" s="2"/>
      <c r="H4" s="2"/>
      <c r="I4" s="2"/>
    </row>
    <row r="5">
      <c r="A5" s="1"/>
      <c r="B5" s="2"/>
      <c r="C5" s="2"/>
      <c r="D5" s="2"/>
      <c r="E5" s="2"/>
      <c r="F5" s="2"/>
      <c r="G5" s="2"/>
      <c r="H5" s="2"/>
      <c r="I5" s="2"/>
    </row>
    <row r="6">
      <c r="A6" s="1"/>
      <c r="B6" s="2"/>
      <c r="C6" s="2"/>
      <c r="D6" s="2"/>
      <c r="E6" s="2"/>
      <c r="F6" s="2"/>
      <c r="G6" s="2"/>
      <c r="H6" s="2"/>
      <c r="I6" s="2"/>
    </row>
    <row r="7">
      <c r="A7" s="1"/>
      <c r="B7" s="2"/>
      <c r="C7" s="2"/>
      <c r="D7" s="2"/>
      <c r="E7" s="2"/>
      <c r="F7" s="2"/>
      <c r="G7" s="2"/>
      <c r="H7" s="2"/>
      <c r="I7" s="2"/>
    </row>
    <row r="8">
      <c r="A8" s="1"/>
      <c r="B8" s="2"/>
      <c r="C8" s="2"/>
      <c r="D8" s="2"/>
      <c r="E8" s="2"/>
      <c r="F8" s="2"/>
      <c r="G8" s="2"/>
      <c r="H8" s="2"/>
      <c r="I8" s="2"/>
    </row>
    <row r="9">
      <c r="A9" s="1"/>
      <c r="B9" s="2"/>
      <c r="C9" s="2"/>
      <c r="D9" s="2"/>
      <c r="E9" s="2"/>
      <c r="F9" s="2"/>
      <c r="G9" s="2"/>
      <c r="H9" s="2"/>
      <c r="I9" s="2"/>
    </row>
    <row r="10">
      <c r="A10" s="1"/>
      <c r="B10" s="2"/>
      <c r="C10" s="2"/>
      <c r="D10" s="2"/>
      <c r="E10" s="2"/>
      <c r="F10" s="2"/>
      <c r="G10" s="2"/>
      <c r="H10" s="2"/>
      <c r="I10" s="2"/>
    </row>
    <row r="11">
      <c r="A11" s="1"/>
      <c r="B11" s="2"/>
      <c r="C11" s="2"/>
      <c r="D11" s="2"/>
      <c r="E11" s="2"/>
      <c r="F11" s="2"/>
      <c r="G11" s="2"/>
      <c r="H11" s="2"/>
      <c r="I11" s="2"/>
    </row>
    <row r="12">
      <c r="A12" s="1"/>
      <c r="B12" s="2"/>
      <c r="C12" s="2"/>
      <c r="D12" s="2"/>
      <c r="E12" s="2"/>
      <c r="F12" s="2"/>
      <c r="G12" s="2"/>
      <c r="H12" s="2"/>
      <c r="I12" s="2"/>
    </row>
    <row r="13">
      <c r="A13" s="1"/>
      <c r="B13" s="2"/>
      <c r="C13" s="2"/>
      <c r="D13" s="2"/>
      <c r="E13" s="2"/>
      <c r="F13" s="2"/>
      <c r="G13" s="2"/>
      <c r="H13" s="2"/>
      <c r="I13" s="2"/>
    </row>
    <row r="14">
      <c r="A14" s="1"/>
      <c r="B14" s="2"/>
      <c r="C14" s="2"/>
      <c r="D14" s="2"/>
      <c r="E14" s="2"/>
      <c r="F14" s="2"/>
      <c r="G14" s="2"/>
      <c r="H14" s="2"/>
      <c r="I14" s="2"/>
    </row>
    <row r="15">
      <c r="A15" s="1"/>
      <c r="B15" s="2"/>
      <c r="C15" s="2"/>
      <c r="D15" s="2"/>
      <c r="E15" s="2"/>
      <c r="F15" s="2"/>
      <c r="G15" s="2"/>
      <c r="H15" s="2"/>
      <c r="I15" s="2"/>
    </row>
    <row r="16">
      <c r="A16" s="1"/>
      <c r="B16" s="2"/>
      <c r="C16" s="2"/>
      <c r="D16" s="2"/>
      <c r="E16" s="2"/>
      <c r="F16" s="2"/>
      <c r="G16" s="2"/>
      <c r="H16" s="2"/>
      <c r="I16" s="2"/>
    </row>
    <row r="17">
      <c r="A17" s="1"/>
      <c r="B17" s="2"/>
      <c r="C17" s="2"/>
      <c r="D17" s="2"/>
      <c r="E17" s="2"/>
      <c r="F17" s="2"/>
      <c r="G17" s="2"/>
      <c r="H17" s="2"/>
      <c r="I17" s="2"/>
    </row>
    <row r="18">
      <c r="A18" s="1"/>
      <c r="B18" s="2"/>
      <c r="C18" s="2"/>
      <c r="D18" s="2"/>
      <c r="E18" s="2"/>
      <c r="F18" s="2"/>
      <c r="G18" s="2"/>
      <c r="H18" s="2"/>
      <c r="I18" s="2"/>
    </row>
    <row r="19">
      <c r="A19" s="1"/>
      <c r="B19" s="2"/>
      <c r="C19" s="2"/>
      <c r="D19" s="2"/>
      <c r="E19" s="2"/>
      <c r="F19" s="2"/>
      <c r="G19" s="2"/>
      <c r="H19" s="2"/>
      <c r="I19" s="2"/>
    </row>
    <row r="20">
      <c r="A20" s="1"/>
      <c r="B20" s="2"/>
      <c r="C20" s="2"/>
      <c r="D20" s="2"/>
      <c r="E20" s="2"/>
      <c r="F20" s="2"/>
      <c r="G20" s="2"/>
      <c r="H20" s="2"/>
      <c r="I20" s="2"/>
    </row>
    <row r="21">
      <c r="A21" s="1"/>
      <c r="B21" s="2"/>
      <c r="C21" s="2"/>
      <c r="D21" s="2"/>
      <c r="E21" s="2"/>
      <c r="F21" s="2"/>
      <c r="G21" s="2"/>
      <c r="H21" s="2"/>
      <c r="I21" s="2"/>
    </row>
    <row r="22">
      <c r="A22" s="1"/>
      <c r="B22" s="2"/>
      <c r="C22" s="2"/>
      <c r="D22" s="2"/>
      <c r="E22" s="2"/>
      <c r="F22" s="2"/>
      <c r="G22" s="2"/>
      <c r="H22" s="2"/>
      <c r="I22" s="2"/>
    </row>
    <row r="23">
      <c r="A23" s="1"/>
      <c r="B23" s="2"/>
      <c r="C23" s="2"/>
      <c r="D23" s="2"/>
      <c r="E23" s="2"/>
      <c r="F23" s="2"/>
      <c r="G23" s="2"/>
      <c r="H23" s="2"/>
      <c r="I23" s="2"/>
    </row>
    <row r="24">
      <c r="A24" s="1"/>
      <c r="B24" s="2"/>
      <c r="C24" s="2"/>
      <c r="D24" s="2"/>
      <c r="E24" s="2"/>
      <c r="F24" s="2"/>
      <c r="G24" s="2"/>
      <c r="H24" s="2"/>
      <c r="I24" s="2"/>
    </row>
    <row r="25">
      <c r="A25" s="1"/>
      <c r="B25" s="2"/>
      <c r="C25" s="2"/>
      <c r="D25" s="2"/>
      <c r="E25" s="2"/>
      <c r="F25" s="2"/>
      <c r="G25" s="2"/>
      <c r="H25" s="2"/>
      <c r="I25" s="2"/>
    </row>
    <row r="26">
      <c r="A26" s="1"/>
      <c r="B26" s="2"/>
      <c r="C26" s="2"/>
      <c r="D26" s="2"/>
      <c r="E26" s="2"/>
      <c r="F26" s="2"/>
      <c r="G26" s="2"/>
      <c r="H26" s="2"/>
      <c r="I26" s="2"/>
    </row>
    <row r="27">
      <c r="A27" s="1"/>
      <c r="B27" s="2"/>
      <c r="C27" s="2"/>
      <c r="D27" s="2"/>
      <c r="E27" s="2"/>
      <c r="F27" s="2"/>
      <c r="G27" s="2"/>
      <c r="H27" s="2"/>
      <c r="I27" s="2"/>
    </row>
    <row r="28">
      <c r="A28" s="1"/>
      <c r="B28" s="2"/>
      <c r="C28" s="2"/>
      <c r="D28" s="2"/>
      <c r="E28" s="2"/>
      <c r="F28" s="2"/>
      <c r="G28" s="2"/>
      <c r="H28" s="2"/>
      <c r="I28" s="2"/>
    </row>
    <row r="29">
      <c r="A29" s="1"/>
      <c r="B29" s="2"/>
      <c r="C29" s="2"/>
      <c r="D29" s="2"/>
      <c r="E29" s="2"/>
      <c r="F29" s="2"/>
      <c r="G29" s="2"/>
      <c r="H29" s="2"/>
      <c r="I29" s="2"/>
    </row>
    <row r="30">
      <c r="A30" s="1"/>
      <c r="B30" s="2"/>
      <c r="C30" s="2"/>
      <c r="D30" s="2"/>
      <c r="E30" s="2"/>
      <c r="F30" s="2"/>
      <c r="G30" s="2"/>
      <c r="H30" s="2"/>
      <c r="I30" s="2"/>
    </row>
    <row r="31">
      <c r="A31" s="1"/>
      <c r="B31" s="2"/>
      <c r="C31" s="2"/>
      <c r="D31" s="2"/>
      <c r="E31" s="2"/>
      <c r="F31" s="2"/>
      <c r="G31" s="2"/>
      <c r="H31" s="2"/>
      <c r="I31" s="2"/>
    </row>
    <row r="32">
      <c r="A32" s="1"/>
      <c r="B32" s="2"/>
      <c r="C32" s="2"/>
      <c r="D32" s="2"/>
      <c r="E32" s="2"/>
      <c r="F32" s="2"/>
      <c r="G32" s="2"/>
      <c r="H32" s="2"/>
      <c r="I32" s="2"/>
    </row>
    <row r="33">
      <c r="A33" s="1"/>
      <c r="B33" s="2"/>
      <c r="C33" s="2"/>
      <c r="D33" s="2"/>
      <c r="E33" s="2"/>
      <c r="F33" s="2"/>
      <c r="G33" s="2"/>
      <c r="H33" s="2"/>
      <c r="I33" s="2"/>
    </row>
    <row r="34">
      <c r="A34" s="1"/>
      <c r="B34" s="2"/>
      <c r="C34" s="2"/>
      <c r="D34" s="2"/>
      <c r="E34" s="2"/>
      <c r="F34" s="2"/>
      <c r="G34" s="2"/>
      <c r="H34" s="2"/>
      <c r="I34" s="2"/>
    </row>
    <row r="35">
      <c r="A35" s="1"/>
      <c r="B35" s="2"/>
      <c r="C35" s="2"/>
      <c r="D35" s="2"/>
      <c r="E35" s="2"/>
      <c r="F35" s="2"/>
      <c r="G35" s="2"/>
      <c r="H35" s="2"/>
      <c r="I35" s="2"/>
    </row>
    <row r="36">
      <c r="A36" s="1"/>
      <c r="B36" s="2"/>
      <c r="C36" s="2"/>
      <c r="D36" s="2"/>
      <c r="E36" s="2"/>
      <c r="F36" s="2"/>
      <c r="G36" s="2"/>
      <c r="H36" s="2"/>
      <c r="I36" s="2"/>
    </row>
    <row r="37">
      <c r="A37" s="1"/>
      <c r="B37" s="2"/>
      <c r="C37" s="2"/>
      <c r="D37" s="2"/>
      <c r="E37" s="2"/>
      <c r="F37" s="2"/>
      <c r="G37" s="2"/>
      <c r="H37" s="2"/>
      <c r="I37" s="2"/>
    </row>
    <row r="38">
      <c r="A38" s="1"/>
      <c r="B38" s="2"/>
      <c r="C38" s="2"/>
      <c r="D38" s="2"/>
      <c r="E38" s="2"/>
      <c r="F38" s="2"/>
      <c r="G38" s="2"/>
      <c r="H38" s="2"/>
      <c r="I38" s="2"/>
    </row>
    <row r="39">
      <c r="A39" s="1"/>
      <c r="B39" s="2"/>
      <c r="C39" s="2"/>
      <c r="D39" s="2"/>
      <c r="E39" s="2"/>
      <c r="F39" s="2"/>
      <c r="G39" s="2"/>
      <c r="H39" s="2"/>
      <c r="I39" s="2"/>
    </row>
    <row r="40">
      <c r="A40" s="1"/>
      <c r="B40" s="2"/>
      <c r="C40" s="2"/>
      <c r="D40" s="2"/>
      <c r="E40" s="2"/>
      <c r="F40" s="2"/>
      <c r="G40" s="2"/>
      <c r="H40" s="2"/>
      <c r="I40" s="2"/>
    </row>
    <row r="41">
      <c r="A41" s="1"/>
      <c r="B41" s="2"/>
      <c r="C41" s="2"/>
      <c r="D41" s="2"/>
      <c r="E41" s="2"/>
      <c r="F41" s="2"/>
      <c r="G41" s="2"/>
      <c r="H41" s="2"/>
      <c r="I41" s="2"/>
    </row>
    <row r="42">
      <c r="A42" s="1"/>
      <c r="B42" s="2"/>
      <c r="C42" s="2"/>
      <c r="D42" s="2"/>
      <c r="E42" s="2"/>
      <c r="F42" s="2"/>
      <c r="G42" s="2"/>
      <c r="H42" s="2"/>
      <c r="I42" s="2"/>
    </row>
    <row r="43">
      <c r="A43" s="1"/>
      <c r="B43" s="2"/>
      <c r="C43" s="2"/>
      <c r="D43" s="2"/>
      <c r="E43" s="2"/>
      <c r="F43" s="2"/>
      <c r="G43" s="2"/>
      <c r="H43" s="2"/>
      <c r="I43" s="2"/>
    </row>
    <row r="44">
      <c r="A44" s="1"/>
      <c r="B44" s="2"/>
      <c r="C44" s="2"/>
      <c r="D44" s="2"/>
      <c r="E44" s="2"/>
      <c r="F44" s="2"/>
      <c r="G44" s="2"/>
      <c r="H44" s="2"/>
      <c r="I44" s="2"/>
    </row>
    <row r="45">
      <c r="A45" s="1"/>
      <c r="B45" s="2"/>
      <c r="C45" s="2"/>
      <c r="D45" s="2"/>
      <c r="E45" s="2"/>
      <c r="F45" s="2"/>
      <c r="G45" s="2"/>
      <c r="H45" s="2"/>
      <c r="I45" s="2"/>
    </row>
    <row r="46">
      <c r="A46" s="1"/>
      <c r="B46" s="2"/>
      <c r="C46" s="2"/>
      <c r="D46" s="2"/>
      <c r="E46" s="2"/>
      <c r="F46" s="2"/>
      <c r="G46" s="2"/>
      <c r="H46" s="2"/>
      <c r="I46" s="2"/>
    </row>
    <row r="47">
      <c r="A47" s="1"/>
      <c r="B47" s="2"/>
      <c r="C47" s="2"/>
      <c r="D47" s="2"/>
      <c r="E47" s="2"/>
      <c r="F47" s="2"/>
      <c r="G47" s="2"/>
      <c r="H47" s="2"/>
      <c r="I47" s="2"/>
    </row>
    <row r="48">
      <c r="A48" s="1"/>
      <c r="B48" s="2"/>
      <c r="C48" s="2"/>
      <c r="D48" s="2"/>
      <c r="E48" s="2"/>
      <c r="F48" s="2"/>
      <c r="G48" s="2"/>
      <c r="H48" s="2"/>
      <c r="I48" s="2"/>
    </row>
    <row r="49">
      <c r="A49" s="1"/>
      <c r="B49" s="2"/>
      <c r="C49" s="2"/>
      <c r="D49" s="2"/>
      <c r="E49" s="2"/>
      <c r="F49" s="2"/>
      <c r="G49" s="2"/>
      <c r="H49" s="2"/>
      <c r="I49" s="2"/>
    </row>
    <row r="50">
      <c r="A50" s="1"/>
      <c r="B50" s="2"/>
      <c r="C50" s="2"/>
      <c r="D50" s="2"/>
      <c r="E50" s="2"/>
      <c r="F50" s="2"/>
      <c r="G50" s="2"/>
      <c r="H50" s="2"/>
      <c r="I50" s="2"/>
    </row>
    <row r="51">
      <c r="A51" s="1"/>
      <c r="B51" s="2"/>
      <c r="C51" s="2"/>
      <c r="D51" s="2"/>
      <c r="E51" s="2"/>
      <c r="F51" s="2"/>
      <c r="G51" s="2"/>
      <c r="H51" s="2"/>
      <c r="I51" s="2"/>
    </row>
    <row r="52">
      <c r="A52" s="1"/>
      <c r="B52" s="2"/>
      <c r="C52" s="2"/>
      <c r="D52" s="2"/>
      <c r="E52" s="2"/>
      <c r="F52" s="2"/>
      <c r="G52" s="2"/>
      <c r="H52" s="2"/>
      <c r="I52" s="2"/>
    </row>
    <row r="53">
      <c r="A53" s="1"/>
      <c r="B53" s="2"/>
      <c r="C53" s="2"/>
      <c r="D53" s="2"/>
      <c r="E53" s="2"/>
      <c r="F53" s="2"/>
      <c r="G53" s="2"/>
      <c r="H53" s="2"/>
      <c r="I53" s="2"/>
    </row>
    <row r="54">
      <c r="A54" s="1"/>
      <c r="B54" s="2"/>
      <c r="C54" s="2"/>
      <c r="D54" s="2"/>
      <c r="E54" s="2"/>
      <c r="F54" s="2"/>
      <c r="G54" s="2"/>
      <c r="H54" s="2"/>
      <c r="I54" s="2"/>
    </row>
    <row r="55">
      <c r="A55" s="1"/>
      <c r="B55" s="2"/>
      <c r="C55" s="2"/>
      <c r="D55" s="2"/>
      <c r="E55" s="2"/>
      <c r="F55" s="2"/>
      <c r="G55" s="2"/>
      <c r="H55" s="2"/>
      <c r="I55" s="2"/>
    </row>
    <row r="56">
      <c r="A56" s="1"/>
      <c r="B56" s="2"/>
      <c r="C56" s="2"/>
      <c r="D56" s="2"/>
      <c r="E56" s="2"/>
      <c r="F56" s="2"/>
      <c r="G56" s="2"/>
      <c r="H56" s="2"/>
      <c r="I56" s="2"/>
    </row>
    <row r="57">
      <c r="A57" s="1"/>
      <c r="B57" s="2"/>
      <c r="C57" s="2"/>
      <c r="D57" s="2"/>
      <c r="E57" s="2"/>
      <c r="F57" s="2"/>
      <c r="G57" s="2"/>
      <c r="H57" s="2"/>
      <c r="I57" s="2"/>
    </row>
    <row r="58">
      <c r="A58" s="1"/>
      <c r="B58" s="2"/>
      <c r="C58" s="2"/>
      <c r="D58" s="2"/>
      <c r="E58" s="2"/>
      <c r="F58" s="2"/>
      <c r="G58" s="2"/>
      <c r="H58" s="2"/>
      <c r="I58" s="2"/>
    </row>
    <row r="59">
      <c r="A59" s="1"/>
      <c r="B59" s="2"/>
      <c r="C59" s="2"/>
      <c r="D59" s="2"/>
      <c r="E59" s="2"/>
      <c r="F59" s="2"/>
      <c r="G59" s="2"/>
      <c r="H59" s="2"/>
      <c r="I59" s="2"/>
    </row>
    <row r="60">
      <c r="A60" s="1"/>
      <c r="B60" s="2"/>
      <c r="C60" s="2"/>
      <c r="D60" s="2"/>
      <c r="E60" s="2"/>
      <c r="F60" s="2"/>
      <c r="G60" s="2"/>
      <c r="H60" s="2"/>
      <c r="I60" s="2"/>
    </row>
    <row r="61">
      <c r="A61" s="1"/>
      <c r="B61" s="2"/>
      <c r="C61" s="2"/>
      <c r="D61" s="2"/>
      <c r="E61" s="2"/>
      <c r="F61" s="2"/>
      <c r="G61" s="2"/>
      <c r="H61" s="2"/>
      <c r="I61" s="2"/>
    </row>
    <row r="62">
      <c r="A62" s="1"/>
      <c r="B62" s="2"/>
      <c r="C62" s="2"/>
      <c r="D62" s="2"/>
      <c r="E62" s="2"/>
      <c r="F62" s="2"/>
      <c r="G62" s="2"/>
      <c r="H62" s="2"/>
      <c r="I62" s="2"/>
    </row>
    <row r="63">
      <c r="A63" s="1"/>
      <c r="B63" s="2"/>
      <c r="C63" s="2"/>
      <c r="D63" s="2"/>
      <c r="E63" s="2"/>
      <c r="F63" s="2"/>
      <c r="G63" s="2"/>
      <c r="H63" s="2"/>
      <c r="I63" s="2"/>
    </row>
    <row r="64">
      <c r="A64" s="1"/>
      <c r="B64" s="2"/>
      <c r="C64" s="2"/>
      <c r="D64" s="2"/>
      <c r="E64" s="2"/>
      <c r="F64" s="2"/>
      <c r="G64" s="2"/>
      <c r="H64" s="2"/>
      <c r="I64" s="2"/>
    </row>
    <row r="65">
      <c r="A65" s="1"/>
      <c r="B65" s="2"/>
      <c r="C65" s="2"/>
      <c r="D65" s="2"/>
      <c r="E65" s="2"/>
      <c r="F65" s="2"/>
      <c r="G65" s="2"/>
      <c r="H65" s="2"/>
      <c r="I65" s="2"/>
    </row>
    <row r="66">
      <c r="A66" s="1"/>
      <c r="B66" s="2"/>
      <c r="C66" s="2"/>
      <c r="D66" s="2"/>
      <c r="E66" s="2"/>
      <c r="F66" s="2"/>
      <c r="G66" s="2"/>
      <c r="H66" s="2"/>
      <c r="I66" s="2"/>
    </row>
    <row r="67">
      <c r="A67" s="1"/>
      <c r="B67" s="2"/>
      <c r="C67" s="2"/>
      <c r="D67" s="2"/>
      <c r="E67" s="2"/>
      <c r="F67" s="2"/>
      <c r="G67" s="2"/>
      <c r="H67" s="2"/>
      <c r="I67" s="2"/>
    </row>
    <row r="68">
      <c r="A68" s="1"/>
      <c r="B68" s="2"/>
      <c r="C68" s="2"/>
      <c r="D68" s="2"/>
      <c r="E68" s="2"/>
      <c r="F68" s="2"/>
      <c r="G68" s="2"/>
      <c r="H68" s="2"/>
      <c r="I68" s="2"/>
    </row>
    <row r="69">
      <c r="A69" s="1"/>
      <c r="B69" s="2"/>
      <c r="C69" s="2"/>
      <c r="D69" s="2"/>
      <c r="E69" s="2"/>
      <c r="F69" s="2"/>
      <c r="G69" s="2"/>
      <c r="H69" s="2"/>
      <c r="I69" s="2"/>
    </row>
    <row r="70">
      <c r="A70" s="1"/>
      <c r="B70" s="2"/>
      <c r="C70" s="2"/>
      <c r="D70" s="2"/>
      <c r="E70" s="2"/>
      <c r="F70" s="2"/>
      <c r="G70" s="2"/>
      <c r="H70" s="2"/>
      <c r="I70" s="2"/>
    </row>
    <row r="71">
      <c r="A71" s="1"/>
      <c r="B71" s="2"/>
      <c r="C71" s="2"/>
      <c r="D71" s="2"/>
      <c r="E71" s="2"/>
      <c r="F71" s="2"/>
      <c r="G71" s="2"/>
      <c r="H71" s="2"/>
      <c r="I71" s="2"/>
    </row>
    <row r="72">
      <c r="A72" s="1"/>
      <c r="B72" s="2"/>
      <c r="C72" s="2"/>
      <c r="D72" s="2"/>
      <c r="E72" s="2"/>
      <c r="F72" s="2"/>
      <c r="G72" s="2"/>
      <c r="H72" s="2"/>
      <c r="I72" s="2"/>
    </row>
    <row r="73">
      <c r="A73" s="1"/>
      <c r="B73" s="2"/>
      <c r="C73" s="2"/>
      <c r="D73" s="2"/>
      <c r="E73" s="2"/>
      <c r="F73" s="2"/>
      <c r="G73" s="2"/>
      <c r="H73" s="2"/>
      <c r="I73" s="2"/>
    </row>
    <row r="74">
      <c r="A74" s="1"/>
      <c r="B74" s="2"/>
      <c r="C74" s="2"/>
      <c r="D74" s="2"/>
      <c r="E74" s="2"/>
      <c r="F74" s="2"/>
      <c r="G74" s="2"/>
      <c r="H74" s="2"/>
      <c r="I74" s="2"/>
    </row>
    <row r="75">
      <c r="A75" s="1"/>
      <c r="B75" s="2"/>
      <c r="C75" s="2"/>
      <c r="D75" s="2"/>
      <c r="E75" s="2"/>
      <c r="F75" s="2"/>
      <c r="G75" s="2"/>
      <c r="H75" s="2"/>
      <c r="I75" s="2"/>
    </row>
    <row r="76">
      <c r="A76" s="1"/>
      <c r="B76" s="2"/>
      <c r="C76" s="2"/>
      <c r="D76" s="2"/>
      <c r="E76" s="2"/>
      <c r="F76" s="2"/>
      <c r="G76" s="2"/>
      <c r="H76" s="2"/>
      <c r="I76" s="2"/>
    </row>
    <row r="77">
      <c r="A77" s="1"/>
      <c r="B77" s="2"/>
      <c r="C77" s="2"/>
      <c r="D77" s="2"/>
      <c r="E77" s="2"/>
      <c r="F77" s="2"/>
      <c r="G77" s="2"/>
      <c r="H77" s="2"/>
      <c r="I77" s="2"/>
    </row>
    <row r="78">
      <c r="A78" s="1"/>
      <c r="B78" s="2"/>
      <c r="C78" s="2"/>
      <c r="D78" s="2"/>
      <c r="E78" s="2"/>
      <c r="F78" s="2"/>
      <c r="G78" s="2"/>
      <c r="H78" s="2"/>
      <c r="I78" s="2"/>
    </row>
    <row r="79">
      <c r="A79" s="1"/>
      <c r="B79" s="2"/>
      <c r="C79" s="2"/>
      <c r="D79" s="2"/>
      <c r="E79" s="2"/>
      <c r="F79" s="2"/>
      <c r="G79" s="2"/>
      <c r="H79" s="2"/>
      <c r="I79" s="2"/>
    </row>
    <row r="80">
      <c r="A80" s="1"/>
      <c r="B80" s="2"/>
      <c r="C80" s="2"/>
      <c r="D80" s="2"/>
      <c r="E80" s="2"/>
      <c r="F80" s="2"/>
      <c r="G80" s="2"/>
      <c r="H80" s="2"/>
      <c r="I80" s="2"/>
    </row>
    <row r="81">
      <c r="A81" s="1"/>
      <c r="B81" s="2"/>
      <c r="C81" s="2"/>
      <c r="D81" s="2"/>
      <c r="E81" s="2"/>
      <c r="F81" s="2"/>
      <c r="G81" s="2"/>
      <c r="H81" s="2"/>
      <c r="I81" s="2"/>
    </row>
    <row r="82">
      <c r="A82" s="1"/>
      <c r="B82" s="2"/>
      <c r="C82" s="2"/>
      <c r="D82" s="2"/>
      <c r="E82" s="2"/>
      <c r="F82" s="2"/>
      <c r="G82" s="2"/>
      <c r="H82" s="2"/>
      <c r="I82" s="2"/>
    </row>
    <row r="83">
      <c r="A83" s="1"/>
      <c r="B83" s="2"/>
      <c r="C83" s="2"/>
      <c r="D83" s="2"/>
      <c r="E83" s="2"/>
      <c r="F83" s="2"/>
      <c r="G83" s="2"/>
      <c r="H83" s="2"/>
      <c r="I83" s="2"/>
    </row>
    <row r="84">
      <c r="A84" s="1"/>
      <c r="B84" s="2"/>
      <c r="C84" s="2"/>
      <c r="D84" s="2"/>
      <c r="E84" s="2"/>
      <c r="F84" s="2"/>
      <c r="G84" s="2"/>
      <c r="H84" s="2"/>
      <c r="I84" s="2"/>
    </row>
    <row r="85">
      <c r="A85" s="1"/>
      <c r="B85" s="2"/>
      <c r="C85" s="2"/>
      <c r="D85" s="2"/>
      <c r="E85" s="2"/>
      <c r="F85" s="2"/>
      <c r="G85" s="2"/>
      <c r="H85" s="2"/>
      <c r="I85" s="2"/>
    </row>
    <row r="86">
      <c r="A86" s="1"/>
      <c r="B86" s="2"/>
      <c r="C86" s="2"/>
      <c r="D86" s="2"/>
      <c r="E86" s="2"/>
      <c r="F86" s="2"/>
      <c r="G86" s="2"/>
      <c r="H86" s="2"/>
      <c r="I86" s="2"/>
    </row>
    <row r="87">
      <c r="A87" s="1"/>
      <c r="B87" s="2"/>
      <c r="C87" s="2"/>
      <c r="D87" s="2"/>
      <c r="E87" s="2"/>
      <c r="F87" s="2"/>
      <c r="G87" s="2"/>
      <c r="H87" s="2"/>
      <c r="I87" s="2"/>
    </row>
    <row r="88">
      <c r="A88" s="1"/>
      <c r="B88" s="2"/>
      <c r="C88" s="2"/>
      <c r="D88" s="2"/>
      <c r="E88" s="2"/>
      <c r="F88" s="2"/>
      <c r="G88" s="2"/>
      <c r="H88" s="2"/>
      <c r="I88" s="2"/>
    </row>
    <row r="89">
      <c r="A89" s="1"/>
      <c r="B89" s="2"/>
      <c r="C89" s="2"/>
      <c r="D89" s="2"/>
      <c r="E89" s="2"/>
      <c r="F89" s="2"/>
      <c r="G89" s="2"/>
      <c r="H89" s="2"/>
      <c r="I89" s="2"/>
    </row>
    <row r="90">
      <c r="A90" s="1"/>
      <c r="B90" s="2"/>
      <c r="C90" s="2"/>
      <c r="D90" s="2"/>
      <c r="E90" s="2"/>
      <c r="F90" s="2"/>
      <c r="G90" s="2"/>
      <c r="H90" s="2"/>
      <c r="I90" s="2"/>
    </row>
    <row r="91">
      <c r="A91" s="1"/>
      <c r="B91" s="2"/>
      <c r="C91" s="2"/>
      <c r="D91" s="2"/>
      <c r="E91" s="2"/>
      <c r="F91" s="2"/>
      <c r="G91" s="2"/>
      <c r="H91" s="2"/>
      <c r="I91" s="2"/>
    </row>
    <row r="92">
      <c r="A92" s="1"/>
      <c r="B92" s="2"/>
      <c r="C92" s="2"/>
      <c r="D92" s="2"/>
      <c r="E92" s="2"/>
      <c r="F92" s="2"/>
      <c r="G92" s="2"/>
      <c r="H92" s="2"/>
      <c r="I92" s="2"/>
    </row>
    <row r="93">
      <c r="A93" s="1"/>
      <c r="B93" s="2"/>
      <c r="C93" s="2"/>
      <c r="D93" s="2"/>
      <c r="E93" s="2"/>
      <c r="F93" s="2"/>
      <c r="G93" s="2"/>
      <c r="H93" s="2"/>
      <c r="I93" s="2"/>
    </row>
    <row r="94">
      <c r="A94" s="1"/>
      <c r="B94" s="2"/>
      <c r="C94" s="2"/>
      <c r="D94" s="2"/>
      <c r="E94" s="2"/>
      <c r="F94" s="2"/>
      <c r="G94" s="2"/>
      <c r="H94" s="2"/>
      <c r="I94" s="2"/>
    </row>
    <row r="95">
      <c r="A95" s="1"/>
      <c r="B95" s="2"/>
      <c r="C95" s="2"/>
      <c r="D95" s="2"/>
      <c r="E95" s="2"/>
      <c r="F95" s="2"/>
      <c r="G95" s="2"/>
      <c r="H95" s="2"/>
      <c r="I95" s="2"/>
    </row>
    <row r="96">
      <c r="A96" s="1"/>
      <c r="B96" s="2"/>
      <c r="C96" s="2"/>
      <c r="D96" s="2"/>
      <c r="E96" s="2"/>
      <c r="F96" s="2"/>
      <c r="G96" s="2"/>
      <c r="H96" s="2"/>
      <c r="I96" s="2"/>
    </row>
    <row r="97">
      <c r="A97" s="1"/>
      <c r="B97" s="2"/>
      <c r="C97" s="2"/>
      <c r="D97" s="2"/>
      <c r="E97" s="2"/>
      <c r="F97" s="2"/>
      <c r="G97" s="2"/>
      <c r="H97" s="2"/>
      <c r="I97" s="2"/>
    </row>
    <row r="98">
      <c r="A98" s="1"/>
      <c r="B98" s="2"/>
      <c r="C98" s="2"/>
      <c r="D98" s="2"/>
      <c r="E98" s="2"/>
      <c r="F98" s="2"/>
      <c r="G98" s="2"/>
      <c r="H98" s="2"/>
      <c r="I98" s="2"/>
    </row>
    <row r="99">
      <c r="A99" s="1"/>
      <c r="B99" s="2"/>
      <c r="C99" s="2"/>
      <c r="D99" s="2"/>
      <c r="E99" s="2"/>
      <c r="F99" s="2"/>
      <c r="G99" s="2"/>
      <c r="H99" s="2"/>
      <c r="I99" s="2"/>
    </row>
    <row r="100">
      <c r="A100" s="1"/>
      <c r="B100" s="2"/>
      <c r="C100" s="2"/>
      <c r="D100" s="2"/>
      <c r="E100" s="2"/>
      <c r="F100" s="2"/>
      <c r="G100" s="2"/>
      <c r="H100" s="2"/>
      <c r="I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11.88"/>
    <col customWidth="1" min="4" max="4" width="10.38"/>
    <col customWidth="1" min="5" max="5" width="13.13"/>
    <col customWidth="1" min="6" max="6" width="10.38"/>
    <col customWidth="1" min="7" max="7" width="12.38"/>
    <col customWidth="1" min="8" max="16" width="10.38"/>
    <col customWidth="1" min="17" max="17" width="11.38"/>
    <col customWidth="1" min="18" max="23" width="10.38"/>
  </cols>
  <sheetData>
    <row r="1">
      <c r="C1" s="3" t="s">
        <v>9</v>
      </c>
      <c r="D1" s="4"/>
    </row>
    <row r="2">
      <c r="A2" s="5"/>
      <c r="B2" s="5" t="s">
        <v>10</v>
      </c>
      <c r="E2" s="6">
        <f>'Tehsil Reports'!N1</f>
        <v>44921</v>
      </c>
      <c r="F2" s="7" t="s">
        <v>11</v>
      </c>
      <c r="G2" s="8">
        <f>'Tehsil Reports'!Q1</f>
        <v>44951</v>
      </c>
      <c r="H2" s="9"/>
      <c r="I2" s="10"/>
      <c r="J2" s="10"/>
      <c r="K2" s="9"/>
      <c r="L2" s="10"/>
      <c r="M2" s="9"/>
      <c r="N2" s="9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</row>
    <row r="3">
      <c r="A3" s="11"/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13" t="s">
        <v>24</v>
      </c>
      <c r="O3" s="13" t="s">
        <v>25</v>
      </c>
      <c r="P3" s="13" t="s">
        <v>26</v>
      </c>
      <c r="Q3" s="13" t="s">
        <v>27</v>
      </c>
      <c r="R3" s="13" t="s">
        <v>28</v>
      </c>
      <c r="S3" s="13" t="s">
        <v>29</v>
      </c>
      <c r="T3" s="13" t="s">
        <v>30</v>
      </c>
      <c r="U3" s="14" t="s">
        <v>31</v>
      </c>
      <c r="V3" s="13" t="s">
        <v>32</v>
      </c>
      <c r="W3" s="13" t="s">
        <v>33</v>
      </c>
      <c r="X3" s="13" t="s">
        <v>34</v>
      </c>
      <c r="Y3" s="14" t="s">
        <v>35</v>
      </c>
      <c r="Z3" s="14" t="s">
        <v>36</v>
      </c>
      <c r="AA3" s="14" t="s">
        <v>37</v>
      </c>
      <c r="AB3" s="13" t="s">
        <v>38</v>
      </c>
      <c r="AC3" s="13" t="s">
        <v>39</v>
      </c>
      <c r="AD3" s="13" t="s">
        <v>40</v>
      </c>
      <c r="AE3" s="13" t="s">
        <v>41</v>
      </c>
      <c r="AF3" s="13" t="s">
        <v>42</v>
      </c>
      <c r="AG3" s="13" t="s">
        <v>43</v>
      </c>
      <c r="AH3" s="13" t="s">
        <v>44</v>
      </c>
      <c r="AI3" s="13" t="s">
        <v>45</v>
      </c>
      <c r="AJ3" s="14" t="s">
        <v>46</v>
      </c>
      <c r="AK3" s="13" t="s">
        <v>47</v>
      </c>
      <c r="AL3" s="13" t="s">
        <v>48</v>
      </c>
      <c r="AM3" s="13" t="s">
        <v>49</v>
      </c>
      <c r="AN3" s="13" t="s">
        <v>50</v>
      </c>
      <c r="AO3" s="13" t="s">
        <v>51</v>
      </c>
      <c r="AP3" s="13" t="s">
        <v>52</v>
      </c>
      <c r="AQ3" s="13" t="s">
        <v>53</v>
      </c>
      <c r="AR3" s="13" t="s">
        <v>54</v>
      </c>
      <c r="AS3" s="13" t="s">
        <v>55</v>
      </c>
      <c r="AT3" s="13" t="s">
        <v>56</v>
      </c>
      <c r="AU3" s="13" t="s">
        <v>57</v>
      </c>
      <c r="AV3" s="13" t="s">
        <v>58</v>
      </c>
      <c r="AW3" s="13" t="s">
        <v>59</v>
      </c>
      <c r="AX3" s="13" t="s">
        <v>60</v>
      </c>
      <c r="AY3" s="13" t="s">
        <v>61</v>
      </c>
      <c r="AZ3" s="14" t="s">
        <v>62</v>
      </c>
      <c r="BA3" s="13" t="s">
        <v>63</v>
      </c>
      <c r="BB3" s="13" t="s">
        <v>64</v>
      </c>
      <c r="BC3" s="13" t="s">
        <v>65</v>
      </c>
      <c r="BD3" s="14" t="s">
        <v>66</v>
      </c>
      <c r="BE3" s="13" t="s">
        <v>67</v>
      </c>
      <c r="BF3" s="13" t="s">
        <v>68</v>
      </c>
      <c r="BG3" s="13" t="s">
        <v>69</v>
      </c>
      <c r="BH3" s="13" t="s">
        <v>70</v>
      </c>
      <c r="BI3" s="13" t="s">
        <v>71</v>
      </c>
      <c r="BJ3" s="13" t="s">
        <v>72</v>
      </c>
      <c r="BK3" s="13" t="s">
        <v>73</v>
      </c>
      <c r="BL3" s="13" t="s">
        <v>74</v>
      </c>
      <c r="BM3" s="13" t="s">
        <v>75</v>
      </c>
      <c r="BN3" s="13" t="s">
        <v>76</v>
      </c>
      <c r="BO3" s="13" t="s">
        <v>77</v>
      </c>
      <c r="BP3" s="13" t="s">
        <v>78</v>
      </c>
      <c r="BQ3" s="13" t="s">
        <v>79</v>
      </c>
      <c r="BR3" s="13" t="s">
        <v>80</v>
      </c>
      <c r="BS3" s="13" t="s">
        <v>81</v>
      </c>
      <c r="BT3" s="13" t="s">
        <v>82</v>
      </c>
      <c r="BU3" s="13" t="s">
        <v>83</v>
      </c>
      <c r="BV3" s="13" t="s">
        <v>84</v>
      </c>
      <c r="BW3" s="14" t="s">
        <v>85</v>
      </c>
      <c r="BX3" s="14" t="s">
        <v>86</v>
      </c>
      <c r="BY3" s="13" t="s">
        <v>87</v>
      </c>
      <c r="BZ3" s="13" t="s">
        <v>88</v>
      </c>
      <c r="CA3" s="13" t="s">
        <v>89</v>
      </c>
      <c r="CB3" s="13" t="s">
        <v>90</v>
      </c>
      <c r="CC3" s="13" t="s">
        <v>91</v>
      </c>
      <c r="CD3" s="13" t="s">
        <v>92</v>
      </c>
      <c r="CE3" s="13" t="s">
        <v>93</v>
      </c>
      <c r="CF3" s="13" t="s">
        <v>94</v>
      </c>
      <c r="CG3" s="13" t="s">
        <v>95</v>
      </c>
      <c r="CH3" s="13" t="s">
        <v>96</v>
      </c>
      <c r="CI3" s="13" t="s">
        <v>97</v>
      </c>
      <c r="CJ3" s="13" t="s">
        <v>98</v>
      </c>
      <c r="CK3" s="13" t="s">
        <v>99</v>
      </c>
      <c r="CL3" s="13" t="s">
        <v>100</v>
      </c>
      <c r="CM3" s="13" t="s">
        <v>101</v>
      </c>
      <c r="CN3" s="13" t="s">
        <v>102</v>
      </c>
      <c r="CO3" s="13" t="s">
        <v>103</v>
      </c>
      <c r="CP3" s="13" t="s">
        <v>104</v>
      </c>
      <c r="CQ3" s="13" t="s">
        <v>105</v>
      </c>
      <c r="CR3" s="13" t="s">
        <v>106</v>
      </c>
      <c r="CS3" s="14" t="s">
        <v>107</v>
      </c>
      <c r="CT3" s="14" t="s">
        <v>108</v>
      </c>
      <c r="CU3" s="13" t="s">
        <v>109</v>
      </c>
      <c r="CV3" s="13" t="s">
        <v>110</v>
      </c>
      <c r="CW3" s="13" t="s">
        <v>111</v>
      </c>
      <c r="CX3" s="13" t="s">
        <v>112</v>
      </c>
      <c r="CY3" s="13" t="s">
        <v>113</v>
      </c>
      <c r="CZ3" s="13" t="s">
        <v>114</v>
      </c>
      <c r="DA3" s="13" t="s">
        <v>115</v>
      </c>
      <c r="DB3" s="13" t="s">
        <v>116</v>
      </c>
      <c r="DC3" s="13" t="s">
        <v>117</v>
      </c>
      <c r="DD3" s="13" t="s">
        <v>118</v>
      </c>
      <c r="DE3" s="13" t="s">
        <v>119</v>
      </c>
      <c r="DF3" s="13" t="s">
        <v>120</v>
      </c>
      <c r="DG3" s="13" t="s">
        <v>121</v>
      </c>
      <c r="DH3" s="13" t="s">
        <v>122</v>
      </c>
      <c r="DI3" s="13" t="s">
        <v>123</v>
      </c>
      <c r="DJ3" s="14" t="s">
        <v>124</v>
      </c>
      <c r="DK3" s="13" t="s">
        <v>125</v>
      </c>
      <c r="DL3" s="13" t="s">
        <v>126</v>
      </c>
      <c r="DM3" s="13" t="s">
        <v>127</v>
      </c>
      <c r="DN3" s="13" t="s">
        <v>128</v>
      </c>
      <c r="DO3" s="13" t="s">
        <v>129</v>
      </c>
      <c r="DP3" s="13" t="s">
        <v>130</v>
      </c>
      <c r="DQ3" s="13" t="s">
        <v>131</v>
      </c>
      <c r="DR3" s="13" t="s">
        <v>132</v>
      </c>
      <c r="DS3" s="13" t="s">
        <v>133</v>
      </c>
      <c r="DT3" s="13" t="s">
        <v>134</v>
      </c>
      <c r="DU3" s="14" t="s">
        <v>135</v>
      </c>
      <c r="DV3" s="13" t="s">
        <v>136</v>
      </c>
      <c r="DW3" s="13" t="s">
        <v>137</v>
      </c>
      <c r="DX3" s="13" t="s">
        <v>138</v>
      </c>
      <c r="DY3" s="13" t="s">
        <v>139</v>
      </c>
      <c r="DZ3" s="13" t="s">
        <v>140</v>
      </c>
      <c r="EA3" s="14" t="s">
        <v>141</v>
      </c>
      <c r="EB3" s="14" t="s">
        <v>142</v>
      </c>
      <c r="EC3" s="14" t="s">
        <v>143</v>
      </c>
      <c r="ED3" s="14" t="s">
        <v>144</v>
      </c>
      <c r="EE3" s="14" t="s">
        <v>145</v>
      </c>
      <c r="EF3" s="14" t="s">
        <v>146</v>
      </c>
      <c r="EG3" s="14" t="s">
        <v>147</v>
      </c>
      <c r="EH3" s="14" t="s">
        <v>148</v>
      </c>
      <c r="EI3" s="14" t="s">
        <v>149</v>
      </c>
      <c r="EJ3" s="14" t="s">
        <v>150</v>
      </c>
      <c r="EK3" s="15" t="s">
        <v>151</v>
      </c>
      <c r="EL3" s="16"/>
    </row>
    <row r="4">
      <c r="A4" s="17" t="s">
        <v>152</v>
      </c>
      <c r="B4" s="18">
        <f>sumifs('Form responses'!G2:G53,'Form responses'!$C$2:$C53,"&gt;="&amp;$E$2,'Form responses'!$C$2:$C53,"&lt;="&amp;$G$2)</f>
        <v>0</v>
      </c>
      <c r="C4" s="18">
        <f>sumifs('Form responses'!H2:H53,'Form responses'!$C$2:$C53,"&gt;="&amp;$E$2,'Form responses'!$C$2:$C53,"&lt;="&amp;$G$2)</f>
        <v>0</v>
      </c>
      <c r="D4" s="18">
        <f>sumifs('Form responses'!I2:I53,'Form responses'!$C$2:$C53,"&gt;="&amp;$E$2,'Form responses'!$C$2:$C53,"&lt;="&amp;$G$2)</f>
        <v>0</v>
      </c>
      <c r="E4" s="18">
        <f>sumifs('Form responses'!J2:J53,'Form responses'!$C$2:$C53,"&gt;="&amp;$E$2,'Form responses'!$C$2:$C53,"&lt;="&amp;$G$2)</f>
        <v>0</v>
      </c>
      <c r="F4" s="18">
        <f>sumifs('Form responses'!K2:K53,'Form responses'!$C$2:$C53,"&gt;="&amp;$E$2,'Form responses'!$C$2:$C53,"&lt;="&amp;$G$2)</f>
        <v>0</v>
      </c>
      <c r="G4" s="18">
        <f>sumifs('Form responses'!L2:L53,'Form responses'!$C$2:$C53,"&gt;="&amp;$E$2,'Form responses'!$C$2:$C53,"&lt;="&amp;$G$2)</f>
        <v>0</v>
      </c>
      <c r="H4" s="18">
        <f>sumifs('Form responses'!M2:M53,'Form responses'!$C$2:$C53,"&gt;="&amp;$E$2,'Form responses'!$C$2:$C53,"&lt;="&amp;$G$2)</f>
        <v>0</v>
      </c>
      <c r="I4" s="18">
        <f>sumifs('Form responses'!N2:N53,'Form responses'!$C$2:$C53,"&gt;="&amp;$E$2,'Form responses'!$C$2:$C53,"&lt;="&amp;$G$2)</f>
        <v>0</v>
      </c>
      <c r="J4" s="18">
        <f>sumifs('Form responses'!O2:O53,'Form responses'!$C$2:$C53,"&gt;="&amp;$E$2,'Form responses'!$C$2:$C53,"&lt;="&amp;$G$2)</f>
        <v>0</v>
      </c>
      <c r="K4" s="18">
        <f>sumifs('Form responses'!P2:P53,'Form responses'!$C$2:$C53,"&gt;="&amp;$E$2,'Form responses'!$C$2:$C53,"&lt;="&amp;$G$2)</f>
        <v>0</v>
      </c>
      <c r="L4" s="18">
        <f>sumifs('Form responses'!Q2:Q53,'Form responses'!$C$2:$C53,"&gt;="&amp;$E$2,'Form responses'!$C$2:$C53,"&lt;="&amp;$G$2)</f>
        <v>0</v>
      </c>
      <c r="M4" s="18">
        <f>sumifs('Form responses'!R2:R53,'Form responses'!$C$2:$C53,"&gt;="&amp;$E$2,'Form responses'!$C$2:$C53,"&lt;="&amp;$G$2)</f>
        <v>0</v>
      </c>
      <c r="N4" s="18">
        <f>sumifs('Form responses'!S2:S53,'Form responses'!$C$2:$C53,"&gt;="&amp;$E$2,'Form responses'!$C$2:$C53,"&lt;="&amp;$G$2)</f>
        <v>0</v>
      </c>
      <c r="O4" s="18">
        <f>sumifs('Form responses'!T2:T53,'Form responses'!$C$2:$C53,"&gt;="&amp;$E$2,'Form responses'!$C$2:$C53,"&lt;="&amp;$G$2)</f>
        <v>0</v>
      </c>
      <c r="P4" s="18">
        <f>sumifs('Form responses'!U2:U53,'Form responses'!$C$2:$C53,"&gt;="&amp;$E$2,'Form responses'!$C$2:$C53,"&lt;="&amp;$G$2)</f>
        <v>0</v>
      </c>
      <c r="Q4" s="18">
        <f>sumifs('Form responses'!V2:V53,'Form responses'!$C$2:$C53,"&gt;="&amp;$E$2,'Form responses'!$C$2:$C53,"&lt;="&amp;$G$2)</f>
        <v>0</v>
      </c>
      <c r="R4" s="18">
        <f>sumifs('Form responses'!W2:W53,'Form responses'!$C$2:$C53,"&gt;="&amp;$E$2,'Form responses'!$C$2:$C53,"&lt;="&amp;$G$2)</f>
        <v>0</v>
      </c>
      <c r="S4" s="18">
        <f>sumifs('Form responses'!X2:X53,'Form responses'!$C$2:$C53,"&gt;="&amp;$E$2,'Form responses'!$C$2:$C53,"&lt;="&amp;$G$2)</f>
        <v>0</v>
      </c>
      <c r="T4" s="18">
        <f>sumifs('Form responses'!Y2:Y53,'Form responses'!$C$2:$C53,"&gt;="&amp;$E$2,'Form responses'!$C$2:$C53,"&lt;="&amp;$G$2)</f>
        <v>0</v>
      </c>
      <c r="U4" s="18">
        <f>sumifs('Form responses'!Z2:Z53,'Form responses'!$C$2:$C53,"&gt;="&amp;$E$2,'Form responses'!$C$2:$C53,"&lt;="&amp;$G$2)</f>
        <v>0</v>
      </c>
      <c r="V4" s="18">
        <f>sumifs('Form responses'!AA2:AA53,'Form responses'!$C$2:$C53,"&gt;="&amp;$E$2,'Form responses'!$C$2:$C53,"&lt;="&amp;$G$2)</f>
        <v>0</v>
      </c>
      <c r="W4" s="18">
        <f>sumifs('Form responses'!AB2:AB53,'Form responses'!$C$2:$C53,"&gt;="&amp;$E$2,'Form responses'!$C$2:$C53,"&lt;="&amp;$G$2)</f>
        <v>0</v>
      </c>
      <c r="X4" s="18">
        <f>sumifs('Form responses'!AC2:AC53,'Form responses'!$C$2:$C53,"&gt;="&amp;$E$2,'Form responses'!$C$2:$C53,"&lt;="&amp;$G$2)</f>
        <v>0</v>
      </c>
      <c r="Y4" s="18">
        <f>sumifs('Form responses'!AD2:AD53,'Form responses'!$C$2:$C53,"&gt;="&amp;$E$2,'Form responses'!$C$2:$C53,"&lt;="&amp;$G$2)</f>
        <v>0</v>
      </c>
      <c r="Z4" s="18">
        <f>sumifs('Form responses'!AE2:AE53,'Form responses'!$C$2:$C53,"&gt;="&amp;$E$2,'Form responses'!$C$2:$C53,"&lt;="&amp;$G$2)</f>
        <v>0</v>
      </c>
      <c r="AA4" s="18">
        <f>sumifs('Form responses'!AF2:AF53,'Form responses'!$C$2:$C53,"&gt;="&amp;$E$2,'Form responses'!$C$2:$C53,"&lt;="&amp;$G$2)</f>
        <v>0</v>
      </c>
      <c r="AB4" s="18">
        <f>sumifs('Form responses'!AG2:AG53,'Form responses'!$C$2:$C53,"&gt;="&amp;$E$2,'Form responses'!$C$2:$C53,"&lt;="&amp;$G$2)</f>
        <v>0</v>
      </c>
      <c r="AC4" s="18">
        <f>sumifs('Form responses'!AH2:AH53,'Form responses'!$C$2:$C53,"&gt;="&amp;$E$2,'Form responses'!$C$2:$C53,"&lt;="&amp;$G$2)</f>
        <v>0</v>
      </c>
      <c r="AD4" s="18">
        <f>sumifs('Form responses'!AI2:AI53,'Form responses'!$C$2:$C53,"&gt;="&amp;$E$2,'Form responses'!$C$2:$C53,"&lt;="&amp;$G$2)</f>
        <v>0</v>
      </c>
      <c r="AE4" s="18">
        <f>sumifs('Form responses'!AJ2:AJ53,'Form responses'!$C$2:$C53,"&gt;="&amp;$E$2,'Form responses'!$C$2:$C53,"&lt;="&amp;$G$2)</f>
        <v>0</v>
      </c>
      <c r="AF4" s="18">
        <f>sumifs('Form responses'!AK2:AK53,'Form responses'!$C$2:$C53,"&gt;="&amp;$E$2,'Form responses'!$C$2:$C53,"&lt;="&amp;$G$2)</f>
        <v>0</v>
      </c>
      <c r="AG4" s="18">
        <f>sumifs('Form responses'!AL2:AL53,'Form responses'!$C$2:$C53,"&gt;="&amp;$E$2,'Form responses'!$C$2:$C53,"&lt;="&amp;$G$2)</f>
        <v>0</v>
      </c>
      <c r="AH4" s="18">
        <f>sumifs('Form responses'!AM2:AM53,'Form responses'!$C$2:$C53,"&gt;="&amp;$E$2,'Form responses'!$C$2:$C53,"&lt;="&amp;$G$2)</f>
        <v>0</v>
      </c>
      <c r="AI4" s="18">
        <f>sumifs('Form responses'!AN2:AN53,'Form responses'!$C$2:$C53,"&gt;="&amp;$E$2,'Form responses'!$C$2:$C53,"&lt;="&amp;$G$2)</f>
        <v>0</v>
      </c>
      <c r="AJ4" s="18">
        <f>sumifs('Form responses'!AO2:AO53,'Form responses'!$C$2:$C53,"&gt;="&amp;$E$2,'Form responses'!$C$2:$C53,"&lt;="&amp;$G$2)</f>
        <v>0</v>
      </c>
      <c r="AK4" s="18">
        <f>sumifs('Form responses'!AP2:AP53,'Form responses'!$C$2:$C53,"&gt;="&amp;$E$2,'Form responses'!$C$2:$C53,"&lt;="&amp;$G$2)</f>
        <v>0</v>
      </c>
      <c r="AL4" s="18">
        <f>sumifs('Form responses'!AQ2:AQ53,'Form responses'!$C$2:$C53,"&gt;="&amp;$E$2,'Form responses'!$C$2:$C53,"&lt;="&amp;$G$2)</f>
        <v>0</v>
      </c>
      <c r="AM4" s="18">
        <f>sumifs('Form responses'!AR2:AR53,'Form responses'!$C$2:$C53,"&gt;="&amp;$E$2,'Form responses'!$C$2:$C53,"&lt;="&amp;$G$2)</f>
        <v>0</v>
      </c>
      <c r="AN4" s="18">
        <f>sumifs('Form responses'!AS2:AS53,'Form responses'!$C$2:$C53,"&gt;="&amp;$E$2,'Form responses'!$C$2:$C53,"&lt;="&amp;$G$2)</f>
        <v>0</v>
      </c>
      <c r="AO4" s="18">
        <f>sumifs('Form responses'!AT2:AT53,'Form responses'!$C$2:$C53,"&gt;="&amp;$E$2,'Form responses'!$C$2:$C53,"&lt;="&amp;$G$2)</f>
        <v>0</v>
      </c>
      <c r="AP4" s="18">
        <f>sumifs('Form responses'!AU2:AU53,'Form responses'!$C$2:$C53,"&gt;="&amp;$E$2,'Form responses'!$C$2:$C53,"&lt;="&amp;$G$2)</f>
        <v>0</v>
      </c>
      <c r="AQ4" s="18">
        <f>sumifs('Form responses'!AV2:AV53,'Form responses'!$C$2:$C53,"&gt;="&amp;$E$2,'Form responses'!$C$2:$C53,"&lt;="&amp;$G$2)</f>
        <v>0</v>
      </c>
      <c r="AR4" s="18">
        <f>sumifs('Form responses'!AW2:AW53,'Form responses'!$C$2:$C53,"&gt;="&amp;$E$2,'Form responses'!$C$2:$C53,"&lt;="&amp;$G$2)</f>
        <v>0</v>
      </c>
      <c r="AS4" s="18">
        <f>sumifs('Form responses'!AX2:AX53,'Form responses'!$C$2:$C53,"&gt;="&amp;$E$2,'Form responses'!$C$2:$C53,"&lt;="&amp;$G$2)</f>
        <v>0</v>
      </c>
      <c r="AT4" s="18">
        <f>sumifs('Form responses'!AY2:AY53,'Form responses'!$C$2:$C53,"&gt;="&amp;$E$2,'Form responses'!$C$2:$C53,"&lt;="&amp;$G$2)</f>
        <v>0</v>
      </c>
      <c r="AU4" s="18">
        <f>sumifs('Form responses'!AZ2:AZ53,'Form responses'!$C$2:$C53,"&gt;="&amp;$E$2,'Form responses'!$C$2:$C53,"&lt;="&amp;$G$2)</f>
        <v>0</v>
      </c>
      <c r="AV4" s="18">
        <f>sumifs('Form responses'!BA2:BA53,'Form responses'!$C$2:$C53,"&gt;="&amp;$E$2,'Form responses'!$C$2:$C53,"&lt;="&amp;$G$2)</f>
        <v>0</v>
      </c>
      <c r="AW4" s="18">
        <f>sumifs('Form responses'!BB2:BB53,'Form responses'!$C$2:$C53,"&gt;="&amp;$E$2,'Form responses'!$C$2:$C53,"&lt;="&amp;$G$2)</f>
        <v>0</v>
      </c>
      <c r="AX4" s="18">
        <f>sumifs('Form responses'!BC2:BC53,'Form responses'!$C$2:$C53,"&gt;="&amp;$E$2,'Form responses'!$C$2:$C53,"&lt;="&amp;$G$2)</f>
        <v>0</v>
      </c>
      <c r="AY4" s="18">
        <f>sumifs('Form responses'!BD2:BD53,'Form responses'!$C$2:$C53,"&gt;="&amp;$E$2,'Form responses'!$C$2:$C53,"&lt;="&amp;$G$2)</f>
        <v>0</v>
      </c>
      <c r="AZ4" s="18">
        <f>sumifs('Form responses'!BE2:BE53,'Form responses'!$C$2:$C53,"&gt;="&amp;$E$2,'Form responses'!$C$2:$C53,"&lt;="&amp;$G$2)</f>
        <v>0</v>
      </c>
      <c r="BA4" s="18">
        <f>sumifs('Form responses'!BF2:BF53,'Form responses'!$C$2:$C53,"&gt;="&amp;$E$2,'Form responses'!$C$2:$C53,"&lt;="&amp;$G$2)</f>
        <v>0</v>
      </c>
      <c r="BB4" s="18">
        <f>sumifs('Form responses'!BG2:BG53,'Form responses'!$C$2:$C53,"&gt;="&amp;$E$2,'Form responses'!$C$2:$C53,"&lt;="&amp;$G$2)</f>
        <v>0</v>
      </c>
      <c r="BC4" s="18">
        <f>sumifs('Form responses'!BH2:BH53,'Form responses'!$C$2:$C53,"&gt;="&amp;$E$2,'Form responses'!$C$2:$C53,"&lt;="&amp;$G$2)</f>
        <v>0</v>
      </c>
      <c r="BD4" s="18">
        <f>sumifs('Form responses'!BI2:BI53,'Form responses'!$C$2:$C53,"&gt;="&amp;$E$2,'Form responses'!$C$2:$C53,"&lt;="&amp;$G$2)</f>
        <v>0</v>
      </c>
      <c r="BE4" s="18">
        <f>sumifs('Form responses'!BJ2:BJ53,'Form responses'!$C$2:$C53,"&gt;="&amp;$E$2,'Form responses'!$C$2:$C53,"&lt;="&amp;$G$2)</f>
        <v>0</v>
      </c>
      <c r="BF4" s="18">
        <f>sumifs('Form responses'!BK2:BK53,'Form responses'!$C$2:$C53,"&gt;="&amp;$E$2,'Form responses'!$C$2:$C53,"&lt;="&amp;$G$2)</f>
        <v>0</v>
      </c>
      <c r="BG4" s="18">
        <f>sumifs('Form responses'!BL2:BL53,'Form responses'!$C$2:$C53,"&gt;="&amp;$E$2,'Form responses'!$C$2:$C53,"&lt;="&amp;$G$2)</f>
        <v>0</v>
      </c>
      <c r="BH4" s="18">
        <f>sumifs('Form responses'!BM2:BM53,'Form responses'!$C$2:$C53,"&gt;="&amp;$E$2,'Form responses'!$C$2:$C53,"&lt;="&amp;$G$2)</f>
        <v>0</v>
      </c>
      <c r="BI4" s="18">
        <f>sumifs('Form responses'!BN2:BN53,'Form responses'!$C$2:$C53,"&gt;="&amp;$E$2,'Form responses'!$C$2:$C53,"&lt;="&amp;$G$2)</f>
        <v>0</v>
      </c>
      <c r="BJ4" s="18">
        <f>sumifs('Form responses'!BO2:BO53,'Form responses'!$C$2:$C53,"&gt;="&amp;$E$2,'Form responses'!$C$2:$C53,"&lt;="&amp;$G$2)</f>
        <v>0</v>
      </c>
      <c r="BK4" s="18">
        <f>sumifs('Form responses'!BP2:BP53,'Form responses'!$C$2:$C53,"&gt;="&amp;$E$2,'Form responses'!$C$2:$C53,"&lt;="&amp;$G$2)</f>
        <v>0</v>
      </c>
      <c r="BL4" s="18">
        <f>sumifs('Form responses'!BQ2:BQ53,'Form responses'!$C$2:$C53,"&gt;="&amp;$E$2,'Form responses'!$C$2:$C53,"&lt;="&amp;$G$2)</f>
        <v>0</v>
      </c>
      <c r="BM4" s="18">
        <f>sumifs('Form responses'!BR2:BR53,'Form responses'!$C$2:$C53,"&gt;="&amp;$E$2,'Form responses'!$C$2:$C53,"&lt;="&amp;$G$2)</f>
        <v>0</v>
      </c>
      <c r="BN4" s="18">
        <f>sumifs('Form responses'!BS2:BS53,'Form responses'!$C$2:$C53,"&gt;="&amp;$E$2,'Form responses'!$C$2:$C53,"&lt;="&amp;$G$2)</f>
        <v>0</v>
      </c>
      <c r="BO4" s="18">
        <f>sumifs('Form responses'!BT2:BT53,'Form responses'!$C$2:$C53,"&gt;="&amp;$E$2,'Form responses'!$C$2:$C53,"&lt;="&amp;$G$2)</f>
        <v>0</v>
      </c>
      <c r="BP4" s="18">
        <f>sumifs('Form responses'!BU2:BU53,'Form responses'!$C$2:$C53,"&gt;="&amp;$E$2,'Form responses'!$C$2:$C53,"&lt;="&amp;$G$2)</f>
        <v>0</v>
      </c>
      <c r="BQ4" s="18">
        <f>sumifs('Form responses'!BV2:BV53,'Form responses'!$C$2:$C53,"&gt;="&amp;$E$2,'Form responses'!$C$2:$C53,"&lt;="&amp;$G$2)</f>
        <v>0</v>
      </c>
      <c r="BR4" s="18">
        <f>sumifs('Form responses'!BW2:BW53,'Form responses'!$C$2:$C53,"&gt;="&amp;$E$2,'Form responses'!$C$2:$C53,"&lt;="&amp;$G$2)</f>
        <v>0</v>
      </c>
      <c r="BS4" s="18">
        <f>sumifs('Form responses'!BX2:BX53,'Form responses'!$C$2:$C53,"&gt;="&amp;$E$2,'Form responses'!$C$2:$C53,"&lt;="&amp;$G$2)</f>
        <v>0</v>
      </c>
      <c r="BT4" s="18">
        <f>sumifs('Form responses'!BY2:BY53,'Form responses'!$C$2:$C53,"&gt;="&amp;$E$2,'Form responses'!$C$2:$C53,"&lt;="&amp;$G$2)</f>
        <v>0</v>
      </c>
      <c r="BU4" s="18">
        <f>sumifs('Form responses'!BZ2:BZ53,'Form responses'!$C$2:$C53,"&gt;="&amp;$E$2,'Form responses'!$C$2:$C53,"&lt;="&amp;$G$2)</f>
        <v>0</v>
      </c>
      <c r="BV4" s="18">
        <f>sumifs('Form responses'!CA2:CA53,'Form responses'!$C$2:$C53,"&gt;="&amp;$E$2,'Form responses'!$C$2:$C53,"&lt;="&amp;$G$2)</f>
        <v>0</v>
      </c>
      <c r="BW4" s="18">
        <f>sumifs('Form responses'!CB2:CB53,'Form responses'!$C$2:$C53,"&gt;="&amp;$E$2,'Form responses'!$C$2:$C53,"&lt;="&amp;$G$2)</f>
        <v>0</v>
      </c>
      <c r="BX4" s="18">
        <f>sumifs('Form responses'!CC2:CC53,'Form responses'!$C$2:$C53,"&gt;="&amp;$E$2,'Form responses'!$C$2:$C53,"&lt;="&amp;$G$2)</f>
        <v>0</v>
      </c>
      <c r="BY4" s="18">
        <f>sumifs('Form responses'!CD2:CD53,'Form responses'!$C$2:$C53,"&gt;="&amp;$E$2,'Form responses'!$C$2:$C53,"&lt;="&amp;$G$2)</f>
        <v>0</v>
      </c>
      <c r="BZ4" s="18">
        <f>sumifs('Form responses'!CE2:CE53,'Form responses'!$C$2:$C53,"&gt;="&amp;$E$2,'Form responses'!$C$2:$C53,"&lt;="&amp;$G$2)</f>
        <v>0</v>
      </c>
      <c r="CA4" s="18">
        <f>sumifs('Form responses'!CF2:CF53,'Form responses'!$C$2:$C53,"&gt;="&amp;$E$2,'Form responses'!$C$2:$C53,"&lt;="&amp;$G$2)</f>
        <v>0</v>
      </c>
      <c r="CB4" s="18">
        <f>sumifs('Form responses'!CG2:CG53,'Form responses'!$C$2:$C53,"&gt;="&amp;$E$2,'Form responses'!$C$2:$C53,"&lt;="&amp;$G$2)</f>
        <v>0</v>
      </c>
      <c r="CC4" s="18">
        <f>sumifs('Form responses'!CH2:CH53,'Form responses'!$C$2:$C53,"&gt;="&amp;$E$2,'Form responses'!$C$2:$C53,"&lt;="&amp;$G$2)</f>
        <v>0</v>
      </c>
      <c r="CD4" s="18">
        <f>sumifs('Form responses'!CI2:CI53,'Form responses'!$C$2:$C53,"&gt;="&amp;$E$2,'Form responses'!$C$2:$C53,"&lt;="&amp;$G$2)</f>
        <v>0</v>
      </c>
      <c r="CE4" s="18">
        <f>sumifs('Form responses'!CJ2:CJ53,'Form responses'!$C$2:$C53,"&gt;="&amp;$E$2,'Form responses'!$C$2:$C53,"&lt;="&amp;$G$2)</f>
        <v>0</v>
      </c>
      <c r="CF4" s="18">
        <f>sumifs('Form responses'!CK2:CK53,'Form responses'!$C$2:$C53,"&gt;="&amp;$E$2,'Form responses'!$C$2:$C53,"&lt;="&amp;$G$2)</f>
        <v>0</v>
      </c>
      <c r="CG4" s="18">
        <f>sumifs('Form responses'!CL2:CL53,'Form responses'!$C$2:$C53,"&gt;="&amp;$E$2,'Form responses'!$C$2:$C53,"&lt;="&amp;$G$2)</f>
        <v>0</v>
      </c>
      <c r="CH4" s="18">
        <f>sumifs('Form responses'!CM2:CM53,'Form responses'!$C$2:$C53,"&gt;="&amp;$E$2,'Form responses'!$C$2:$C53,"&lt;="&amp;$G$2)</f>
        <v>0</v>
      </c>
      <c r="CI4" s="18">
        <f>sumifs('Form responses'!CN2:CN53,'Form responses'!$C$2:$C53,"&gt;="&amp;$E$2,'Form responses'!$C$2:$C53,"&lt;="&amp;$G$2)</f>
        <v>0</v>
      </c>
      <c r="CJ4" s="18">
        <f>sumifs('Form responses'!CO2:CO53,'Form responses'!$C$2:$C53,"&gt;="&amp;$E$2,'Form responses'!$C$2:$C53,"&lt;="&amp;$G$2)</f>
        <v>0</v>
      </c>
      <c r="CK4" s="18">
        <f>sumifs('Form responses'!CP2:CP53,'Form responses'!$C$2:$C53,"&gt;="&amp;$E$2,'Form responses'!$C$2:$C53,"&lt;="&amp;$G$2)</f>
        <v>0</v>
      </c>
      <c r="CL4" s="18">
        <f>sumifs('Form responses'!CQ2:CQ53,'Form responses'!$C$2:$C53,"&gt;="&amp;$E$2,'Form responses'!$C$2:$C53,"&lt;="&amp;$G$2)</f>
        <v>0</v>
      </c>
      <c r="CM4" s="18">
        <f>sumifs('Form responses'!CR2:CR53,'Form responses'!$C$2:$C53,"&gt;="&amp;$E$2,'Form responses'!$C$2:$C53,"&lt;="&amp;$G$2)</f>
        <v>0</v>
      </c>
      <c r="CN4" s="18">
        <f>sumifs('Form responses'!CS2:CS53,'Form responses'!$C$2:$C53,"&gt;="&amp;$E$2,'Form responses'!$C$2:$C53,"&lt;="&amp;$G$2)</f>
        <v>0</v>
      </c>
      <c r="CO4" s="18">
        <f>sumifs('Form responses'!CT2:CT53,'Form responses'!$C$2:$C53,"&gt;="&amp;$E$2,'Form responses'!$C$2:$C53,"&lt;="&amp;$G$2)</f>
        <v>0</v>
      </c>
      <c r="CP4" s="18">
        <f>sumifs('Form responses'!CU2:CU53,'Form responses'!$C$2:$C53,"&gt;="&amp;$E$2,'Form responses'!$C$2:$C53,"&lt;="&amp;$G$2)</f>
        <v>0</v>
      </c>
      <c r="CQ4" s="18">
        <f>sumifs('Form responses'!CV2:CV53,'Form responses'!$C$2:$C53,"&gt;="&amp;$E$2,'Form responses'!$C$2:$C53,"&lt;="&amp;$G$2)</f>
        <v>0</v>
      </c>
      <c r="CR4" s="18">
        <f>sumifs('Form responses'!CW2:CW53,'Form responses'!$C$2:$C53,"&gt;="&amp;$E$2,'Form responses'!$C$2:$C53,"&lt;="&amp;$G$2)</f>
        <v>0</v>
      </c>
      <c r="CS4" s="18">
        <f>sumifs('Form responses'!CX2:CX53,'Form responses'!$C$2:$C53,"&gt;="&amp;$E$2,'Form responses'!$C$2:$C53,"&lt;="&amp;$G$2)</f>
        <v>0</v>
      </c>
      <c r="CT4" s="18">
        <f>sumifs('Form responses'!CY2:CY53,'Form responses'!$C$2:$C53,"&gt;="&amp;$E$2,'Form responses'!$C$2:$C53,"&lt;="&amp;$G$2)</f>
        <v>0</v>
      </c>
      <c r="CU4" s="18">
        <f>sumifs('Form responses'!CZ2:CZ53,'Form responses'!$C$2:$C53,"&gt;="&amp;$E$2,'Form responses'!$C$2:$C53,"&lt;="&amp;$G$2)</f>
        <v>0</v>
      </c>
      <c r="CV4" s="18">
        <f>sumifs('Form responses'!DA2:DA53,'Form responses'!$C$2:$C53,"&gt;="&amp;$E$2,'Form responses'!$C$2:$C53,"&lt;="&amp;$G$2)</f>
        <v>0</v>
      </c>
      <c r="CW4" s="18">
        <f>sumifs('Form responses'!DB2:DB53,'Form responses'!$C$2:$C53,"&gt;="&amp;$E$2,'Form responses'!$C$2:$C53,"&lt;="&amp;$G$2)</f>
        <v>0</v>
      </c>
      <c r="CX4" s="18">
        <f>sumifs('Form responses'!DC2:DC53,'Form responses'!$C$2:$C53,"&gt;="&amp;$E$2,'Form responses'!$C$2:$C53,"&lt;="&amp;$G$2)</f>
        <v>0</v>
      </c>
      <c r="CY4" s="18">
        <f>sumifs('Form responses'!DD2:DD53,'Form responses'!$C$2:$C53,"&gt;="&amp;$E$2,'Form responses'!$C$2:$C53,"&lt;="&amp;$G$2)</f>
        <v>0</v>
      </c>
      <c r="CZ4" s="18">
        <f>sumifs('Form responses'!DE2:DE53,'Form responses'!$C$2:$C53,"&gt;="&amp;$E$2,'Form responses'!$C$2:$C53,"&lt;="&amp;$G$2)</f>
        <v>0</v>
      </c>
      <c r="DA4" s="18">
        <f>sumifs('Form responses'!DF2:DF53,'Form responses'!$C$2:$C53,"&gt;="&amp;$E$2,'Form responses'!$C$2:$C53,"&lt;="&amp;$G$2)</f>
        <v>0</v>
      </c>
      <c r="DB4" s="18">
        <f>sumifs('Form responses'!DG2:DG53,'Form responses'!$C$2:$C53,"&gt;="&amp;$E$2,'Form responses'!$C$2:$C53,"&lt;="&amp;$G$2)</f>
        <v>0</v>
      </c>
      <c r="DC4" s="18">
        <f>sumifs('Form responses'!DH2:DH53,'Form responses'!$C$2:$C53,"&gt;="&amp;$E$2,'Form responses'!$C$2:$C53,"&lt;="&amp;$G$2)</f>
        <v>0</v>
      </c>
      <c r="DD4" s="18">
        <f>sumifs('Form responses'!DI2:DI53,'Form responses'!$C$2:$C53,"&gt;="&amp;$E$2,'Form responses'!$C$2:$C53,"&lt;="&amp;$G$2)</f>
        <v>0</v>
      </c>
      <c r="DE4" s="18">
        <f>sumifs('Form responses'!DJ2:DJ53,'Form responses'!$C$2:$C53,"&gt;="&amp;$E$2,'Form responses'!$C$2:$C53,"&lt;="&amp;$G$2)</f>
        <v>0</v>
      </c>
      <c r="DF4" s="18">
        <f>sumifs('Form responses'!DK2:DK53,'Form responses'!$C$2:$C53,"&gt;="&amp;$E$2,'Form responses'!$C$2:$C53,"&lt;="&amp;$G$2)</f>
        <v>0</v>
      </c>
      <c r="DG4" s="18">
        <f>sumifs('Form responses'!DL2:DL53,'Form responses'!$C$2:$C53,"&gt;="&amp;$E$2,'Form responses'!$C$2:$C53,"&lt;="&amp;$G$2)</f>
        <v>0</v>
      </c>
      <c r="DH4" s="18">
        <f>sumifs('Form responses'!DM2:DM53,'Form responses'!$C$2:$C53,"&gt;="&amp;$E$2,'Form responses'!$C$2:$C53,"&lt;="&amp;$G$2)</f>
        <v>0</v>
      </c>
      <c r="DI4" s="18">
        <f>sumifs('Form responses'!DN2:DN53,'Form responses'!$C$2:$C53,"&gt;="&amp;$E$2,'Form responses'!$C$2:$C53,"&lt;="&amp;$G$2)</f>
        <v>0</v>
      </c>
      <c r="DJ4" s="18">
        <f>sumifs('Form responses'!DO2:DO53,'Form responses'!$C$2:$C53,"&gt;="&amp;$E$2,'Form responses'!$C$2:$C53,"&lt;="&amp;$G$2)</f>
        <v>0</v>
      </c>
      <c r="DK4" s="18">
        <f>sumifs('Form responses'!DP2:DP53,'Form responses'!$C$2:$C53,"&gt;="&amp;$E$2,'Form responses'!$C$2:$C53,"&lt;="&amp;$G$2)</f>
        <v>0</v>
      </c>
      <c r="DL4" s="18">
        <f>sumifs('Form responses'!DQ2:DQ53,'Form responses'!$C$2:$C53,"&gt;="&amp;$E$2,'Form responses'!$C$2:$C53,"&lt;="&amp;$G$2)</f>
        <v>0</v>
      </c>
      <c r="DM4" s="18">
        <f>sumifs('Form responses'!DR2:DR53,'Form responses'!$C$2:$C53,"&gt;="&amp;$E$2,'Form responses'!$C$2:$C53,"&lt;="&amp;$G$2)</f>
        <v>0</v>
      </c>
      <c r="DN4" s="18">
        <f>sumifs('Form responses'!DS2:DS53,'Form responses'!$C$2:$C53,"&gt;="&amp;$E$2,'Form responses'!$C$2:$C53,"&lt;="&amp;$G$2)</f>
        <v>0</v>
      </c>
      <c r="DO4" s="18">
        <f>sumifs('Form responses'!DT2:DT53,'Form responses'!$C$2:$C53,"&gt;="&amp;$E$2,'Form responses'!$C$2:$C53,"&lt;="&amp;$G$2)</f>
        <v>0</v>
      </c>
      <c r="DP4" s="18">
        <f>sumifs('Form responses'!DU2:DU53,'Form responses'!$C$2:$C53,"&gt;="&amp;$E$2,'Form responses'!$C$2:$C53,"&lt;="&amp;$G$2)</f>
        <v>0</v>
      </c>
      <c r="DQ4" s="18">
        <f>sumifs('Form responses'!DV2:DV53,'Form responses'!$C$2:$C53,"&gt;="&amp;$E$2,'Form responses'!$C$2:$C53,"&lt;="&amp;$G$2)</f>
        <v>0</v>
      </c>
      <c r="DR4" s="18">
        <f>sumifs('Form responses'!DW2:DW53,'Form responses'!$C$2:$C53,"&gt;="&amp;$E$2,'Form responses'!$C$2:$C53,"&lt;="&amp;$G$2)</f>
        <v>0</v>
      </c>
      <c r="DS4" s="18">
        <f>sumifs('Form responses'!DX2:DX53,'Form responses'!$C$2:$C53,"&gt;="&amp;$E$2,'Form responses'!$C$2:$C53,"&lt;="&amp;$G$2)</f>
        <v>0</v>
      </c>
      <c r="DT4" s="18">
        <f>sumifs('Form responses'!DY2:DY53,'Form responses'!$C$2:$C53,"&gt;="&amp;$E$2,'Form responses'!$C$2:$C53,"&lt;="&amp;$G$2)</f>
        <v>0</v>
      </c>
      <c r="DU4" s="18">
        <f>sumifs('Form responses'!DZ2:DZ53,'Form responses'!$C$2:$C53,"&gt;="&amp;$E$2,'Form responses'!$C$2:$C53,"&lt;="&amp;$G$2)</f>
        <v>0</v>
      </c>
      <c r="DV4" s="18">
        <f>sumifs('Form responses'!EA2:EA53,'Form responses'!$C$2:$C53,"&gt;="&amp;$E$2,'Form responses'!$C$2:$C53,"&lt;="&amp;$G$2)</f>
        <v>0</v>
      </c>
      <c r="DW4" s="18">
        <f>sumifs('Form responses'!EB2:EB53,'Form responses'!$C$2:$C53,"&gt;="&amp;$E$2,'Form responses'!$C$2:$C53,"&lt;="&amp;$G$2)</f>
        <v>0</v>
      </c>
      <c r="DX4" s="18">
        <f>sumifs('Form responses'!EC2:EC53,'Form responses'!$C$2:$C53,"&gt;="&amp;$E$2,'Form responses'!$C$2:$C53,"&lt;="&amp;$G$2)</f>
        <v>0</v>
      </c>
      <c r="DY4" s="18">
        <f>sumifs('Form responses'!ED2:ED53,'Form responses'!$C$2:$C53,"&gt;="&amp;$E$2,'Form responses'!$C$2:$C53,"&lt;="&amp;$G$2)</f>
        <v>0</v>
      </c>
      <c r="DZ4" s="18">
        <f>sumifs('Form responses'!EE2:EE53,'Form responses'!$C$2:$C53,"&gt;="&amp;$E$2,'Form responses'!$C$2:$C53,"&lt;="&amp;$G$2)</f>
        <v>0</v>
      </c>
      <c r="EA4" s="18">
        <f>sumifs('Form responses'!EF2:EF53,'Form responses'!$C$2:$C53,"&gt;="&amp;$E$2,'Form responses'!$C$2:$C53,"&lt;="&amp;$G$2)</f>
        <v>0</v>
      </c>
      <c r="EB4" s="18">
        <f>sumifs('Form responses'!EG2:EG53,'Form responses'!$C$2:$C53,"&gt;="&amp;$E$2,'Form responses'!$C$2:$C53,"&lt;="&amp;$G$2)</f>
        <v>0</v>
      </c>
      <c r="EC4" s="18">
        <f>sumifs('Form responses'!EH2:EH53,'Form responses'!$C$2:$C53,"&gt;="&amp;$E$2,'Form responses'!$C$2:$C53,"&lt;="&amp;$G$2)</f>
        <v>0</v>
      </c>
      <c r="ED4" s="18">
        <f>sumifs('Form responses'!EI2:EI53,'Form responses'!$C$2:$C53,"&gt;="&amp;$E$2,'Form responses'!$C$2:$C53,"&lt;="&amp;$G$2)</f>
        <v>0</v>
      </c>
      <c r="EE4" s="18">
        <f>sumifs('Form responses'!EJ2:EJ53,'Form responses'!$C$2:$C53,"&gt;="&amp;$E$2,'Form responses'!$C$2:$C53,"&lt;="&amp;$G$2)</f>
        <v>0</v>
      </c>
      <c r="EF4" s="18">
        <f>sumifs('Form responses'!EK2:EK53,'Form responses'!$C$2:$C53,"&gt;="&amp;$E$2,'Form responses'!$C$2:$C53,"&lt;="&amp;$G$2)</f>
        <v>0</v>
      </c>
      <c r="EG4" s="18">
        <f>sumifs('Form responses'!EL2:EL53,'Form responses'!$C$2:$C53,"&gt;="&amp;$E$2,'Form responses'!$C$2:$C53,"&lt;="&amp;$G$2)</f>
        <v>0</v>
      </c>
      <c r="EH4" s="18">
        <f>sumifs('Form responses'!EM2:EM53,'Form responses'!$C$2:$C53,"&gt;="&amp;$E$2,'Form responses'!$C$2:$C53,"&lt;="&amp;$G$2)</f>
        <v>0</v>
      </c>
      <c r="EI4" s="18">
        <f>sumifs('Form responses'!EN2:EN53,'Form responses'!$C$2:$C53,"&gt;="&amp;$E$2,'Form responses'!$C$2:$C53,"&lt;="&amp;$G$2)</f>
        <v>0</v>
      </c>
      <c r="EJ4" s="18">
        <f>sumifs('Form responses'!EO2:EO53,'Form responses'!$C$2:$C53,"&gt;="&amp;$E$2,'Form responses'!$C$2:$C53,"&lt;="&amp;$G$2)</f>
        <v>0</v>
      </c>
      <c r="EK4" s="18">
        <f>sumifs('Form responses'!EP2:EP53,'Form responses'!$C$2:$C53,"&gt;="&amp;$E$2,'Form responses'!$C$2:$C53,"&lt;="&amp;$G$2)</f>
        <v>0</v>
      </c>
      <c r="EL4" s="19"/>
    </row>
    <row r="5">
      <c r="A5" s="17" t="s">
        <v>153</v>
      </c>
      <c r="B5" s="20">
        <f>sumifs('Form responses'!G2:G53,'Form responses'!$C$2:$C53,"&lt;="&amp;$G$2,'Form responses'!$C$2:$C53,"&gt;="&amp;Date(YEAR(DATE(YEAR($E$2),MONTH($E$2)+(-3),1)),4,1))</f>
        <v>0</v>
      </c>
      <c r="C5" s="20">
        <f>sumifs('Form responses'!H2:H53,'Form responses'!$C$2:$C53,"&lt;="&amp;$G$2,'Form responses'!$C$2:$C53,"&gt;="&amp;Date(YEAR(DATE(YEAR($E$2),MONTH($E$2)+(-3),1)),4,1))</f>
        <v>0</v>
      </c>
      <c r="D5" s="20">
        <f>sumifs('Form responses'!I2:I53,'Form responses'!$C$2:$C53,"&lt;="&amp;$G$2,'Form responses'!$C$2:$C53,"&gt;="&amp;Date(YEAR(DATE(YEAR($E$2),MONTH($E$2)+(-3),1)),4,1))</f>
        <v>0</v>
      </c>
      <c r="E5" s="20">
        <f>sumifs('Form responses'!J2:J53,'Form responses'!$C$2:$C53,"&lt;="&amp;$G$2,'Form responses'!$C$2:$C53,"&gt;="&amp;Date(YEAR(DATE(YEAR($E$2),MONTH($E$2)+(-3),1)),4,1))</f>
        <v>0</v>
      </c>
      <c r="F5" s="20">
        <f>sumifs('Form responses'!K2:K53,'Form responses'!$C$2:$C53,"&lt;="&amp;$G$2,'Form responses'!$C$2:$C53,"&gt;="&amp;Date(YEAR(DATE(YEAR($E$2),MONTH($E$2)+(-3),1)),4,1))</f>
        <v>0</v>
      </c>
      <c r="G5" s="20">
        <f>sumifs('Form responses'!L2:L53,'Form responses'!$C$2:$C53,"&lt;="&amp;$G$2,'Form responses'!$C$2:$C53,"&gt;="&amp;Date(YEAR(DATE(YEAR($E$2),MONTH($E$2)+(-3),1)),4,1))</f>
        <v>0</v>
      </c>
      <c r="H5" s="20">
        <f>sumifs('Form responses'!M2:M53,'Form responses'!$C$2:$C53,"&lt;="&amp;$G$2,'Form responses'!$C$2:$C53,"&gt;="&amp;Date(YEAR(DATE(YEAR($E$2),MONTH($E$2)+(-3),1)),4,1))</f>
        <v>0</v>
      </c>
      <c r="I5" s="20">
        <f>sumifs('Form responses'!N2:N53,'Form responses'!$C$2:$C53,"&lt;="&amp;$G$2,'Form responses'!$C$2:$C53,"&gt;="&amp;Date(YEAR(DATE(YEAR($E$2),MONTH($E$2)+(-3),1)),4,1))</f>
        <v>0</v>
      </c>
      <c r="J5" s="20">
        <f>sumifs('Form responses'!O2:O53,'Form responses'!$C$2:$C53,"&lt;="&amp;$G$2,'Form responses'!$C$2:$C53,"&gt;="&amp;Date(YEAR(DATE(YEAR($E$2),MONTH($E$2)+(-3),1)),4,1))</f>
        <v>0</v>
      </c>
      <c r="K5" s="20">
        <f>sumifs('Form responses'!P2:P53,'Form responses'!$C$2:$C53,"&lt;="&amp;$G$2,'Form responses'!$C$2:$C53,"&gt;="&amp;Date(YEAR(DATE(YEAR($E$2),MONTH($E$2)+(-3),1)),4,1))</f>
        <v>0</v>
      </c>
      <c r="L5" s="20">
        <f>sumifs('Form responses'!Q2:Q53,'Form responses'!$C$2:$C53,"&lt;="&amp;$G$2,'Form responses'!$C$2:$C53,"&gt;="&amp;Date(YEAR(DATE(YEAR($E$2),MONTH($E$2)+(-3),1)),4,1))</f>
        <v>0</v>
      </c>
      <c r="M5" s="20">
        <f>sumifs('Form responses'!R2:R53,'Form responses'!$C$2:$C53,"&lt;="&amp;$G$2,'Form responses'!$C$2:$C53,"&gt;="&amp;Date(YEAR(DATE(YEAR($E$2),MONTH($E$2)+(-3),1)),4,1))</f>
        <v>0</v>
      </c>
      <c r="N5" s="20">
        <f>sumifs('Form responses'!S2:S53,'Form responses'!$C$2:$C53,"&lt;="&amp;$G$2,'Form responses'!$C$2:$C53,"&gt;="&amp;Date(YEAR(DATE(YEAR($E$2),MONTH($E$2)+(-3),1)),4,1))</f>
        <v>0</v>
      </c>
      <c r="O5" s="20">
        <f>sumifs('Form responses'!T2:T53,'Form responses'!$C$2:$C53,"&lt;="&amp;$G$2,'Form responses'!$C$2:$C53,"&gt;="&amp;Date(YEAR(DATE(YEAR($E$2),MONTH($E$2)+(-3),1)),4,1))</f>
        <v>0</v>
      </c>
      <c r="P5" s="20">
        <f>sumifs('Form responses'!U2:U53,'Form responses'!$C$2:$C53,"&lt;="&amp;$G$2,'Form responses'!$C$2:$C53,"&gt;="&amp;Date(YEAR(DATE(YEAR($E$2),MONTH($E$2)+(-3),1)),4,1))</f>
        <v>0</v>
      </c>
      <c r="Q5" s="20">
        <f>sumifs('Form responses'!V2:V53,'Form responses'!$C$2:$C53,"&lt;="&amp;$G$2,'Form responses'!$C$2:$C53,"&gt;="&amp;Date(YEAR(DATE(YEAR($E$2),MONTH($E$2)+(-3),1)),4,1))</f>
        <v>0</v>
      </c>
      <c r="R5" s="20">
        <f>sumifs('Form responses'!W2:W53,'Form responses'!$C$2:$C53,"&lt;="&amp;$G$2,'Form responses'!$C$2:$C53,"&gt;="&amp;Date(YEAR(DATE(YEAR($E$2),MONTH($E$2)+(-3),1)),4,1))</f>
        <v>0</v>
      </c>
      <c r="S5" s="20">
        <f>sumifs('Form responses'!X2:X53,'Form responses'!$C$2:$C53,"&lt;="&amp;$G$2,'Form responses'!$C$2:$C53,"&gt;="&amp;Date(YEAR(DATE(YEAR($E$2),MONTH($E$2)+(-3),1)),4,1))</f>
        <v>0</v>
      </c>
      <c r="T5" s="20">
        <f>sumifs('Form responses'!Y2:Y53,'Form responses'!$C$2:$C53,"&lt;="&amp;$G$2,'Form responses'!$C$2:$C53,"&gt;="&amp;Date(YEAR(DATE(YEAR($E$2),MONTH($E$2)+(-3),1)),4,1))</f>
        <v>0</v>
      </c>
      <c r="U5" s="20">
        <f>sumifs('Form responses'!Z2:Z53,'Form responses'!$C$2:$C53,"&lt;="&amp;$G$2,'Form responses'!$C$2:$C53,"&gt;="&amp;Date(YEAR(DATE(YEAR($E$2),MONTH($E$2)+(-3),1)),4,1))</f>
        <v>0</v>
      </c>
      <c r="V5" s="20">
        <f>sumifs('Form responses'!AA2:AA53,'Form responses'!$C$2:$C53,"&lt;="&amp;$G$2,'Form responses'!$C$2:$C53,"&gt;="&amp;Date(YEAR(DATE(YEAR($E$2),MONTH($E$2)+(-3),1)),4,1))</f>
        <v>0</v>
      </c>
      <c r="W5" s="20">
        <f>sumifs('Form responses'!AB2:AB53,'Form responses'!$C$2:$C53,"&lt;="&amp;$G$2,'Form responses'!$C$2:$C53,"&gt;="&amp;Date(YEAR(DATE(YEAR($E$2),MONTH($E$2)+(-3),1)),4,1))</f>
        <v>0</v>
      </c>
      <c r="X5" s="20">
        <f>sumifs('Form responses'!AC2:AC53,'Form responses'!$C$2:$C53,"&lt;="&amp;$G$2,'Form responses'!$C$2:$C53,"&gt;="&amp;Date(YEAR(DATE(YEAR($E$2),MONTH($E$2)+(-3),1)),4,1))</f>
        <v>0</v>
      </c>
      <c r="Y5" s="20">
        <f>sumifs('Form responses'!AD2:AD53,'Form responses'!$C$2:$C53,"&lt;="&amp;$G$2,'Form responses'!$C$2:$C53,"&gt;="&amp;Date(YEAR(DATE(YEAR($E$2),MONTH($E$2)+(-3),1)),4,1))</f>
        <v>0</v>
      </c>
      <c r="Z5" s="20">
        <f>sumifs('Form responses'!AE2:AE53,'Form responses'!$C$2:$C53,"&lt;="&amp;$G$2,'Form responses'!$C$2:$C53,"&gt;="&amp;Date(YEAR(DATE(YEAR($E$2),MONTH($E$2)+(-3),1)),4,1))</f>
        <v>0</v>
      </c>
      <c r="AA5" s="20">
        <f>sumifs('Form responses'!AF2:AF53,'Form responses'!$C$2:$C53,"&lt;="&amp;$G$2,'Form responses'!$C$2:$C53,"&gt;="&amp;Date(YEAR(DATE(YEAR($E$2),MONTH($E$2)+(-3),1)),4,1))</f>
        <v>0</v>
      </c>
      <c r="AB5" s="20">
        <f>sumifs('Form responses'!AG2:AG53,'Form responses'!$C$2:$C53,"&lt;="&amp;$G$2,'Form responses'!$C$2:$C53,"&gt;="&amp;Date(YEAR(DATE(YEAR($E$2),MONTH($E$2)+(-3),1)),4,1))</f>
        <v>0</v>
      </c>
      <c r="AC5" s="20">
        <f>sumifs('Form responses'!AH2:AH53,'Form responses'!$C$2:$C53,"&lt;="&amp;$G$2,'Form responses'!$C$2:$C53,"&gt;="&amp;Date(YEAR(DATE(YEAR($E$2),MONTH($E$2)+(-3),1)),4,1))</f>
        <v>0</v>
      </c>
      <c r="AD5" s="20">
        <f>sumifs('Form responses'!AI2:AI53,'Form responses'!$C$2:$C53,"&lt;="&amp;$G$2,'Form responses'!$C$2:$C53,"&gt;="&amp;Date(YEAR(DATE(YEAR($E$2),MONTH($E$2)+(-3),1)),4,1))</f>
        <v>0</v>
      </c>
      <c r="AE5" s="20">
        <f>sumifs('Form responses'!AJ2:AJ53,'Form responses'!$C$2:$C53,"&lt;="&amp;$G$2,'Form responses'!$C$2:$C53,"&gt;="&amp;Date(YEAR(DATE(YEAR($E$2),MONTH($E$2)+(-3),1)),4,1))</f>
        <v>0</v>
      </c>
      <c r="AF5" s="20">
        <f>sumifs('Form responses'!AK2:AK53,'Form responses'!$C$2:$C53,"&lt;="&amp;$G$2,'Form responses'!$C$2:$C53,"&gt;="&amp;Date(YEAR(DATE(YEAR($E$2),MONTH($E$2)+(-3),1)),4,1))</f>
        <v>0</v>
      </c>
      <c r="AG5" s="20">
        <f>sumifs('Form responses'!AL2:AL53,'Form responses'!$C$2:$C53,"&lt;="&amp;$G$2,'Form responses'!$C$2:$C53,"&gt;="&amp;Date(YEAR(DATE(YEAR($E$2),MONTH($E$2)+(-3),1)),4,1))</f>
        <v>0</v>
      </c>
      <c r="AH5" s="20">
        <f>sumifs('Form responses'!AM2:AM53,'Form responses'!$C$2:$C53,"&lt;="&amp;$G$2,'Form responses'!$C$2:$C53,"&gt;="&amp;Date(YEAR(DATE(YEAR($E$2),MONTH($E$2)+(-3),1)),4,1))</f>
        <v>0</v>
      </c>
      <c r="AI5" s="20">
        <f>sumifs('Form responses'!AN2:AN53,'Form responses'!$C$2:$C53,"&lt;="&amp;$G$2,'Form responses'!$C$2:$C53,"&gt;="&amp;Date(YEAR(DATE(YEAR($E$2),MONTH($E$2)+(-3),1)),4,1))</f>
        <v>0</v>
      </c>
      <c r="AJ5" s="20">
        <f>sumifs('Form responses'!AO2:AO53,'Form responses'!$C$2:$C53,"&lt;="&amp;$G$2,'Form responses'!$C$2:$C53,"&gt;="&amp;Date(YEAR(DATE(YEAR($E$2),MONTH($E$2)+(-3),1)),4,1))</f>
        <v>0</v>
      </c>
      <c r="AK5" s="20">
        <f>sumifs('Form responses'!AP2:AP53,'Form responses'!$C$2:$C53,"&lt;="&amp;$G$2,'Form responses'!$C$2:$C53,"&gt;="&amp;Date(YEAR(DATE(YEAR($E$2),MONTH($E$2)+(-3),1)),4,1))</f>
        <v>0</v>
      </c>
      <c r="AL5" s="20">
        <f>sumifs('Form responses'!AQ2:AQ53,'Form responses'!$C$2:$C53,"&lt;="&amp;$G$2,'Form responses'!$C$2:$C53,"&gt;="&amp;Date(YEAR(DATE(YEAR($E$2),MONTH($E$2)+(-3),1)),4,1))</f>
        <v>0</v>
      </c>
      <c r="AM5" s="20">
        <f>sumifs('Form responses'!AR2:AR53,'Form responses'!$C$2:$C53,"&lt;="&amp;$G$2,'Form responses'!$C$2:$C53,"&gt;="&amp;Date(YEAR(DATE(YEAR($E$2),MONTH($E$2)+(-3),1)),4,1))</f>
        <v>0</v>
      </c>
      <c r="AN5" s="20">
        <f>sumifs('Form responses'!AS2:AS53,'Form responses'!$C$2:$C53,"&lt;="&amp;$G$2,'Form responses'!$C$2:$C53,"&gt;="&amp;Date(YEAR(DATE(YEAR($E$2),MONTH($E$2)+(-3),1)),4,1))</f>
        <v>0</v>
      </c>
      <c r="AO5" s="20">
        <f>sumifs('Form responses'!AT2:AT53,'Form responses'!$C$2:$C53,"&lt;="&amp;$G$2,'Form responses'!$C$2:$C53,"&gt;="&amp;Date(YEAR(DATE(YEAR($E$2),MONTH($E$2)+(-3),1)),4,1))</f>
        <v>0</v>
      </c>
      <c r="AP5" s="20">
        <f>sumifs('Form responses'!AU2:AU53,'Form responses'!$C$2:$C53,"&lt;="&amp;$G$2,'Form responses'!$C$2:$C53,"&gt;="&amp;Date(YEAR(DATE(YEAR($E$2),MONTH($E$2)+(-3),1)),4,1))</f>
        <v>0</v>
      </c>
      <c r="AQ5" s="20">
        <f>sumifs('Form responses'!AV2:AV53,'Form responses'!$C$2:$C53,"&lt;="&amp;$G$2,'Form responses'!$C$2:$C53,"&gt;="&amp;Date(YEAR(DATE(YEAR($E$2),MONTH($E$2)+(-3),1)),4,1))</f>
        <v>0</v>
      </c>
      <c r="AR5" s="20">
        <f>sumifs('Form responses'!AW2:AW53,'Form responses'!$C$2:$C53,"&lt;="&amp;$G$2,'Form responses'!$C$2:$C53,"&gt;="&amp;Date(YEAR(DATE(YEAR($E$2),MONTH($E$2)+(-3),1)),4,1))</f>
        <v>0</v>
      </c>
      <c r="AS5" s="20">
        <f>sumifs('Form responses'!AX2:AX53,'Form responses'!$C$2:$C53,"&lt;="&amp;$G$2,'Form responses'!$C$2:$C53,"&gt;="&amp;Date(YEAR(DATE(YEAR($E$2),MONTH($E$2)+(-3),1)),4,1))</f>
        <v>0</v>
      </c>
      <c r="AT5" s="20">
        <f>sumifs('Form responses'!AY2:AY53,'Form responses'!$C$2:$C53,"&lt;="&amp;$G$2,'Form responses'!$C$2:$C53,"&gt;="&amp;Date(YEAR(DATE(YEAR($E$2),MONTH($E$2)+(-3),1)),4,1))</f>
        <v>0</v>
      </c>
      <c r="AU5" s="20">
        <f>sumifs('Form responses'!AZ2:AZ53,'Form responses'!$C$2:$C53,"&lt;="&amp;$G$2,'Form responses'!$C$2:$C53,"&gt;="&amp;Date(YEAR(DATE(YEAR($E$2),MONTH($E$2)+(-3),1)),4,1))</f>
        <v>0</v>
      </c>
      <c r="AV5" s="20">
        <f>sumifs('Form responses'!BA2:BA53,'Form responses'!$C$2:$C53,"&lt;="&amp;$G$2,'Form responses'!$C$2:$C53,"&gt;="&amp;Date(YEAR(DATE(YEAR($E$2),MONTH($E$2)+(-3),1)),4,1))</f>
        <v>0</v>
      </c>
      <c r="AW5" s="20">
        <f>sumifs('Form responses'!BB2:BB53,'Form responses'!$C$2:$C53,"&lt;="&amp;$G$2,'Form responses'!$C$2:$C53,"&gt;="&amp;Date(YEAR(DATE(YEAR($E$2),MONTH($E$2)+(-3),1)),4,1))</f>
        <v>0</v>
      </c>
      <c r="AX5" s="20">
        <f>sumifs('Form responses'!BC2:BC53,'Form responses'!$C$2:$C53,"&lt;="&amp;$G$2,'Form responses'!$C$2:$C53,"&gt;="&amp;Date(YEAR(DATE(YEAR($E$2),MONTH($E$2)+(-3),1)),4,1))</f>
        <v>0</v>
      </c>
      <c r="AY5" s="20">
        <f>sumifs('Form responses'!BD2:BD53,'Form responses'!$C$2:$C53,"&lt;="&amp;$G$2,'Form responses'!$C$2:$C53,"&gt;="&amp;Date(YEAR(DATE(YEAR($E$2),MONTH($E$2)+(-3),1)),4,1))</f>
        <v>0</v>
      </c>
      <c r="AZ5" s="20">
        <f>sumifs('Form responses'!BE2:BE53,'Form responses'!$C$2:$C53,"&lt;="&amp;$G$2,'Form responses'!$C$2:$C53,"&gt;="&amp;Date(YEAR(DATE(YEAR($E$2),MONTH($E$2)+(-3),1)),4,1))</f>
        <v>0</v>
      </c>
      <c r="BA5" s="20">
        <f>sumifs('Form responses'!BF2:BF53,'Form responses'!$C$2:$C53,"&lt;="&amp;$G$2,'Form responses'!$C$2:$C53,"&gt;="&amp;Date(YEAR(DATE(YEAR($E$2),MONTH($E$2)+(-3),1)),4,1))</f>
        <v>0</v>
      </c>
      <c r="BB5" s="20">
        <f>sumifs('Form responses'!BG2:BG53,'Form responses'!$C$2:$C53,"&lt;="&amp;$G$2,'Form responses'!$C$2:$C53,"&gt;="&amp;Date(YEAR(DATE(YEAR($E$2),MONTH($E$2)+(-3),1)),4,1))</f>
        <v>0</v>
      </c>
      <c r="BC5" s="20">
        <f>sumifs('Form responses'!BH2:BH53,'Form responses'!$C$2:$C53,"&lt;="&amp;$G$2,'Form responses'!$C$2:$C53,"&gt;="&amp;Date(YEAR(DATE(YEAR($E$2),MONTH($E$2)+(-3),1)),4,1))</f>
        <v>0</v>
      </c>
      <c r="BD5" s="20">
        <f>sumifs('Form responses'!BI2:BI53,'Form responses'!$C$2:$C53,"&lt;="&amp;$G$2,'Form responses'!$C$2:$C53,"&gt;="&amp;Date(YEAR(DATE(YEAR($E$2),MONTH($E$2)+(-3),1)),4,1))</f>
        <v>0</v>
      </c>
      <c r="BE5" s="20">
        <f>sumifs('Form responses'!BJ2:BJ53,'Form responses'!$C$2:$C53,"&lt;="&amp;$G$2,'Form responses'!$C$2:$C53,"&gt;="&amp;Date(YEAR(DATE(YEAR($E$2),MONTH($E$2)+(-3),1)),4,1))</f>
        <v>0</v>
      </c>
      <c r="BF5" s="20">
        <f>sumifs('Form responses'!BK2:BK53,'Form responses'!$C$2:$C53,"&lt;="&amp;$G$2,'Form responses'!$C$2:$C53,"&gt;="&amp;Date(YEAR(DATE(YEAR($E$2),MONTH($E$2)+(-3),1)),4,1))</f>
        <v>0</v>
      </c>
      <c r="BG5" s="20">
        <f>sumifs('Form responses'!BL2:BL53,'Form responses'!$C$2:$C53,"&lt;="&amp;$G$2,'Form responses'!$C$2:$C53,"&gt;="&amp;Date(YEAR(DATE(YEAR($E$2),MONTH($E$2)+(-3),1)),4,1))</f>
        <v>0</v>
      </c>
      <c r="BH5" s="20">
        <f>sumifs('Form responses'!BM2:BM53,'Form responses'!$C$2:$C53,"&lt;="&amp;$G$2,'Form responses'!$C$2:$C53,"&gt;="&amp;Date(YEAR(DATE(YEAR($E$2),MONTH($E$2)+(-3),1)),4,1))</f>
        <v>0</v>
      </c>
      <c r="BI5" s="20">
        <f>sumifs('Form responses'!BN2:BN53,'Form responses'!$C$2:$C53,"&lt;="&amp;$G$2,'Form responses'!$C$2:$C53,"&gt;="&amp;Date(YEAR(DATE(YEAR($E$2),MONTH($E$2)+(-3),1)),4,1))</f>
        <v>0</v>
      </c>
      <c r="BJ5" s="20">
        <f>sumifs('Form responses'!BO2:BO53,'Form responses'!$C$2:$C53,"&lt;="&amp;$G$2,'Form responses'!$C$2:$C53,"&gt;="&amp;Date(YEAR(DATE(YEAR($E$2),MONTH($E$2)+(-3),1)),4,1))</f>
        <v>0</v>
      </c>
      <c r="BK5" s="20">
        <f>sumifs('Form responses'!BP2:BP53,'Form responses'!$C$2:$C53,"&lt;="&amp;$G$2,'Form responses'!$C$2:$C53,"&gt;="&amp;Date(YEAR(DATE(YEAR($E$2),MONTH($E$2)+(-3),1)),4,1))</f>
        <v>0</v>
      </c>
      <c r="BL5" s="20">
        <f>sumifs('Form responses'!BQ2:BQ53,'Form responses'!$C$2:$C53,"&lt;="&amp;$G$2,'Form responses'!$C$2:$C53,"&gt;="&amp;Date(YEAR(DATE(YEAR($E$2),MONTH($E$2)+(-3),1)),4,1))</f>
        <v>0</v>
      </c>
      <c r="BM5" s="20">
        <f>sumifs('Form responses'!BR2:BR53,'Form responses'!$C$2:$C53,"&lt;="&amp;$G$2,'Form responses'!$C$2:$C53,"&gt;="&amp;Date(YEAR(DATE(YEAR($E$2),MONTH($E$2)+(-3),1)),4,1))</f>
        <v>0</v>
      </c>
      <c r="BN5" s="20">
        <f>sumifs('Form responses'!BS2:BS53,'Form responses'!$C$2:$C53,"&lt;="&amp;$G$2,'Form responses'!$C$2:$C53,"&gt;="&amp;Date(YEAR(DATE(YEAR($E$2),MONTH($E$2)+(-3),1)),4,1))</f>
        <v>0</v>
      </c>
      <c r="BO5" s="20">
        <f>sumifs('Form responses'!BT2:BT53,'Form responses'!$C$2:$C53,"&lt;="&amp;$G$2,'Form responses'!$C$2:$C53,"&gt;="&amp;Date(YEAR(DATE(YEAR($E$2),MONTH($E$2)+(-3),1)),4,1))</f>
        <v>0</v>
      </c>
      <c r="BP5" s="20">
        <f>sumifs('Form responses'!BU2:BU53,'Form responses'!$C$2:$C53,"&lt;="&amp;$G$2,'Form responses'!$C$2:$C53,"&gt;="&amp;Date(YEAR(DATE(YEAR($E$2),MONTH($E$2)+(-3),1)),4,1))</f>
        <v>0</v>
      </c>
      <c r="BQ5" s="20">
        <f>sumifs('Form responses'!BV2:BV53,'Form responses'!$C$2:$C53,"&lt;="&amp;$G$2,'Form responses'!$C$2:$C53,"&gt;="&amp;Date(YEAR(DATE(YEAR($E$2),MONTH($E$2)+(-3),1)),4,1))</f>
        <v>0</v>
      </c>
      <c r="BR5" s="20">
        <f>sumifs('Form responses'!BW2:BW53,'Form responses'!$C$2:$C53,"&lt;="&amp;$G$2,'Form responses'!$C$2:$C53,"&gt;="&amp;Date(YEAR(DATE(YEAR($E$2),MONTH($E$2)+(-3),1)),4,1))</f>
        <v>0</v>
      </c>
      <c r="BS5" s="20">
        <f>sumifs('Form responses'!BX2:BX53,'Form responses'!$C$2:$C53,"&lt;="&amp;$G$2,'Form responses'!$C$2:$C53,"&gt;="&amp;Date(YEAR(DATE(YEAR($E$2),MONTH($E$2)+(-3),1)),4,1))</f>
        <v>0</v>
      </c>
      <c r="BT5" s="20">
        <f>sumifs('Form responses'!BY2:BY53,'Form responses'!$C$2:$C53,"&lt;="&amp;$G$2,'Form responses'!$C$2:$C53,"&gt;="&amp;Date(YEAR(DATE(YEAR($E$2),MONTH($E$2)+(-3),1)),4,1))</f>
        <v>0</v>
      </c>
      <c r="BU5" s="20">
        <f>sumifs('Form responses'!BZ2:BZ53,'Form responses'!$C$2:$C53,"&lt;="&amp;$G$2,'Form responses'!$C$2:$C53,"&gt;="&amp;Date(YEAR(DATE(YEAR($E$2),MONTH($E$2)+(-3),1)),4,1))</f>
        <v>0</v>
      </c>
      <c r="BV5" s="20">
        <f>sumifs('Form responses'!CA2:CA53,'Form responses'!$C$2:$C53,"&lt;="&amp;$G$2,'Form responses'!$C$2:$C53,"&gt;="&amp;Date(YEAR(DATE(YEAR($E$2),MONTH($E$2)+(-3),1)),4,1))</f>
        <v>0</v>
      </c>
      <c r="BW5" s="20">
        <f>sumifs('Form responses'!CB2:CB53,'Form responses'!$C$2:$C53,"&lt;="&amp;$G$2,'Form responses'!$C$2:$C53,"&gt;="&amp;Date(YEAR(DATE(YEAR($E$2),MONTH($E$2)+(-3),1)),4,1))</f>
        <v>0</v>
      </c>
      <c r="BX5" s="20">
        <f>sumifs('Form responses'!CC2:CC53,'Form responses'!$C$2:$C53,"&lt;="&amp;$G$2,'Form responses'!$C$2:$C53,"&gt;="&amp;Date(YEAR(DATE(YEAR($E$2),MONTH($E$2)+(-3),1)),4,1))</f>
        <v>0</v>
      </c>
      <c r="BY5" s="20">
        <f>sumifs('Form responses'!CD2:CD53,'Form responses'!$C$2:$C53,"&lt;="&amp;$G$2,'Form responses'!$C$2:$C53,"&gt;="&amp;Date(YEAR(DATE(YEAR($E$2),MONTH($E$2)+(-3),1)),4,1))</f>
        <v>0</v>
      </c>
      <c r="BZ5" s="20">
        <f>sumifs('Form responses'!CE2:CE53,'Form responses'!$C$2:$C53,"&lt;="&amp;$G$2,'Form responses'!$C$2:$C53,"&gt;="&amp;Date(YEAR(DATE(YEAR($E$2),MONTH($E$2)+(-3),1)),4,1))</f>
        <v>0</v>
      </c>
      <c r="CA5" s="20">
        <f>sumifs('Form responses'!CF2:CF53,'Form responses'!$C$2:$C53,"&lt;="&amp;$G$2,'Form responses'!$C$2:$C53,"&gt;="&amp;Date(YEAR(DATE(YEAR($E$2),MONTH($E$2)+(-3),1)),4,1))</f>
        <v>0</v>
      </c>
      <c r="CB5" s="20">
        <f>sumifs('Form responses'!CG2:CG53,'Form responses'!$C$2:$C53,"&lt;="&amp;$G$2,'Form responses'!$C$2:$C53,"&gt;="&amp;Date(YEAR(DATE(YEAR($E$2),MONTH($E$2)+(-3),1)),4,1))</f>
        <v>0</v>
      </c>
      <c r="CC5" s="20">
        <f>sumifs('Form responses'!CH2:CH53,'Form responses'!$C$2:$C53,"&lt;="&amp;$G$2,'Form responses'!$C$2:$C53,"&gt;="&amp;Date(YEAR(DATE(YEAR($E$2),MONTH($E$2)+(-3),1)),4,1))</f>
        <v>0</v>
      </c>
      <c r="CD5" s="20">
        <f>sumifs('Form responses'!CI2:CI53,'Form responses'!$C$2:$C53,"&lt;="&amp;$G$2,'Form responses'!$C$2:$C53,"&gt;="&amp;Date(YEAR(DATE(YEAR($E$2),MONTH($E$2)+(-3),1)),4,1))</f>
        <v>0</v>
      </c>
      <c r="CE5" s="20">
        <f>sumifs('Form responses'!CJ2:CJ53,'Form responses'!$C$2:$C53,"&lt;="&amp;$G$2,'Form responses'!$C$2:$C53,"&gt;="&amp;Date(YEAR(DATE(YEAR($E$2),MONTH($E$2)+(-3),1)),4,1))</f>
        <v>0</v>
      </c>
      <c r="CF5" s="20">
        <f>sumifs('Form responses'!CK2:CK53,'Form responses'!$C$2:$C53,"&lt;="&amp;$G$2,'Form responses'!$C$2:$C53,"&gt;="&amp;Date(YEAR(DATE(YEAR($E$2),MONTH($E$2)+(-3),1)),4,1))</f>
        <v>0</v>
      </c>
      <c r="CG5" s="20">
        <f>sumifs('Form responses'!CL2:CL53,'Form responses'!$C$2:$C53,"&lt;="&amp;$G$2,'Form responses'!$C$2:$C53,"&gt;="&amp;Date(YEAR(DATE(YEAR($E$2),MONTH($E$2)+(-3),1)),4,1))</f>
        <v>0</v>
      </c>
      <c r="CH5" s="20">
        <f>sumifs('Form responses'!CM2:CM53,'Form responses'!$C$2:$C53,"&lt;="&amp;$G$2,'Form responses'!$C$2:$C53,"&gt;="&amp;Date(YEAR(DATE(YEAR($E$2),MONTH($E$2)+(-3),1)),4,1))</f>
        <v>0</v>
      </c>
      <c r="CI5" s="20">
        <f>sumifs('Form responses'!CN2:CN53,'Form responses'!$C$2:$C53,"&lt;="&amp;$G$2,'Form responses'!$C$2:$C53,"&gt;="&amp;Date(YEAR(DATE(YEAR($E$2),MONTH($E$2)+(-3),1)),4,1))</f>
        <v>0</v>
      </c>
      <c r="CJ5" s="20">
        <f>sumifs('Form responses'!CO2:CO53,'Form responses'!$C$2:$C53,"&lt;="&amp;$G$2,'Form responses'!$C$2:$C53,"&gt;="&amp;Date(YEAR(DATE(YEAR($E$2),MONTH($E$2)+(-3),1)),4,1))</f>
        <v>0</v>
      </c>
      <c r="CK5" s="20">
        <f>sumifs('Form responses'!CP2:CP53,'Form responses'!$C$2:$C53,"&lt;="&amp;$G$2,'Form responses'!$C$2:$C53,"&gt;="&amp;Date(YEAR(DATE(YEAR($E$2),MONTH($E$2)+(-3),1)),4,1))</f>
        <v>0</v>
      </c>
      <c r="CL5" s="20">
        <f>sumifs('Form responses'!CQ2:CQ53,'Form responses'!$C$2:$C53,"&lt;="&amp;$G$2,'Form responses'!$C$2:$C53,"&gt;="&amp;Date(YEAR(DATE(YEAR($E$2),MONTH($E$2)+(-3),1)),4,1))</f>
        <v>0</v>
      </c>
      <c r="CM5" s="20">
        <f>sumifs('Form responses'!CR2:CR53,'Form responses'!$C$2:$C53,"&lt;="&amp;$G$2,'Form responses'!$C$2:$C53,"&gt;="&amp;Date(YEAR(DATE(YEAR($E$2),MONTH($E$2)+(-3),1)),4,1))</f>
        <v>0</v>
      </c>
      <c r="CN5" s="20">
        <f>sumifs('Form responses'!CS2:CS53,'Form responses'!$C$2:$C53,"&lt;="&amp;$G$2,'Form responses'!$C$2:$C53,"&gt;="&amp;Date(YEAR(DATE(YEAR($E$2),MONTH($E$2)+(-3),1)),4,1))</f>
        <v>0</v>
      </c>
      <c r="CO5" s="20">
        <f>sumifs('Form responses'!CT2:CT53,'Form responses'!$C$2:$C53,"&lt;="&amp;$G$2,'Form responses'!$C$2:$C53,"&gt;="&amp;Date(YEAR(DATE(YEAR($E$2),MONTH($E$2)+(-3),1)),4,1))</f>
        <v>0</v>
      </c>
      <c r="CP5" s="20">
        <f>sumifs('Form responses'!CU2:CU53,'Form responses'!$C$2:$C53,"&lt;="&amp;$G$2,'Form responses'!$C$2:$C53,"&gt;="&amp;Date(YEAR(DATE(YEAR($E$2),MONTH($E$2)+(-3),1)),4,1))</f>
        <v>0</v>
      </c>
      <c r="CQ5" s="20">
        <f>sumifs('Form responses'!CV2:CV53,'Form responses'!$C$2:$C53,"&lt;="&amp;$G$2,'Form responses'!$C$2:$C53,"&gt;="&amp;Date(YEAR(DATE(YEAR($E$2),MONTH($E$2)+(-3),1)),4,1))</f>
        <v>0</v>
      </c>
      <c r="CR5" s="20">
        <f>sumifs('Form responses'!CW2:CW53,'Form responses'!$C$2:$C53,"&lt;="&amp;$G$2,'Form responses'!$C$2:$C53,"&gt;="&amp;Date(YEAR(DATE(YEAR($E$2),MONTH($E$2)+(-3),1)),4,1))</f>
        <v>0</v>
      </c>
      <c r="CS5" s="20">
        <f>sumifs('Form responses'!CX2:CX53,'Form responses'!$C$2:$C53,"&lt;="&amp;$G$2,'Form responses'!$C$2:$C53,"&gt;="&amp;Date(YEAR(DATE(YEAR($E$2),MONTH($E$2)+(-3),1)),4,1))</f>
        <v>0</v>
      </c>
      <c r="CT5" s="20">
        <f>sumifs('Form responses'!CY2:CY53,'Form responses'!$C$2:$C53,"&lt;="&amp;$G$2,'Form responses'!$C$2:$C53,"&gt;="&amp;Date(YEAR(DATE(YEAR($E$2),MONTH($E$2)+(-3),1)),4,1))</f>
        <v>0</v>
      </c>
      <c r="CU5" s="20">
        <f>sumifs('Form responses'!CZ2:CZ53,'Form responses'!$C$2:$C53,"&lt;="&amp;$G$2,'Form responses'!$C$2:$C53,"&gt;="&amp;Date(YEAR(DATE(YEAR($E$2),MONTH($E$2)+(-3),1)),4,1))</f>
        <v>0</v>
      </c>
      <c r="CV5" s="20">
        <f>sumifs('Form responses'!DA2:DA53,'Form responses'!$C$2:$C53,"&lt;="&amp;$G$2,'Form responses'!$C$2:$C53,"&gt;="&amp;Date(YEAR(DATE(YEAR($E$2),MONTH($E$2)+(-3),1)),4,1))</f>
        <v>0</v>
      </c>
      <c r="CW5" s="20">
        <f>sumifs('Form responses'!DB2:DB53,'Form responses'!$C$2:$C53,"&lt;="&amp;$G$2,'Form responses'!$C$2:$C53,"&gt;="&amp;Date(YEAR(DATE(YEAR($E$2),MONTH($E$2)+(-3),1)),4,1))</f>
        <v>0</v>
      </c>
      <c r="CX5" s="20">
        <f>sumifs('Form responses'!DC2:DC53,'Form responses'!$C$2:$C53,"&lt;="&amp;$G$2,'Form responses'!$C$2:$C53,"&gt;="&amp;Date(YEAR(DATE(YEAR($E$2),MONTH($E$2)+(-3),1)),4,1))</f>
        <v>0</v>
      </c>
      <c r="CY5" s="20">
        <f>sumifs('Form responses'!DD2:DD53,'Form responses'!$C$2:$C53,"&lt;="&amp;$G$2,'Form responses'!$C$2:$C53,"&gt;="&amp;Date(YEAR(DATE(YEAR($E$2),MONTH($E$2)+(-3),1)),4,1))</f>
        <v>0</v>
      </c>
      <c r="CZ5" s="20">
        <f>sumifs('Form responses'!DE2:DE53,'Form responses'!$C$2:$C53,"&lt;="&amp;$G$2,'Form responses'!$C$2:$C53,"&gt;="&amp;Date(YEAR(DATE(YEAR($E$2),MONTH($E$2)+(-3),1)),4,1))</f>
        <v>0</v>
      </c>
      <c r="DA5" s="20">
        <f>sumifs('Form responses'!DF2:DF53,'Form responses'!$C$2:$C53,"&lt;="&amp;$G$2,'Form responses'!$C$2:$C53,"&gt;="&amp;Date(YEAR(DATE(YEAR($E$2),MONTH($E$2)+(-3),1)),4,1))</f>
        <v>0</v>
      </c>
      <c r="DB5" s="20">
        <f>sumifs('Form responses'!DG2:DG53,'Form responses'!$C$2:$C53,"&lt;="&amp;$G$2,'Form responses'!$C$2:$C53,"&gt;="&amp;Date(YEAR(DATE(YEAR($E$2),MONTH($E$2)+(-3),1)),4,1))</f>
        <v>0</v>
      </c>
      <c r="DC5" s="20">
        <f>sumifs('Form responses'!DH2:DH53,'Form responses'!$C$2:$C53,"&lt;="&amp;$G$2,'Form responses'!$C$2:$C53,"&gt;="&amp;Date(YEAR(DATE(YEAR($E$2),MONTH($E$2)+(-3),1)),4,1))</f>
        <v>0</v>
      </c>
      <c r="DD5" s="20">
        <f>sumifs('Form responses'!DI2:DI53,'Form responses'!$C$2:$C53,"&lt;="&amp;$G$2,'Form responses'!$C$2:$C53,"&gt;="&amp;Date(YEAR(DATE(YEAR($E$2),MONTH($E$2)+(-3),1)),4,1))</f>
        <v>0</v>
      </c>
      <c r="DE5" s="20">
        <f>sumifs('Form responses'!DJ2:DJ53,'Form responses'!$C$2:$C53,"&lt;="&amp;$G$2,'Form responses'!$C$2:$C53,"&gt;="&amp;Date(YEAR(DATE(YEAR($E$2),MONTH($E$2)+(-3),1)),4,1))</f>
        <v>0</v>
      </c>
      <c r="DF5" s="20">
        <f>sumifs('Form responses'!DK2:DK53,'Form responses'!$C$2:$C53,"&lt;="&amp;$G$2,'Form responses'!$C$2:$C53,"&gt;="&amp;Date(YEAR(DATE(YEAR($E$2),MONTH($E$2)+(-3),1)),4,1))</f>
        <v>0</v>
      </c>
      <c r="DG5" s="20">
        <f>sumifs('Form responses'!DL2:DL53,'Form responses'!$C$2:$C53,"&lt;="&amp;$G$2,'Form responses'!$C$2:$C53,"&gt;="&amp;Date(YEAR(DATE(YEAR($E$2),MONTH($E$2)+(-3),1)),4,1))</f>
        <v>0</v>
      </c>
      <c r="DH5" s="20">
        <f>sumifs('Form responses'!DM2:DM53,'Form responses'!$C$2:$C53,"&lt;="&amp;$G$2,'Form responses'!$C$2:$C53,"&gt;="&amp;Date(YEAR(DATE(YEAR($E$2),MONTH($E$2)+(-3),1)),4,1))</f>
        <v>0</v>
      </c>
      <c r="DI5" s="20">
        <f>sumifs('Form responses'!DN2:DN53,'Form responses'!$C$2:$C53,"&lt;="&amp;$G$2,'Form responses'!$C$2:$C53,"&gt;="&amp;Date(YEAR(DATE(YEAR($E$2),MONTH($E$2)+(-3),1)),4,1))</f>
        <v>0</v>
      </c>
      <c r="DJ5" s="20">
        <f>sumifs('Form responses'!DO2:DO53,'Form responses'!$C$2:$C53,"&lt;="&amp;$G$2,'Form responses'!$C$2:$C53,"&gt;="&amp;Date(YEAR(DATE(YEAR($E$2),MONTH($E$2)+(-3),1)),4,1))</f>
        <v>0</v>
      </c>
      <c r="DK5" s="20">
        <f>sumifs('Form responses'!DP2:DP53,'Form responses'!$C$2:$C53,"&lt;="&amp;$G$2,'Form responses'!$C$2:$C53,"&gt;="&amp;Date(YEAR(DATE(YEAR($E$2),MONTH($E$2)+(-3),1)),4,1))</f>
        <v>0</v>
      </c>
      <c r="DL5" s="20">
        <f>sumifs('Form responses'!DQ2:DQ53,'Form responses'!$C$2:$C53,"&lt;="&amp;$G$2,'Form responses'!$C$2:$C53,"&gt;="&amp;Date(YEAR(DATE(YEAR($E$2),MONTH($E$2)+(-3),1)),4,1))</f>
        <v>0</v>
      </c>
      <c r="DM5" s="20">
        <f>sumifs('Form responses'!DR2:DR53,'Form responses'!$C$2:$C53,"&lt;="&amp;$G$2,'Form responses'!$C$2:$C53,"&gt;="&amp;Date(YEAR(DATE(YEAR($E$2),MONTH($E$2)+(-3),1)),4,1))</f>
        <v>0</v>
      </c>
      <c r="DN5" s="20">
        <f>sumifs('Form responses'!DS2:DS53,'Form responses'!$C$2:$C53,"&lt;="&amp;$G$2,'Form responses'!$C$2:$C53,"&gt;="&amp;Date(YEAR(DATE(YEAR($E$2),MONTH($E$2)+(-3),1)),4,1))</f>
        <v>0</v>
      </c>
      <c r="DO5" s="20">
        <f>sumifs('Form responses'!DT2:DT53,'Form responses'!$C$2:$C53,"&lt;="&amp;$G$2,'Form responses'!$C$2:$C53,"&gt;="&amp;Date(YEAR(DATE(YEAR($E$2),MONTH($E$2)+(-3),1)),4,1))</f>
        <v>0</v>
      </c>
      <c r="DP5" s="20">
        <f>sumifs('Form responses'!DU2:DU53,'Form responses'!$C$2:$C53,"&lt;="&amp;$G$2,'Form responses'!$C$2:$C53,"&gt;="&amp;Date(YEAR(DATE(YEAR($E$2),MONTH($E$2)+(-3),1)),4,1))</f>
        <v>0</v>
      </c>
      <c r="DQ5" s="20">
        <f>sumifs('Form responses'!DV2:DV53,'Form responses'!$C$2:$C53,"&lt;="&amp;$G$2,'Form responses'!$C$2:$C53,"&gt;="&amp;Date(YEAR(DATE(YEAR($E$2),MONTH($E$2)+(-3),1)),4,1))</f>
        <v>0</v>
      </c>
      <c r="DR5" s="20">
        <f>sumifs('Form responses'!DW2:DW53,'Form responses'!$C$2:$C53,"&lt;="&amp;$G$2,'Form responses'!$C$2:$C53,"&gt;="&amp;Date(YEAR(DATE(YEAR($E$2),MONTH($E$2)+(-3),1)),4,1))</f>
        <v>0</v>
      </c>
      <c r="DS5" s="20">
        <f>sumifs('Form responses'!DX2:DX53,'Form responses'!$C$2:$C53,"&lt;="&amp;$G$2,'Form responses'!$C$2:$C53,"&gt;="&amp;Date(YEAR(DATE(YEAR($E$2),MONTH($E$2)+(-3),1)),4,1))</f>
        <v>0</v>
      </c>
      <c r="DT5" s="20">
        <f>sumifs('Form responses'!DY2:DY53,'Form responses'!$C$2:$C53,"&lt;="&amp;$G$2,'Form responses'!$C$2:$C53,"&gt;="&amp;Date(YEAR(DATE(YEAR($E$2),MONTH($E$2)+(-3),1)),4,1))</f>
        <v>0</v>
      </c>
      <c r="DU5" s="20">
        <f>sumifs('Form responses'!DZ2:DZ53,'Form responses'!$C$2:$C53,"&lt;="&amp;$G$2,'Form responses'!$C$2:$C53,"&gt;="&amp;Date(YEAR(DATE(YEAR($E$2),MONTH($E$2)+(-3),1)),4,1))</f>
        <v>0</v>
      </c>
      <c r="DV5" s="20">
        <f>sumifs('Form responses'!EA2:EA53,'Form responses'!$C$2:$C53,"&lt;="&amp;$G$2,'Form responses'!$C$2:$C53,"&gt;="&amp;Date(YEAR(DATE(YEAR($E$2),MONTH($E$2)+(-3),1)),4,1))</f>
        <v>0</v>
      </c>
      <c r="DW5" s="20">
        <f>sumifs('Form responses'!EB2:EB53,'Form responses'!$C$2:$C53,"&lt;="&amp;$G$2,'Form responses'!$C$2:$C53,"&gt;="&amp;Date(YEAR(DATE(YEAR($E$2),MONTH($E$2)+(-3),1)),4,1))</f>
        <v>0</v>
      </c>
      <c r="DX5" s="20">
        <f>sumifs('Form responses'!EC2:EC53,'Form responses'!$C$2:$C53,"&lt;="&amp;$G$2,'Form responses'!$C$2:$C53,"&gt;="&amp;Date(YEAR(DATE(YEAR($E$2),MONTH($E$2)+(-3),1)),4,1))</f>
        <v>0</v>
      </c>
      <c r="DY5" s="20">
        <f>sumifs('Form responses'!ED2:ED53,'Form responses'!$C$2:$C53,"&lt;="&amp;$G$2,'Form responses'!$C$2:$C53,"&gt;="&amp;Date(YEAR(DATE(YEAR($E$2),MONTH($E$2)+(-3),1)),4,1))</f>
        <v>0</v>
      </c>
      <c r="DZ5" s="20">
        <f>sumifs('Form responses'!EE2:EE53,'Form responses'!$C$2:$C53,"&lt;="&amp;$G$2,'Form responses'!$C$2:$C53,"&gt;="&amp;Date(YEAR(DATE(YEAR($E$2),MONTH($E$2)+(-3),1)),4,1))</f>
        <v>0</v>
      </c>
      <c r="EA5" s="20">
        <f>sumifs('Form responses'!EF2:EF53,'Form responses'!$C$2:$C53,"&lt;="&amp;$G$2,'Form responses'!$C$2:$C53,"&gt;="&amp;Date(YEAR(DATE(YEAR($E$2),MONTH($E$2)+(-3),1)),4,1))</f>
        <v>0</v>
      </c>
      <c r="EB5" s="20">
        <f>sumifs('Form responses'!EG2:EG53,'Form responses'!$C$2:$C53,"&lt;="&amp;$G$2,'Form responses'!$C$2:$C53,"&gt;="&amp;Date(YEAR(DATE(YEAR($E$2),MONTH($E$2)+(-3),1)),4,1))</f>
        <v>0</v>
      </c>
      <c r="EC5" s="20">
        <f>sumifs('Form responses'!EH2:EH53,'Form responses'!$C$2:$C53,"&lt;="&amp;$G$2,'Form responses'!$C$2:$C53,"&gt;="&amp;Date(YEAR(DATE(YEAR($E$2),MONTH($E$2)+(-3),1)),4,1))</f>
        <v>0</v>
      </c>
      <c r="ED5" s="20">
        <f>sumifs('Form responses'!EI2:EI53,'Form responses'!$C$2:$C53,"&lt;="&amp;$G$2,'Form responses'!$C$2:$C53,"&gt;="&amp;Date(YEAR(DATE(YEAR($E$2),MONTH($E$2)+(-3),1)),4,1))</f>
        <v>0</v>
      </c>
      <c r="EE5" s="20">
        <f>sumifs('Form responses'!EJ2:EJ53,'Form responses'!$C$2:$C53,"&lt;="&amp;$G$2,'Form responses'!$C$2:$C53,"&gt;="&amp;Date(YEAR(DATE(YEAR($E$2),MONTH($E$2)+(-3),1)),4,1))</f>
        <v>0</v>
      </c>
      <c r="EF5" s="20">
        <f>sumifs('Form responses'!EK2:EK53,'Form responses'!$C$2:$C53,"&lt;="&amp;$G$2,'Form responses'!$C$2:$C53,"&gt;="&amp;Date(YEAR(DATE(YEAR($E$2),MONTH($E$2)+(-3),1)),4,1))</f>
        <v>0</v>
      </c>
      <c r="EG5" s="20">
        <f>sumifs('Form responses'!EL2:EL53,'Form responses'!$C$2:$C53,"&lt;="&amp;$G$2,'Form responses'!$C$2:$C53,"&gt;="&amp;Date(YEAR(DATE(YEAR($E$2),MONTH($E$2)+(-3),1)),4,1))</f>
        <v>0</v>
      </c>
      <c r="EH5" s="20">
        <f>sumifs('Form responses'!EM2:EM53,'Form responses'!$C$2:$C53,"&lt;="&amp;$G$2,'Form responses'!$C$2:$C53,"&gt;="&amp;Date(YEAR(DATE(YEAR($E$2),MONTH($E$2)+(-3),1)),4,1))</f>
        <v>0</v>
      </c>
      <c r="EI5" s="20">
        <f>sumifs('Form responses'!EN2:EN53,'Form responses'!$C$2:$C53,"&lt;="&amp;$G$2,'Form responses'!$C$2:$C53,"&gt;="&amp;Date(YEAR(DATE(YEAR($E$2),MONTH($E$2)+(-3),1)),4,1))</f>
        <v>0</v>
      </c>
      <c r="EJ5" s="20">
        <f>sumifs('Form responses'!EO2:EO53,'Form responses'!$C$2:$C53,"&lt;="&amp;$G$2,'Form responses'!$C$2:$C53,"&gt;="&amp;Date(YEAR(DATE(YEAR($E$2),MONTH($E$2)+(-3),1)),4,1))</f>
        <v>0</v>
      </c>
      <c r="EK5" s="20">
        <f>sumifs('Form responses'!EP2:EP53,'Form responses'!$C$2:$C53,"&lt;="&amp;$G$2,'Form responses'!$C$2:$C53,"&gt;="&amp;Date(YEAR(DATE(YEAR($E$2),MONTH($E$2)+(-3),1)),4,1))</f>
        <v>0</v>
      </c>
      <c r="EL5" s="19"/>
    </row>
    <row r="6" ht="8.2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</row>
    <row r="7">
      <c r="A7" s="21"/>
      <c r="B7" s="22" t="s">
        <v>154</v>
      </c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</row>
    <row r="8">
      <c r="A8" s="25"/>
      <c r="B8" s="26" t="s">
        <v>155</v>
      </c>
      <c r="C8" s="26" t="s">
        <v>156</v>
      </c>
      <c r="D8" s="26" t="s">
        <v>157</v>
      </c>
      <c r="E8" s="26" t="s">
        <v>158</v>
      </c>
      <c r="F8" s="26" t="s">
        <v>159</v>
      </c>
      <c r="G8" s="26" t="s">
        <v>160</v>
      </c>
      <c r="H8" s="26" t="s">
        <v>161</v>
      </c>
      <c r="I8" s="26" t="s">
        <v>162</v>
      </c>
      <c r="J8" s="26" t="s">
        <v>163</v>
      </c>
      <c r="K8" s="26" t="s">
        <v>164</v>
      </c>
      <c r="L8" s="26" t="s">
        <v>165</v>
      </c>
      <c r="M8" s="26" t="s">
        <v>166</v>
      </c>
      <c r="N8" s="26" t="s">
        <v>167</v>
      </c>
      <c r="O8" s="26" t="s">
        <v>168</v>
      </c>
      <c r="P8" s="26" t="s">
        <v>169</v>
      </c>
      <c r="Q8" s="26" t="s">
        <v>170</v>
      </c>
      <c r="R8" s="26" t="s">
        <v>171</v>
      </c>
      <c r="S8" s="26" t="s">
        <v>172</v>
      </c>
      <c r="T8" s="27" t="s">
        <v>173</v>
      </c>
      <c r="U8" s="28" t="s">
        <v>174</v>
      </c>
      <c r="V8" s="29" t="s">
        <v>175</v>
      </c>
      <c r="W8" s="29" t="s">
        <v>176</v>
      </c>
      <c r="X8" s="29" t="s">
        <v>177</v>
      </c>
      <c r="Y8" s="30" t="s">
        <v>178</v>
      </c>
      <c r="Z8" s="31" t="s">
        <v>179</v>
      </c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</row>
    <row r="9">
      <c r="A9" s="33" t="s">
        <v>152</v>
      </c>
      <c r="B9" s="34">
        <f>sumifs(fees!C$2:C53,fees!$B$2:$B53,"&gt;="&amp;$E$2,fees!$B$2:$B53,"&lt;="&amp;$G$2)</f>
        <v>10</v>
      </c>
      <c r="C9" s="34">
        <f>sumifs(fees!D$2:D53,fees!$B$2:$B53,"&gt;="&amp;$E$2,fees!$B$2:$B53,"&lt;="&amp;$G$2)</f>
        <v>50</v>
      </c>
      <c r="D9" s="34">
        <f>sumifs(fees!E$2:E53,fees!$B$2:$B53,"&gt;="&amp;$E$2,fees!$B$2:$B53,"&lt;="&amp;$G$2)</f>
        <v>25</v>
      </c>
      <c r="E9" s="34">
        <f>sumifs(fees!F$2:F53,fees!$B$2:$B53,"&gt;="&amp;$E$2,fees!$B$2:$B53,"&lt;="&amp;$G$2)</f>
        <v>50</v>
      </c>
      <c r="F9" s="34">
        <f>sumifs(fees!G$2:G53,fees!$B$2:$B53,"&gt;="&amp;$E$2,fees!$B$2:$B53,"&lt;="&amp;$G$2)</f>
        <v>50</v>
      </c>
      <c r="G9" s="34">
        <f>sumifs(fees!H$2:H53,fees!$B$2:$B53,"&gt;="&amp;$E$2,fees!$B$2:$B53,"&lt;="&amp;$G$2)</f>
        <v>100</v>
      </c>
      <c r="H9" s="34">
        <f>sumifs(fees!I$2:I53,fees!$B$2:$B53,"&gt;="&amp;$E$2,fees!$B$2:$B53,"&lt;="&amp;$G$2)</f>
        <v>20</v>
      </c>
      <c r="I9" s="34">
        <f>sumifs(fees!J$2:J53,fees!$B$2:$B53,"&gt;="&amp;$E$2,fees!$B$2:$B53,"&lt;="&amp;$G$2)</f>
        <v>100</v>
      </c>
      <c r="J9" s="34">
        <f>sumifs(fees!K$2:K53,fees!$B$2:$B53,"&gt;="&amp;$E$2,fees!$B$2:$B53,"&lt;="&amp;$G$2)</f>
        <v>5</v>
      </c>
      <c r="K9" s="34">
        <f>sumifs(fees!L$2:L53,fees!$B$2:$B53,"&gt;="&amp;$E$2,fees!$B$2:$B53,"&lt;="&amp;$G$2)</f>
        <v>0</v>
      </c>
      <c r="L9" s="34">
        <f>sumifs(fees!M$2:M53,fees!$B$2:$B53,"&gt;="&amp;$E$2,fees!$B$2:$B53,"&lt;="&amp;$G$2)</f>
        <v>0</v>
      </c>
      <c r="M9" s="34">
        <f>sumifs(fees!N$2:N53,fees!$B$2:$B53,"&gt;="&amp;$E$2,fees!$B$2:$B53,"&lt;="&amp;$G$2)</f>
        <v>0</v>
      </c>
      <c r="N9" s="34">
        <f>sumifs(fees!O$2:O53,fees!$B$2:$B53,"&gt;="&amp;$E$2,fees!$B$2:$B53,"&lt;="&amp;$G$2)</f>
        <v>0</v>
      </c>
      <c r="O9" s="34">
        <f>sumifs(fees!P$2:P53,fees!$B$2:$B53,"&gt;="&amp;$E$2,fees!$B$2:$B53,"&lt;="&amp;$G$2)</f>
        <v>0</v>
      </c>
      <c r="P9" s="34">
        <f>sumifs(fees!Q$2:Q53,fees!$B$2:$B53,"&gt;="&amp;$E$2,fees!$B$2:$B53,"&lt;="&amp;$G$2)</f>
        <v>0</v>
      </c>
      <c r="Q9" s="34">
        <f>sumifs(fees!R$2:R53,fees!$B$2:$B53,"&gt;="&amp;$E$2,fees!$B$2:$B53,"&lt;="&amp;$G$2)</f>
        <v>25</v>
      </c>
      <c r="R9" s="34">
        <f>sumifs(fees!S$2:S53,fees!$B$2:$B53,"&gt;="&amp;$E$2,fees!$B$2:$B53,"&lt;="&amp;$G$2)</f>
        <v>35</v>
      </c>
      <c r="S9" s="34">
        <f>sumifs(fees!T$2:T53,fees!$B$2:$B53,"&gt;="&amp;$E$2,fees!$B$2:$B53,"&lt;="&amp;$G$2)</f>
        <v>50</v>
      </c>
      <c r="T9" s="34">
        <f>sumifs(fees!U$2:U53,fees!$B$2:$B53,"&gt;="&amp;$E$2,fees!$B$2:$B53,"&lt;="&amp;$G$2)</f>
        <v>50</v>
      </c>
      <c r="U9" s="34">
        <f>sumifs(fees!V$2:V53,fees!$B$2:$B53,"&gt;="&amp;$E$2,fees!$B$2:$B53,"&lt;="&amp;$G$2)</f>
        <v>25</v>
      </c>
      <c r="V9" s="34">
        <f>sumifs(fees!W$2:W53,fees!$B$2:$B53,"&gt;="&amp;$E$2,fees!$B$2:$B53,"&lt;="&amp;$G$2)</f>
        <v>40</v>
      </c>
      <c r="W9" s="34">
        <f>sumifs(fees!X$2:X53,fees!$B$2:$B53,"&gt;="&amp;$E$2,fees!$B$2:$B53,"&lt;="&amp;$G$2)</f>
        <v>40</v>
      </c>
      <c r="X9" s="34">
        <f>sumifs(fees!Y$2:Y53,fees!$B$2:$B53,"&gt;="&amp;$E$2,fees!$B$2:$B53,"&lt;="&amp;$G$2)</f>
        <v>2</v>
      </c>
      <c r="Y9" s="34">
        <f>sumifs(fees!Z$2:Z53,fees!$B$2:$B53,"&gt;="&amp;$E$2,fees!$B$2:$B53,"&lt;="&amp;$G$2)</f>
        <v>2</v>
      </c>
      <c r="Z9" s="34">
        <f>sumifs(fees!AA$2:AA53,fees!$B$2:$B53,"&gt;="&amp;$E$2,fees!$B$2:$B53,"&lt;="&amp;$G$2)</f>
        <v>200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</row>
    <row r="11">
      <c r="A11" s="21"/>
      <c r="B11" s="35" t="s">
        <v>180</v>
      </c>
      <c r="C11" s="36" t="s">
        <v>181</v>
      </c>
      <c r="D11" s="36" t="s">
        <v>182</v>
      </c>
      <c r="E11" s="36" t="s">
        <v>181</v>
      </c>
      <c r="F11" s="36" t="s">
        <v>183</v>
      </c>
      <c r="G11" s="36" t="s">
        <v>181</v>
      </c>
      <c r="H11" s="36" t="s">
        <v>184</v>
      </c>
      <c r="I11" s="36" t="s">
        <v>181</v>
      </c>
      <c r="J11" s="37" t="s">
        <v>185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</row>
    <row r="12">
      <c r="A12" s="17" t="s">
        <v>152</v>
      </c>
      <c r="B12" s="38">
        <f>sumifs('Form responses'!EQ2:EQ53,'Form responses'!$B$2:$B53,"&gt;="&amp;$E$2,'Form responses'!$C$2:$C53,"&lt;="&amp;$G$2)</f>
        <v>0</v>
      </c>
      <c r="C12" s="39">
        <f t="shared" ref="C12:C13" si="1">B12*$V$9</f>
        <v>0</v>
      </c>
      <c r="D12" s="39">
        <f>sumifs('Form responses'!ER2:ER53,'Form responses'!$B$2:$B53,"&gt;="&amp;$E$2,'Form responses'!$C$2:$C53,"&lt;="&amp;$G$2)</f>
        <v>0</v>
      </c>
      <c r="E12" s="39">
        <f t="shared" ref="E12:E13" si="2">D12*$W$9</f>
        <v>0</v>
      </c>
      <c r="F12" s="39">
        <f>sumifs('Form responses'!ES2:ES53,'Form responses'!$B$2:$B53,"&gt;="&amp;$E$2,'Form responses'!$C$2:$C53,"&lt;="&amp;$G$2)</f>
        <v>0</v>
      </c>
      <c r="G12" s="39">
        <f t="shared" ref="G12:G13" si="3">F12*$X$9</f>
        <v>0</v>
      </c>
      <c r="H12" s="39">
        <f>sumifs('Form responses'!ET2:ET53,'Form responses'!$B$2:$B53,"&gt;="&amp;$E$2,'Form responses'!$C$2:$C53,"&lt;="&amp;$G$2)</f>
        <v>0</v>
      </c>
      <c r="I12" s="39">
        <f t="shared" ref="I12:I13" si="4">H12*$Y$9</f>
        <v>0</v>
      </c>
      <c r="J12" s="40">
        <f>C12+E12+G12+I12</f>
        <v>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</row>
    <row r="13">
      <c r="A13" s="17" t="s">
        <v>153</v>
      </c>
      <c r="B13" s="41">
        <f>sumifs('Form responses'!EQ2:EQ53,'Form responses'!$B$2:$B53,"&gt;="&amp;Date(YEAR(DATE(YEAR($G$2),MONTH($G$2)+(-3),1)),4,1),'Form responses'!$C$2:$C53,"&lt;="&amp;$G$2)</f>
        <v>0</v>
      </c>
      <c r="C13" s="42">
        <f t="shared" si="1"/>
        <v>0</v>
      </c>
      <c r="D13" s="42">
        <f>sumifs('Form responses'!ER2:ER53,'Form responses'!$B$2:$B53,"&gt;="&amp;Date(YEAR(DATE(YEAR($G$2),MONTH($G$2)+(-3),1)),4,1),'Form responses'!$C$2:$C53,"&lt;="&amp;$G$2)</f>
        <v>0</v>
      </c>
      <c r="E13" s="42">
        <f t="shared" si="2"/>
        <v>0</v>
      </c>
      <c r="F13" s="42">
        <f>sumifs('Form responses'!ES2:ES53,'Form responses'!$B$2:$B53,"&gt;="&amp;Date(YEAR(DATE(YEAR($G$2),MONTH($G$2)+(-3),1)),4,1),'Form responses'!$C$2:$C53,"&lt;="&amp;$G$2)</f>
        <v>0</v>
      </c>
      <c r="G13" s="42">
        <f t="shared" si="3"/>
        <v>0</v>
      </c>
      <c r="H13" s="42">
        <f>sumifs('Form responses'!ET2:ET53,'Form responses'!$B$2:$B53,"&gt;="&amp;Date(YEAR(DATE(YEAR($G$2),MONTH($G$2)+(-3),1)),4,1),'Form responses'!$C$2:$C53,"&lt;="&amp;$G$2)</f>
        <v>0</v>
      </c>
      <c r="I13" s="42">
        <f t="shared" si="4"/>
        <v>0</v>
      </c>
      <c r="J13" s="43">
        <f>C12+E12+G12+I12</f>
        <v>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21"/>
      <c r="EL14" s="21"/>
    </row>
    <row r="16">
      <c r="A16" s="45"/>
      <c r="B16" s="46" t="s">
        <v>186</v>
      </c>
      <c r="E16" s="47">
        <f>E2</f>
        <v>44921</v>
      </c>
      <c r="F16" s="48" t="s">
        <v>11</v>
      </c>
      <c r="G16" s="49">
        <f>G2</f>
        <v>44951</v>
      </c>
      <c r="H16" s="50"/>
      <c r="I16" s="51"/>
      <c r="J16" s="51"/>
      <c r="K16" s="50"/>
      <c r="L16" s="51"/>
      <c r="M16" s="50"/>
      <c r="N16" s="50"/>
      <c r="O16" s="5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</row>
    <row r="17">
      <c r="A17" s="52"/>
      <c r="B17" s="53" t="s">
        <v>53</v>
      </c>
      <c r="C17" s="53" t="s">
        <v>54</v>
      </c>
      <c r="D17" s="53" t="s">
        <v>55</v>
      </c>
      <c r="E17" s="53" t="s">
        <v>56</v>
      </c>
      <c r="F17" s="53" t="s">
        <v>57</v>
      </c>
      <c r="G17" s="53" t="s">
        <v>58</v>
      </c>
      <c r="H17" s="53" t="s">
        <v>59</v>
      </c>
      <c r="I17" s="53" t="s">
        <v>60</v>
      </c>
      <c r="J17" s="53" t="s">
        <v>61</v>
      </c>
      <c r="K17" s="54" t="s">
        <v>62</v>
      </c>
      <c r="L17" s="53" t="s">
        <v>63</v>
      </c>
      <c r="M17" s="53" t="s">
        <v>64</v>
      </c>
      <c r="N17" s="53" t="s">
        <v>65</v>
      </c>
      <c r="O17" s="54" t="s">
        <v>66</v>
      </c>
      <c r="P17" s="53" t="s">
        <v>67</v>
      </c>
      <c r="Q17" s="53" t="s">
        <v>68</v>
      </c>
      <c r="R17" s="53" t="s">
        <v>69</v>
      </c>
      <c r="S17" s="53" t="s">
        <v>70</v>
      </c>
      <c r="T17" s="53" t="s">
        <v>71</v>
      </c>
      <c r="U17" s="53" t="s">
        <v>72</v>
      </c>
      <c r="V17" s="53" t="s">
        <v>73</v>
      </c>
      <c r="W17" s="53" t="s">
        <v>74</v>
      </c>
      <c r="X17" s="53" t="s">
        <v>75</v>
      </c>
      <c r="Y17" s="53" t="s">
        <v>76</v>
      </c>
      <c r="Z17" s="53" t="s">
        <v>77</v>
      </c>
      <c r="AA17" s="53" t="s">
        <v>78</v>
      </c>
      <c r="AB17" s="53" t="s">
        <v>79</v>
      </c>
      <c r="AC17" s="53" t="s">
        <v>80</v>
      </c>
      <c r="AD17" s="53" t="s">
        <v>81</v>
      </c>
      <c r="AE17" s="53" t="s">
        <v>82</v>
      </c>
      <c r="AF17" s="53" t="s">
        <v>83</v>
      </c>
      <c r="AG17" s="53" t="s">
        <v>84</v>
      </c>
      <c r="AH17" s="54" t="s">
        <v>85</v>
      </c>
      <c r="AI17" s="54" t="s">
        <v>86</v>
      </c>
      <c r="AJ17" s="53" t="s">
        <v>87</v>
      </c>
      <c r="AK17" s="53" t="s">
        <v>88</v>
      </c>
      <c r="AL17" s="53" t="s">
        <v>89</v>
      </c>
      <c r="AM17" s="53" t="s">
        <v>90</v>
      </c>
      <c r="AN17" s="53" t="s">
        <v>91</v>
      </c>
      <c r="AO17" s="53" t="s">
        <v>92</v>
      </c>
      <c r="AP17" s="53" t="s">
        <v>93</v>
      </c>
      <c r="AQ17" s="53" t="s">
        <v>94</v>
      </c>
      <c r="AR17" s="53" t="s">
        <v>95</v>
      </c>
      <c r="AS17" s="53" t="s">
        <v>96</v>
      </c>
      <c r="AT17" s="53" t="s">
        <v>97</v>
      </c>
      <c r="AU17" s="53" t="s">
        <v>98</v>
      </c>
      <c r="AV17" s="53" t="s">
        <v>99</v>
      </c>
      <c r="AW17" s="53" t="s">
        <v>100</v>
      </c>
      <c r="AX17" s="53" t="s">
        <v>101</v>
      </c>
      <c r="AY17" s="53" t="s">
        <v>102</v>
      </c>
      <c r="AZ17" s="53" t="s">
        <v>103</v>
      </c>
      <c r="BA17" s="53" t="s">
        <v>104</v>
      </c>
      <c r="BB17" s="53" t="s">
        <v>105</v>
      </c>
      <c r="BC17" s="53" t="s">
        <v>106</v>
      </c>
      <c r="BD17" s="54" t="s">
        <v>107</v>
      </c>
      <c r="BE17" s="54" t="s">
        <v>108</v>
      </c>
      <c r="BF17" s="53" t="s">
        <v>109</v>
      </c>
      <c r="BG17" s="53" t="s">
        <v>110</v>
      </c>
      <c r="BH17" s="53" t="s">
        <v>111</v>
      </c>
      <c r="BI17" s="53" t="s">
        <v>112</v>
      </c>
      <c r="BJ17" s="53" t="s">
        <v>113</v>
      </c>
      <c r="BK17" s="53" t="s">
        <v>114</v>
      </c>
      <c r="BL17" s="53" t="s">
        <v>115</v>
      </c>
      <c r="BM17" s="53" t="s">
        <v>116</v>
      </c>
      <c r="BN17" s="53" t="s">
        <v>117</v>
      </c>
      <c r="BO17" s="53" t="s">
        <v>118</v>
      </c>
      <c r="BP17" s="53" t="s">
        <v>119</v>
      </c>
      <c r="BQ17" s="53" t="s">
        <v>120</v>
      </c>
      <c r="BR17" s="53" t="s">
        <v>121</v>
      </c>
      <c r="BS17" s="53" t="s">
        <v>122</v>
      </c>
      <c r="BT17" s="53" t="s">
        <v>123</v>
      </c>
      <c r="BU17" s="54" t="s">
        <v>124</v>
      </c>
      <c r="BV17" s="53" t="s">
        <v>125</v>
      </c>
      <c r="BW17" s="53" t="s">
        <v>126</v>
      </c>
      <c r="BX17" s="53" t="s">
        <v>127</v>
      </c>
      <c r="BY17" s="53" t="s">
        <v>128</v>
      </c>
      <c r="BZ17" s="53" t="s">
        <v>129</v>
      </c>
      <c r="CA17" s="53" t="s">
        <v>130</v>
      </c>
      <c r="CB17" s="53" t="s">
        <v>131</v>
      </c>
      <c r="CC17" s="53" t="s">
        <v>132</v>
      </c>
      <c r="CD17" s="53" t="s">
        <v>133</v>
      </c>
      <c r="CE17" s="53" t="s">
        <v>134</v>
      </c>
      <c r="CF17" s="54" t="s">
        <v>135</v>
      </c>
      <c r="CG17" s="53" t="s">
        <v>136</v>
      </c>
      <c r="CH17" s="53" t="s">
        <v>137</v>
      </c>
      <c r="CI17" s="53" t="s">
        <v>138</v>
      </c>
      <c r="CJ17" s="53" t="s">
        <v>139</v>
      </c>
      <c r="CK17" s="53" t="s">
        <v>140</v>
      </c>
      <c r="CL17" s="54" t="s">
        <v>141</v>
      </c>
      <c r="CM17" s="54" t="s">
        <v>142</v>
      </c>
      <c r="CN17" s="54" t="s">
        <v>143</v>
      </c>
      <c r="CO17" s="54" t="s">
        <v>144</v>
      </c>
      <c r="CP17" s="54" t="s">
        <v>145</v>
      </c>
      <c r="CQ17" s="54" t="s">
        <v>146</v>
      </c>
      <c r="CR17" s="54" t="s">
        <v>147</v>
      </c>
      <c r="CS17" s="54" t="s">
        <v>148</v>
      </c>
      <c r="CT17" s="54" t="s">
        <v>149</v>
      </c>
      <c r="CU17" s="54" t="s">
        <v>150</v>
      </c>
      <c r="CV17" s="55" t="s">
        <v>151</v>
      </c>
    </row>
    <row r="18">
      <c r="A18" s="56" t="s">
        <v>152</v>
      </c>
      <c r="B18" s="57">
        <f>sumifs('Form responses'!AV2:AV53,'Form responses'!$C$2:$C53,"&gt;="&amp;$E$2,'Form responses'!$C$2:$C53,"&lt;="&amp;$G$2,'Form responses'!$F$2:$F53,"&lt;&gt;4")</f>
        <v>0</v>
      </c>
      <c r="C18" s="57">
        <f>sumifs('Form responses'!AW2:AW53,'Form responses'!$C$2:$C53,"&gt;="&amp;$E$2,'Form responses'!$C$2:$C53,"&lt;="&amp;$G$2,'Form responses'!$F$2:$F53,"&lt;&gt;4")</f>
        <v>0</v>
      </c>
      <c r="D18" s="57">
        <f>sumifs('Form responses'!AX2:AX53,'Form responses'!$C$2:$C53,"&gt;="&amp;$E$2,'Form responses'!$C$2:$C53,"&lt;="&amp;$G$2,'Form responses'!$F$2:$F53,"&lt;&gt;4")</f>
        <v>0</v>
      </c>
      <c r="E18" s="57">
        <f>sumifs('Form responses'!AY2:AY53,'Form responses'!$C$2:$C53,"&gt;="&amp;$E$2,'Form responses'!$C$2:$C53,"&lt;="&amp;$G$2,'Form responses'!$F$2:$F53,"&lt;&gt;4")</f>
        <v>0</v>
      </c>
      <c r="F18" s="57">
        <f>sumifs('Form responses'!AZ2:AZ53,'Form responses'!$C$2:$C53,"&gt;="&amp;$E$2,'Form responses'!$C$2:$C53,"&lt;="&amp;$G$2,'Form responses'!$F$2:$F53,"&lt;&gt;4")</f>
        <v>0</v>
      </c>
      <c r="G18" s="57">
        <f>sumifs('Form responses'!BA2:BA53,'Form responses'!$C$2:$C53,"&gt;="&amp;$E$2,'Form responses'!$C$2:$C53,"&lt;="&amp;$G$2,'Form responses'!$F$2:$F53,"&lt;&gt;4")</f>
        <v>0</v>
      </c>
      <c r="H18" s="57">
        <f>sumifs('Form responses'!BB2:BB53,'Form responses'!$C$2:$C53,"&gt;="&amp;$E$2,'Form responses'!$C$2:$C53,"&lt;="&amp;$G$2,'Form responses'!$F$2:$F53,"&lt;&gt;4")</f>
        <v>0</v>
      </c>
      <c r="I18" s="57">
        <f>sumifs('Form responses'!BC2:BC53,'Form responses'!$C$2:$C53,"&gt;="&amp;$E$2,'Form responses'!$C$2:$C53,"&lt;="&amp;$G$2,'Form responses'!$F$2:$F53,"&lt;&gt;4")</f>
        <v>0</v>
      </c>
      <c r="J18" s="57">
        <f>sumifs('Form responses'!BD2:BD53,'Form responses'!$C$2:$C53,"&gt;="&amp;$E$2,'Form responses'!$C$2:$C53,"&lt;="&amp;$G$2,'Form responses'!$F$2:$F53,"&lt;&gt;4")</f>
        <v>0</v>
      </c>
      <c r="K18" s="57">
        <f>sumifs('Form responses'!BE2:BE53,'Form responses'!$C$2:$C53,"&gt;="&amp;$E$2,'Form responses'!$C$2:$C53,"&lt;="&amp;$G$2,'Form responses'!$F$2:$F53,"&lt;&gt;4")</f>
        <v>0</v>
      </c>
      <c r="L18" s="57">
        <f>sumifs('Form responses'!BF2:BF53,'Form responses'!$C$2:$C53,"&gt;="&amp;$E$2,'Form responses'!$C$2:$C53,"&lt;="&amp;$G$2,'Form responses'!$F$2:$F53,"&lt;&gt;4")</f>
        <v>0</v>
      </c>
      <c r="M18" s="57">
        <f>sumifs('Form responses'!BG2:BG53,'Form responses'!$C$2:$C53,"&gt;="&amp;$E$2,'Form responses'!$C$2:$C53,"&lt;="&amp;$G$2,'Form responses'!$F$2:$F53,"&lt;&gt;4")</f>
        <v>0</v>
      </c>
      <c r="N18" s="57">
        <f>sumifs('Form responses'!BH2:BH53,'Form responses'!$C$2:$C53,"&gt;="&amp;$E$2,'Form responses'!$C$2:$C53,"&lt;="&amp;$G$2,'Form responses'!$F$2:$F53,"&lt;&gt;4")</f>
        <v>0</v>
      </c>
      <c r="O18" s="57">
        <f>sumifs('Form responses'!BI2:BI53,'Form responses'!$C$2:$C53,"&gt;="&amp;$E$2,'Form responses'!$C$2:$C53,"&lt;="&amp;$G$2,'Form responses'!$F$2:$F53,"&lt;&gt;4")</f>
        <v>0</v>
      </c>
      <c r="P18" s="57">
        <f>sumifs('Form responses'!BJ2:BJ53,'Form responses'!$C$2:$C53,"&gt;="&amp;$E$2,'Form responses'!$C$2:$C53,"&lt;="&amp;$G$2,'Form responses'!$F$2:$F53,"&lt;&gt;4")</f>
        <v>0</v>
      </c>
      <c r="Q18" s="57">
        <f>sumifs('Form responses'!BK2:BK53,'Form responses'!$C$2:$C53,"&gt;="&amp;$E$2,'Form responses'!$C$2:$C53,"&lt;="&amp;$G$2,'Form responses'!$F$2:$F53,"&lt;&gt;4")</f>
        <v>0</v>
      </c>
      <c r="R18" s="57">
        <f>sumifs('Form responses'!BL2:BL53,'Form responses'!$C$2:$C53,"&gt;="&amp;$E$2,'Form responses'!$C$2:$C53,"&lt;="&amp;$G$2,'Form responses'!$F$2:$F53,"&lt;&gt;4")</f>
        <v>0</v>
      </c>
      <c r="S18" s="57">
        <f>sumifs('Form responses'!BM2:BM53,'Form responses'!$C$2:$C53,"&gt;="&amp;$E$2,'Form responses'!$C$2:$C53,"&lt;="&amp;$G$2,'Form responses'!$F$2:$F53,"&lt;&gt;4")</f>
        <v>0</v>
      </c>
      <c r="T18" s="57">
        <f>sumifs('Form responses'!BN2:BN53,'Form responses'!$C$2:$C53,"&gt;="&amp;$E$2,'Form responses'!$C$2:$C53,"&lt;="&amp;$G$2,'Form responses'!$F$2:$F53,"&lt;&gt;4")</f>
        <v>0</v>
      </c>
      <c r="U18" s="57">
        <f>sumifs('Form responses'!BO2:BO53,'Form responses'!$C$2:$C53,"&gt;="&amp;$E$2,'Form responses'!$C$2:$C53,"&lt;="&amp;$G$2,'Form responses'!$F$2:$F53,"&lt;&gt;4")</f>
        <v>0</v>
      </c>
      <c r="V18" s="57">
        <f>sumifs('Form responses'!BP2:BP53,'Form responses'!$C$2:$C53,"&gt;="&amp;$E$2,'Form responses'!$C$2:$C53,"&lt;="&amp;$G$2,'Form responses'!$F$2:$F53,"&lt;&gt;4")</f>
        <v>0</v>
      </c>
      <c r="W18" s="57">
        <f>sumifs('Form responses'!BQ2:BQ53,'Form responses'!$C$2:$C53,"&gt;="&amp;$E$2,'Form responses'!$C$2:$C53,"&lt;="&amp;$G$2,'Form responses'!$F$2:$F53,"&lt;&gt;4")</f>
        <v>0</v>
      </c>
      <c r="X18" s="57">
        <f>sumifs('Form responses'!BR2:BR53,'Form responses'!$C$2:$C53,"&gt;="&amp;$E$2,'Form responses'!$C$2:$C53,"&lt;="&amp;$G$2,'Form responses'!$F$2:$F53,"&lt;&gt;4")</f>
        <v>0</v>
      </c>
      <c r="Y18" s="57">
        <f>sumifs('Form responses'!BS2:BS53,'Form responses'!$C$2:$C53,"&gt;="&amp;$E$2,'Form responses'!$C$2:$C53,"&lt;="&amp;$G$2,'Form responses'!$F$2:$F53,"&lt;&gt;4")</f>
        <v>0</v>
      </c>
      <c r="Z18" s="57">
        <f>sumifs('Form responses'!BT2:BT53,'Form responses'!$C$2:$C53,"&gt;="&amp;$E$2,'Form responses'!$C$2:$C53,"&lt;="&amp;$G$2,'Form responses'!$F$2:$F53,"&lt;&gt;4")</f>
        <v>0</v>
      </c>
      <c r="AA18" s="57">
        <f>sumifs('Form responses'!BU2:BU53,'Form responses'!$C$2:$C53,"&gt;="&amp;$E$2,'Form responses'!$C$2:$C53,"&lt;="&amp;$G$2,'Form responses'!$F$2:$F53,"&lt;&gt;4")</f>
        <v>0</v>
      </c>
      <c r="AB18" s="57">
        <f>sumifs('Form responses'!BV2:BV53,'Form responses'!$C$2:$C53,"&gt;="&amp;$E$2,'Form responses'!$C$2:$C53,"&lt;="&amp;$G$2,'Form responses'!$F$2:$F53,"&lt;&gt;4")</f>
        <v>0</v>
      </c>
      <c r="AC18" s="57">
        <f>sumifs('Form responses'!BW2:BW53,'Form responses'!$C$2:$C53,"&gt;="&amp;$E$2,'Form responses'!$C$2:$C53,"&lt;="&amp;$G$2,'Form responses'!$F$2:$F53,"&lt;&gt;4")</f>
        <v>0</v>
      </c>
      <c r="AD18" s="57">
        <f>sumifs('Form responses'!BX2:BX53,'Form responses'!$C$2:$C53,"&gt;="&amp;$E$2,'Form responses'!$C$2:$C53,"&lt;="&amp;$G$2,'Form responses'!$F$2:$F53,"&lt;&gt;4")</f>
        <v>0</v>
      </c>
      <c r="AE18" s="57">
        <f>sumifs('Form responses'!BY2:BY53,'Form responses'!$C$2:$C53,"&gt;="&amp;$E$2,'Form responses'!$C$2:$C53,"&lt;="&amp;$G$2,'Form responses'!$F$2:$F53,"&lt;&gt;4")</f>
        <v>0</v>
      </c>
      <c r="AF18" s="57">
        <f>sumifs('Form responses'!BZ2:BZ53,'Form responses'!$C$2:$C53,"&gt;="&amp;$E$2,'Form responses'!$C$2:$C53,"&lt;="&amp;$G$2,'Form responses'!$F$2:$F53,"&lt;&gt;4")</f>
        <v>0</v>
      </c>
      <c r="AG18" s="57">
        <f>sumifs('Form responses'!CA2:CA53,'Form responses'!$C$2:$C53,"&gt;="&amp;$E$2,'Form responses'!$C$2:$C53,"&lt;="&amp;$G$2,'Form responses'!$F$2:$F53,"&lt;&gt;4")</f>
        <v>0</v>
      </c>
      <c r="AH18" s="57">
        <f>sumifs('Form responses'!CB2:CB53,'Form responses'!$C$2:$C53,"&gt;="&amp;$E$2,'Form responses'!$C$2:$C53,"&lt;="&amp;$G$2,'Form responses'!$F$2:$F53,"&lt;&gt;4")</f>
        <v>0</v>
      </c>
      <c r="AI18" s="57">
        <f>sumifs('Form responses'!CC2:CC53,'Form responses'!$C$2:$C53,"&gt;="&amp;$E$2,'Form responses'!$C$2:$C53,"&lt;="&amp;$G$2,'Form responses'!$F$2:$F53,"&lt;&gt;4")</f>
        <v>0</v>
      </c>
      <c r="AJ18" s="57">
        <f>sumifs('Form responses'!CD2:CD53,'Form responses'!$C$2:$C53,"&gt;="&amp;$E$2,'Form responses'!$C$2:$C53,"&lt;="&amp;$G$2,'Form responses'!$F$2:$F53,"&lt;&gt;4")</f>
        <v>0</v>
      </c>
      <c r="AK18" s="57">
        <f>sumifs('Form responses'!CE2:CE53,'Form responses'!$C$2:$C53,"&gt;="&amp;$E$2,'Form responses'!$C$2:$C53,"&lt;="&amp;$G$2,'Form responses'!$F$2:$F53,"&lt;&gt;4")</f>
        <v>0</v>
      </c>
      <c r="AL18" s="57">
        <f>sumifs('Form responses'!CF2:CF53,'Form responses'!$C$2:$C53,"&gt;="&amp;$E$2,'Form responses'!$C$2:$C53,"&lt;="&amp;$G$2,'Form responses'!$F$2:$F53,"&lt;&gt;4")</f>
        <v>0</v>
      </c>
      <c r="AM18" s="57">
        <f>sumifs('Form responses'!CG2:CG53,'Form responses'!$C$2:$C53,"&gt;="&amp;$E$2,'Form responses'!$C$2:$C53,"&lt;="&amp;$G$2,'Form responses'!$F$2:$F53,"&lt;&gt;4")</f>
        <v>0</v>
      </c>
      <c r="AN18" s="57">
        <f>sumifs('Form responses'!CH2:CH53,'Form responses'!$C$2:$C53,"&gt;="&amp;$E$2,'Form responses'!$C$2:$C53,"&lt;="&amp;$G$2,'Form responses'!$F$2:$F53,"&lt;&gt;4")</f>
        <v>0</v>
      </c>
      <c r="AO18" s="57">
        <f>sumifs('Form responses'!CI2:CI53,'Form responses'!$C$2:$C53,"&gt;="&amp;$E$2,'Form responses'!$C$2:$C53,"&lt;="&amp;$G$2,'Form responses'!$F$2:$F53,"&lt;&gt;4")</f>
        <v>0</v>
      </c>
      <c r="AP18" s="57">
        <f>sumifs('Form responses'!CJ2:CJ53,'Form responses'!$C$2:$C53,"&gt;="&amp;$E$2,'Form responses'!$C$2:$C53,"&lt;="&amp;$G$2,'Form responses'!$F$2:$F53,"&lt;&gt;4")</f>
        <v>0</v>
      </c>
      <c r="AQ18" s="57">
        <f>sumifs('Form responses'!CK2:CK53,'Form responses'!$C$2:$C53,"&gt;="&amp;$E$2,'Form responses'!$C$2:$C53,"&lt;="&amp;$G$2,'Form responses'!$F$2:$F53,"&lt;&gt;4")</f>
        <v>0</v>
      </c>
      <c r="AR18" s="57">
        <f>sumifs('Form responses'!CL2:CL53,'Form responses'!$C$2:$C53,"&gt;="&amp;$E$2,'Form responses'!$C$2:$C53,"&lt;="&amp;$G$2,'Form responses'!$F$2:$F53,"&lt;&gt;4")</f>
        <v>0</v>
      </c>
      <c r="AS18" s="57">
        <f>sumifs('Form responses'!CM2:CM53,'Form responses'!$C$2:$C53,"&gt;="&amp;$E$2,'Form responses'!$C$2:$C53,"&lt;="&amp;$G$2,'Form responses'!$F$2:$F53,"&lt;&gt;4")</f>
        <v>0</v>
      </c>
      <c r="AT18" s="57">
        <f>sumifs('Form responses'!CN2:CN53,'Form responses'!$C$2:$C53,"&gt;="&amp;$E$2,'Form responses'!$C$2:$C53,"&lt;="&amp;$G$2,'Form responses'!$F$2:$F53,"&lt;&gt;4")</f>
        <v>0</v>
      </c>
      <c r="AU18" s="57">
        <f>sumifs('Form responses'!CO2:CO53,'Form responses'!$C$2:$C53,"&gt;="&amp;$E$2,'Form responses'!$C$2:$C53,"&lt;="&amp;$G$2,'Form responses'!$F$2:$F53,"&lt;&gt;4")</f>
        <v>0</v>
      </c>
      <c r="AV18" s="57">
        <f>sumifs('Form responses'!CP2:CP53,'Form responses'!$C$2:$C53,"&gt;="&amp;$E$2,'Form responses'!$C$2:$C53,"&lt;="&amp;$G$2,'Form responses'!$F$2:$F53,"&lt;&gt;4")</f>
        <v>0</v>
      </c>
      <c r="AW18" s="57">
        <f>sumifs('Form responses'!CQ2:CQ53,'Form responses'!$C$2:$C53,"&gt;="&amp;$E$2,'Form responses'!$C$2:$C53,"&lt;="&amp;$G$2,'Form responses'!$F$2:$F53,"&lt;&gt;4")</f>
        <v>0</v>
      </c>
      <c r="AX18" s="57">
        <f>sumifs('Form responses'!CR2:CR53,'Form responses'!$C$2:$C53,"&gt;="&amp;$E$2,'Form responses'!$C$2:$C53,"&lt;="&amp;$G$2,'Form responses'!$F$2:$F53,"&lt;&gt;4")</f>
        <v>0</v>
      </c>
      <c r="AY18" s="57">
        <f>sumifs('Form responses'!CS2:CS53,'Form responses'!$C$2:$C53,"&gt;="&amp;$E$2,'Form responses'!$C$2:$C53,"&lt;="&amp;$G$2,'Form responses'!$F$2:$F53,"&lt;&gt;4")</f>
        <v>0</v>
      </c>
      <c r="AZ18" s="57">
        <f>sumifs('Form responses'!CT2:CT53,'Form responses'!$C$2:$C53,"&gt;="&amp;$E$2,'Form responses'!$C$2:$C53,"&lt;="&amp;$G$2,'Form responses'!$F$2:$F53,"&lt;&gt;4")</f>
        <v>0</v>
      </c>
      <c r="BA18" s="57">
        <f>sumifs('Form responses'!CU2:CU53,'Form responses'!$C$2:$C53,"&gt;="&amp;$E$2,'Form responses'!$C$2:$C53,"&lt;="&amp;$G$2,'Form responses'!$F$2:$F53,"&lt;&gt;4")</f>
        <v>0</v>
      </c>
      <c r="BB18" s="57">
        <f>sumifs('Form responses'!CV2:CV53,'Form responses'!$C$2:$C53,"&gt;="&amp;$E$2,'Form responses'!$C$2:$C53,"&lt;="&amp;$G$2,'Form responses'!$F$2:$F53,"&lt;&gt;4")</f>
        <v>0</v>
      </c>
      <c r="BC18" s="57">
        <f>sumifs('Form responses'!CW2:CW53,'Form responses'!$C$2:$C53,"&gt;="&amp;$E$2,'Form responses'!$C$2:$C53,"&lt;="&amp;$G$2,'Form responses'!$F$2:$F53,"&lt;&gt;4")</f>
        <v>0</v>
      </c>
      <c r="BD18" s="57">
        <f>sumifs('Form responses'!CX2:CX53,'Form responses'!$C$2:$C53,"&gt;="&amp;$E$2,'Form responses'!$C$2:$C53,"&lt;="&amp;$G$2,'Form responses'!$F$2:$F53,"&lt;&gt;4")</f>
        <v>0</v>
      </c>
      <c r="BE18" s="57">
        <f>sumifs('Form responses'!CY2:CY53,'Form responses'!$C$2:$C53,"&gt;="&amp;$E$2,'Form responses'!$C$2:$C53,"&lt;="&amp;$G$2,'Form responses'!$F$2:$F53,"&lt;&gt;4")</f>
        <v>0</v>
      </c>
      <c r="BF18" s="57">
        <f>sumifs('Form responses'!CZ2:CZ53,'Form responses'!$C$2:$C53,"&gt;="&amp;$E$2,'Form responses'!$C$2:$C53,"&lt;="&amp;$G$2,'Form responses'!$F$2:$F53,"&lt;&gt;4")</f>
        <v>0</v>
      </c>
      <c r="BG18" s="57">
        <f>sumifs('Form responses'!DA2:DA53,'Form responses'!$C$2:$C53,"&gt;="&amp;$E$2,'Form responses'!$C$2:$C53,"&lt;="&amp;$G$2,'Form responses'!$F$2:$F53,"&lt;&gt;4")</f>
        <v>0</v>
      </c>
      <c r="BH18" s="57">
        <f>sumifs('Form responses'!DB2:DB53,'Form responses'!$C$2:$C53,"&gt;="&amp;$E$2,'Form responses'!$C$2:$C53,"&lt;="&amp;$G$2,'Form responses'!$F$2:$F53,"&lt;&gt;4")</f>
        <v>0</v>
      </c>
      <c r="BI18" s="57">
        <f>sumifs('Form responses'!DC2:DC53,'Form responses'!$C$2:$C53,"&gt;="&amp;$E$2,'Form responses'!$C$2:$C53,"&lt;="&amp;$G$2,'Form responses'!$F$2:$F53,"&lt;&gt;4")</f>
        <v>0</v>
      </c>
      <c r="BJ18" s="57">
        <f>sumifs('Form responses'!DD2:DD53,'Form responses'!$C$2:$C53,"&gt;="&amp;$E$2,'Form responses'!$C$2:$C53,"&lt;="&amp;$G$2,'Form responses'!$F$2:$F53,"&lt;&gt;4")</f>
        <v>0</v>
      </c>
      <c r="BK18" s="57">
        <f>sumifs('Form responses'!DE2:DE53,'Form responses'!$C$2:$C53,"&gt;="&amp;$E$2,'Form responses'!$C$2:$C53,"&lt;="&amp;$G$2,'Form responses'!$F$2:$F53,"&lt;&gt;4")</f>
        <v>0</v>
      </c>
      <c r="BL18" s="57">
        <f>sumifs('Form responses'!DF2:DF53,'Form responses'!$C$2:$C53,"&gt;="&amp;$E$2,'Form responses'!$C$2:$C53,"&lt;="&amp;$G$2,'Form responses'!$F$2:$F53,"&lt;&gt;4")</f>
        <v>0</v>
      </c>
      <c r="BM18" s="57">
        <f>sumifs('Form responses'!DG2:DG53,'Form responses'!$C$2:$C53,"&gt;="&amp;$E$2,'Form responses'!$C$2:$C53,"&lt;="&amp;$G$2,'Form responses'!$F$2:$F53,"&lt;&gt;4")</f>
        <v>0</v>
      </c>
      <c r="BN18" s="57">
        <f>sumifs('Form responses'!DH2:DH53,'Form responses'!$C$2:$C53,"&gt;="&amp;$E$2,'Form responses'!$C$2:$C53,"&lt;="&amp;$G$2,'Form responses'!$F$2:$F53,"&lt;&gt;4")</f>
        <v>0</v>
      </c>
      <c r="BO18" s="57">
        <f>sumifs('Form responses'!DI2:DI53,'Form responses'!$C$2:$C53,"&gt;="&amp;$E$2,'Form responses'!$C$2:$C53,"&lt;="&amp;$G$2,'Form responses'!$F$2:$F53,"&lt;&gt;4")</f>
        <v>0</v>
      </c>
      <c r="BP18" s="57">
        <f>sumifs('Form responses'!DJ2:DJ53,'Form responses'!$C$2:$C53,"&gt;="&amp;$E$2,'Form responses'!$C$2:$C53,"&lt;="&amp;$G$2,'Form responses'!$F$2:$F53,"&lt;&gt;4")</f>
        <v>0</v>
      </c>
      <c r="BQ18" s="57">
        <f>sumifs('Form responses'!DK2:DK53,'Form responses'!$C$2:$C53,"&gt;="&amp;$E$2,'Form responses'!$C$2:$C53,"&lt;="&amp;$G$2,'Form responses'!$F$2:$F53,"&lt;&gt;4")</f>
        <v>0</v>
      </c>
      <c r="BR18" s="57">
        <f>sumifs('Form responses'!DL2:DL53,'Form responses'!$C$2:$C53,"&gt;="&amp;$E$2,'Form responses'!$C$2:$C53,"&lt;="&amp;$G$2,'Form responses'!$F$2:$F53,"&lt;&gt;4")</f>
        <v>0</v>
      </c>
      <c r="BS18" s="57">
        <f>sumifs('Form responses'!DM2:DM53,'Form responses'!$C$2:$C53,"&gt;="&amp;$E$2,'Form responses'!$C$2:$C53,"&lt;="&amp;$G$2,'Form responses'!$F$2:$F53,"&lt;&gt;4")</f>
        <v>0</v>
      </c>
      <c r="BT18" s="57">
        <f>sumifs('Form responses'!DN2:DN53,'Form responses'!$C$2:$C53,"&gt;="&amp;$E$2,'Form responses'!$C$2:$C53,"&lt;="&amp;$G$2,'Form responses'!$F$2:$F53,"&lt;&gt;4")</f>
        <v>0</v>
      </c>
      <c r="BU18" s="57">
        <f>sumifs('Form responses'!DO2:DO53,'Form responses'!$C$2:$C53,"&gt;="&amp;$E$2,'Form responses'!$C$2:$C53,"&lt;="&amp;$G$2,'Form responses'!$F$2:$F53,"&lt;&gt;4")</f>
        <v>0</v>
      </c>
      <c r="BV18" s="57">
        <f>sumifs('Form responses'!DP2:DP53,'Form responses'!$C$2:$C53,"&gt;="&amp;$E$2,'Form responses'!$C$2:$C53,"&lt;="&amp;$G$2,'Form responses'!$F$2:$F53,"&lt;&gt;4")</f>
        <v>0</v>
      </c>
      <c r="BW18" s="57">
        <f>sumifs('Form responses'!DQ2:DQ53,'Form responses'!$C$2:$C53,"&gt;="&amp;$E$2,'Form responses'!$C$2:$C53,"&lt;="&amp;$G$2,'Form responses'!$F$2:$F53,"&lt;&gt;4")</f>
        <v>0</v>
      </c>
      <c r="BX18" s="57">
        <f>sumifs('Form responses'!DR2:DR53,'Form responses'!$C$2:$C53,"&gt;="&amp;$E$2,'Form responses'!$C$2:$C53,"&lt;="&amp;$G$2,'Form responses'!$F$2:$F53,"&lt;&gt;4")</f>
        <v>0</v>
      </c>
      <c r="BY18" s="57">
        <f>sumifs('Form responses'!DS2:DS53,'Form responses'!$C$2:$C53,"&gt;="&amp;$E$2,'Form responses'!$C$2:$C53,"&lt;="&amp;$G$2,'Form responses'!$F$2:$F53,"&lt;&gt;4")</f>
        <v>0</v>
      </c>
      <c r="BZ18" s="57">
        <f>sumifs('Form responses'!DT2:DT53,'Form responses'!$C$2:$C53,"&gt;="&amp;$E$2,'Form responses'!$C$2:$C53,"&lt;="&amp;$G$2,'Form responses'!$F$2:$F53,"&lt;&gt;4")</f>
        <v>0</v>
      </c>
      <c r="CA18" s="57">
        <f>sumifs('Form responses'!DU2:DU53,'Form responses'!$C$2:$C53,"&gt;="&amp;$E$2,'Form responses'!$C$2:$C53,"&lt;="&amp;$G$2,'Form responses'!$F$2:$F53,"&lt;&gt;4")</f>
        <v>0</v>
      </c>
      <c r="CB18" s="57">
        <f>sumifs('Form responses'!DV2:DV53,'Form responses'!$C$2:$C53,"&gt;="&amp;$E$2,'Form responses'!$C$2:$C53,"&lt;="&amp;$G$2,'Form responses'!$F$2:$F53,"&lt;&gt;4")</f>
        <v>0</v>
      </c>
      <c r="CC18" s="57">
        <f>sumifs('Form responses'!DW2:DW53,'Form responses'!$C$2:$C53,"&gt;="&amp;$E$2,'Form responses'!$C$2:$C53,"&lt;="&amp;$G$2,'Form responses'!$F$2:$F53,"&lt;&gt;4")</f>
        <v>0</v>
      </c>
      <c r="CD18" s="57">
        <f>sumifs('Form responses'!DX2:DX53,'Form responses'!$C$2:$C53,"&gt;="&amp;$E$2,'Form responses'!$C$2:$C53,"&lt;="&amp;$G$2,'Form responses'!$F$2:$F53,"&lt;&gt;4")</f>
        <v>0</v>
      </c>
      <c r="CE18" s="57">
        <f>sumifs('Form responses'!DY2:DY53,'Form responses'!$C$2:$C53,"&gt;="&amp;$E$2,'Form responses'!$C$2:$C53,"&lt;="&amp;$G$2,'Form responses'!$F$2:$F53,"&lt;&gt;4")</f>
        <v>0</v>
      </c>
      <c r="CF18" s="57">
        <f>sumifs('Form responses'!DZ2:DZ53,'Form responses'!$C$2:$C53,"&gt;="&amp;$E$2,'Form responses'!$C$2:$C53,"&lt;="&amp;$G$2,'Form responses'!$F$2:$F53,"&lt;&gt;4")</f>
        <v>0</v>
      </c>
      <c r="CG18" s="57">
        <f>sumifs('Form responses'!EA2:EA53,'Form responses'!$C$2:$C53,"&gt;="&amp;$E$2,'Form responses'!$C$2:$C53,"&lt;="&amp;$G$2,'Form responses'!$F$2:$F53,"&lt;&gt;4")</f>
        <v>0</v>
      </c>
      <c r="CH18" s="57">
        <f>sumifs('Form responses'!EB2:EB53,'Form responses'!$C$2:$C53,"&gt;="&amp;$E$2,'Form responses'!$C$2:$C53,"&lt;="&amp;$G$2,'Form responses'!$F$2:$F53,"&lt;&gt;4")</f>
        <v>0</v>
      </c>
      <c r="CI18" s="57">
        <f>sumifs('Form responses'!EC2:EC53,'Form responses'!$C$2:$C53,"&gt;="&amp;$E$2,'Form responses'!$C$2:$C53,"&lt;="&amp;$G$2,'Form responses'!$F$2:$F53,"&lt;&gt;4")</f>
        <v>0</v>
      </c>
      <c r="CJ18" s="57">
        <f>sumifs('Form responses'!ED2:ED53,'Form responses'!$C$2:$C53,"&gt;="&amp;$E$2,'Form responses'!$C$2:$C53,"&lt;="&amp;$G$2,'Form responses'!$F$2:$F53,"&lt;&gt;4")</f>
        <v>0</v>
      </c>
      <c r="CK18" s="57">
        <f>sumifs('Form responses'!EE2:EE53,'Form responses'!$C$2:$C53,"&gt;="&amp;$E$2,'Form responses'!$C$2:$C53,"&lt;="&amp;$G$2,'Form responses'!$F$2:$F53,"&lt;&gt;4")</f>
        <v>0</v>
      </c>
      <c r="CL18" s="57">
        <f>sumifs('Form responses'!EF2:EF53,'Form responses'!$C$2:$C53,"&gt;="&amp;$E$2,'Form responses'!$C$2:$C53,"&lt;="&amp;$G$2,'Form responses'!$F$2:$F53,"&lt;&gt;4")</f>
        <v>0</v>
      </c>
      <c r="CM18" s="57">
        <f>sumifs('Form responses'!EG2:EG53,'Form responses'!$C$2:$C53,"&gt;="&amp;$E$2,'Form responses'!$C$2:$C53,"&lt;="&amp;$G$2,'Form responses'!$F$2:$F53,"&lt;&gt;4")</f>
        <v>0</v>
      </c>
      <c r="CN18" s="57">
        <f>sumifs('Form responses'!EH2:EH53,'Form responses'!$C$2:$C53,"&gt;="&amp;$E$2,'Form responses'!$C$2:$C53,"&lt;="&amp;$G$2,'Form responses'!$F$2:$F53,"&lt;&gt;4")</f>
        <v>0</v>
      </c>
      <c r="CO18" s="57">
        <f>sumifs('Form responses'!EI2:EI53,'Form responses'!$C$2:$C53,"&gt;="&amp;$E$2,'Form responses'!$C$2:$C53,"&lt;="&amp;$G$2,'Form responses'!$F$2:$F53,"&lt;&gt;4")</f>
        <v>0</v>
      </c>
      <c r="CP18" s="57">
        <f>sumifs('Form responses'!EJ2:EJ53,'Form responses'!$C$2:$C53,"&gt;="&amp;$E$2,'Form responses'!$C$2:$C53,"&lt;="&amp;$G$2,'Form responses'!$F$2:$F53,"&lt;&gt;4")</f>
        <v>0</v>
      </c>
      <c r="CQ18" s="57">
        <f>sumifs('Form responses'!EK2:EK53,'Form responses'!$C$2:$C53,"&gt;="&amp;$E$2,'Form responses'!$C$2:$C53,"&lt;="&amp;$G$2,'Form responses'!$F$2:$F53,"&lt;&gt;4")</f>
        <v>0</v>
      </c>
      <c r="CR18" s="57">
        <f>sumifs('Form responses'!EL2:EL53,'Form responses'!$C$2:$C53,"&gt;="&amp;$E$2,'Form responses'!$C$2:$C53,"&lt;="&amp;$G$2,'Form responses'!$F$2:$F53,"&lt;&gt;4")</f>
        <v>0</v>
      </c>
      <c r="CS18" s="57">
        <f>sumifs('Form responses'!EM2:EM53,'Form responses'!$C$2:$C53,"&gt;="&amp;$E$2,'Form responses'!$C$2:$C53,"&lt;="&amp;$G$2,'Form responses'!$F$2:$F53,"&lt;&gt;4")</f>
        <v>0</v>
      </c>
      <c r="CT18" s="57">
        <f>sumifs('Form responses'!EN2:EN53,'Form responses'!$C$2:$C53,"&gt;="&amp;$E$2,'Form responses'!$C$2:$C53,"&lt;="&amp;$G$2,'Form responses'!$F$2:$F53,"&lt;&gt;4")</f>
        <v>0</v>
      </c>
      <c r="CU18" s="57">
        <f>sumifs('Form responses'!EO2:EO53,'Form responses'!$C$2:$C53,"&gt;="&amp;$E$2,'Form responses'!$C$2:$C53,"&lt;="&amp;$G$2,'Form responses'!$F$2:$F53,"&lt;&gt;4")</f>
        <v>0</v>
      </c>
      <c r="CV18" s="57">
        <f>sumifs('Form responses'!EP2:EP53,'Form responses'!$C$2:$C53,"&gt;="&amp;$E$2,'Form responses'!$C$2:$C53,"&lt;="&amp;$G$2,'Form responses'!$F$2:$F53,"&lt;&gt;4")</f>
        <v>0</v>
      </c>
    </row>
    <row r="19">
      <c r="A19" s="56" t="s">
        <v>153</v>
      </c>
      <c r="B19" s="58">
        <f>sumifs('Form responses'!AV2:AV53,'Form responses'!$C$2:$C53,"&lt;="&amp;$G$2,'Form responses'!$C$2:$C53,"&gt;="&amp;Date(YEAR(DATE(YEAR($G$2),MONTH($G$2)+(-3),1)),4,1),'Form responses'!$F$2:$F53,"&lt;&gt;4")</f>
        <v>0</v>
      </c>
      <c r="C19" s="58">
        <f>sumifs('Form responses'!AW2:AW53,'Form responses'!$C$2:$C53,"&lt;="&amp;$G$2,'Form responses'!$C$2:$C53,"&gt;="&amp;Date(YEAR(DATE(YEAR($G$2),MONTH($G$2)+(-3),1)),4,1),'Form responses'!$F$2:$F53,"&lt;&gt;4")</f>
        <v>0</v>
      </c>
      <c r="D19" s="58">
        <f>sumifs('Form responses'!AX2:AX53,'Form responses'!$C$2:$C53,"&lt;="&amp;$G$2,'Form responses'!$C$2:$C53,"&gt;="&amp;Date(YEAR(DATE(YEAR($G$2),MONTH($G$2)+(-3),1)),4,1),'Form responses'!$F$2:$F53,"&lt;&gt;4")</f>
        <v>0</v>
      </c>
      <c r="E19" s="58">
        <f>sumifs('Form responses'!AY2:AY53,'Form responses'!$C$2:$C53,"&lt;="&amp;$G$2,'Form responses'!$C$2:$C53,"&gt;="&amp;Date(YEAR(DATE(YEAR($G$2),MONTH($G$2)+(-3),1)),4,1),'Form responses'!$F$2:$F53,"&lt;&gt;4")</f>
        <v>0</v>
      </c>
      <c r="F19" s="58">
        <f>sumifs('Form responses'!AZ2:AZ53,'Form responses'!$C$2:$C53,"&lt;="&amp;$G$2,'Form responses'!$C$2:$C53,"&gt;="&amp;Date(YEAR(DATE(YEAR($G$2),MONTH($G$2)+(-3),1)),4,1),'Form responses'!$F$2:$F53,"&lt;&gt;4")</f>
        <v>0</v>
      </c>
      <c r="G19" s="58">
        <f>sumifs('Form responses'!BA2:BA53,'Form responses'!$C$2:$C53,"&lt;="&amp;$G$2,'Form responses'!$C$2:$C53,"&gt;="&amp;Date(YEAR(DATE(YEAR($G$2),MONTH($G$2)+(-3),1)),4,1),'Form responses'!$F$2:$F53,"&lt;&gt;4")</f>
        <v>0</v>
      </c>
      <c r="H19" s="58">
        <f>sumifs('Form responses'!BB2:BB53,'Form responses'!$C$2:$C53,"&lt;="&amp;$G$2,'Form responses'!$C$2:$C53,"&gt;="&amp;Date(YEAR(DATE(YEAR($G$2),MONTH($G$2)+(-3),1)),4,1),'Form responses'!$F$2:$F53,"&lt;&gt;4")</f>
        <v>0</v>
      </c>
      <c r="I19" s="58">
        <f>sumifs('Form responses'!BC2:BC53,'Form responses'!$C$2:$C53,"&lt;="&amp;$G$2,'Form responses'!$C$2:$C53,"&gt;="&amp;Date(YEAR(DATE(YEAR($G$2),MONTH($G$2)+(-3),1)),4,1),'Form responses'!$F$2:$F53,"&lt;&gt;4")</f>
        <v>0</v>
      </c>
      <c r="J19" s="58">
        <f>sumifs('Form responses'!BD2:BD53,'Form responses'!$C$2:$C53,"&lt;="&amp;$G$2,'Form responses'!$C$2:$C53,"&gt;="&amp;Date(YEAR(DATE(YEAR($G$2),MONTH($G$2)+(-3),1)),4,1),'Form responses'!$F$2:$F53,"&lt;&gt;4")</f>
        <v>0</v>
      </c>
      <c r="K19" s="58">
        <f>sumifs('Form responses'!BE2:BE53,'Form responses'!$C$2:$C53,"&lt;="&amp;$G$2,'Form responses'!$C$2:$C53,"&gt;="&amp;Date(YEAR(DATE(YEAR($G$2),MONTH($G$2)+(-3),1)),4,1),'Form responses'!$F$2:$F53,"&lt;&gt;4")</f>
        <v>0</v>
      </c>
      <c r="L19" s="58">
        <f>sumifs('Form responses'!BF2:BF53,'Form responses'!$C$2:$C53,"&lt;="&amp;$G$2,'Form responses'!$C$2:$C53,"&gt;="&amp;Date(YEAR(DATE(YEAR($G$2),MONTH($G$2)+(-3),1)),4,1),'Form responses'!$F$2:$F53,"&lt;&gt;4")</f>
        <v>0</v>
      </c>
      <c r="M19" s="58">
        <f>sumifs('Form responses'!BG2:BG53,'Form responses'!$C$2:$C53,"&lt;="&amp;$G$2,'Form responses'!$C$2:$C53,"&gt;="&amp;Date(YEAR(DATE(YEAR($G$2),MONTH($G$2)+(-3),1)),4,1),'Form responses'!$F$2:$F53,"&lt;&gt;4")</f>
        <v>0</v>
      </c>
      <c r="N19" s="58">
        <f>sumifs('Form responses'!BH2:BH53,'Form responses'!$C$2:$C53,"&lt;="&amp;$G$2,'Form responses'!$C$2:$C53,"&gt;="&amp;Date(YEAR(DATE(YEAR($G$2),MONTH($G$2)+(-3),1)),4,1),'Form responses'!$F$2:$F53,"&lt;&gt;4")</f>
        <v>0</v>
      </c>
      <c r="O19" s="58">
        <f>sumifs('Form responses'!BI2:BI53,'Form responses'!$C$2:$C53,"&lt;="&amp;$G$2,'Form responses'!$C$2:$C53,"&gt;="&amp;Date(YEAR(DATE(YEAR($G$2),MONTH($G$2)+(-3),1)),4,1),'Form responses'!$F$2:$F53,"&lt;&gt;4")</f>
        <v>0</v>
      </c>
      <c r="P19" s="58">
        <f>sumifs('Form responses'!BJ2:BJ53,'Form responses'!$C$2:$C53,"&lt;="&amp;$G$2,'Form responses'!$C$2:$C53,"&gt;="&amp;Date(YEAR(DATE(YEAR($G$2),MONTH($G$2)+(-3),1)),4,1),'Form responses'!$F$2:$F53,"&lt;&gt;4")</f>
        <v>0</v>
      </c>
      <c r="Q19" s="58">
        <f>sumifs('Form responses'!BK2:BK53,'Form responses'!$C$2:$C53,"&lt;="&amp;$G$2,'Form responses'!$C$2:$C53,"&gt;="&amp;Date(YEAR(DATE(YEAR($G$2),MONTH($G$2)+(-3),1)),4,1),'Form responses'!$F$2:$F53,"&lt;&gt;4")</f>
        <v>0</v>
      </c>
      <c r="R19" s="58">
        <f>sumifs('Form responses'!BL2:BL53,'Form responses'!$C$2:$C53,"&lt;="&amp;$G$2,'Form responses'!$C$2:$C53,"&gt;="&amp;Date(YEAR(DATE(YEAR($G$2),MONTH($G$2)+(-3),1)),4,1),'Form responses'!$F$2:$F53,"&lt;&gt;4")</f>
        <v>0</v>
      </c>
      <c r="S19" s="58">
        <f>sumifs('Form responses'!BM2:BM53,'Form responses'!$C$2:$C53,"&lt;="&amp;$G$2,'Form responses'!$C$2:$C53,"&gt;="&amp;Date(YEAR(DATE(YEAR($G$2),MONTH($G$2)+(-3),1)),4,1),'Form responses'!$F$2:$F53,"&lt;&gt;4")</f>
        <v>0</v>
      </c>
      <c r="T19" s="58">
        <f>sumifs('Form responses'!BN2:BN53,'Form responses'!$C$2:$C53,"&lt;="&amp;$G$2,'Form responses'!$C$2:$C53,"&gt;="&amp;Date(YEAR(DATE(YEAR($G$2),MONTH($G$2)+(-3),1)),4,1),'Form responses'!$F$2:$F53,"&lt;&gt;4")</f>
        <v>0</v>
      </c>
      <c r="U19" s="58">
        <f>sumifs('Form responses'!BO2:BO53,'Form responses'!$C$2:$C53,"&lt;="&amp;$G$2,'Form responses'!$C$2:$C53,"&gt;="&amp;Date(YEAR(DATE(YEAR($G$2),MONTH($G$2)+(-3),1)),4,1),'Form responses'!$F$2:$F53,"&lt;&gt;4")</f>
        <v>0</v>
      </c>
      <c r="V19" s="58">
        <f>sumifs('Form responses'!BP2:BP53,'Form responses'!$C$2:$C53,"&lt;="&amp;$G$2,'Form responses'!$C$2:$C53,"&gt;="&amp;Date(YEAR(DATE(YEAR($G$2),MONTH($G$2)+(-3),1)),4,1),'Form responses'!$F$2:$F53,"&lt;&gt;4")</f>
        <v>0</v>
      </c>
      <c r="W19" s="58">
        <f>sumifs('Form responses'!BQ2:BQ53,'Form responses'!$C$2:$C53,"&lt;="&amp;$G$2,'Form responses'!$C$2:$C53,"&gt;="&amp;Date(YEAR(DATE(YEAR($G$2),MONTH($G$2)+(-3),1)),4,1),'Form responses'!$F$2:$F53,"&lt;&gt;4")</f>
        <v>0</v>
      </c>
      <c r="X19" s="58">
        <f>sumifs('Form responses'!BR2:BR53,'Form responses'!$C$2:$C53,"&lt;="&amp;$G$2,'Form responses'!$C$2:$C53,"&gt;="&amp;Date(YEAR(DATE(YEAR($G$2),MONTH($G$2)+(-3),1)),4,1),'Form responses'!$F$2:$F53,"&lt;&gt;4")</f>
        <v>0</v>
      </c>
      <c r="Y19" s="58">
        <f>sumifs('Form responses'!BS2:BS53,'Form responses'!$C$2:$C53,"&lt;="&amp;$G$2,'Form responses'!$C$2:$C53,"&gt;="&amp;Date(YEAR(DATE(YEAR($G$2),MONTH($G$2)+(-3),1)),4,1),'Form responses'!$F$2:$F53,"&lt;&gt;4")</f>
        <v>0</v>
      </c>
      <c r="Z19" s="58">
        <f>sumifs('Form responses'!BT2:BT53,'Form responses'!$C$2:$C53,"&lt;="&amp;$G$2,'Form responses'!$C$2:$C53,"&gt;="&amp;Date(YEAR(DATE(YEAR($G$2),MONTH($G$2)+(-3),1)),4,1),'Form responses'!$F$2:$F53,"&lt;&gt;4")</f>
        <v>0</v>
      </c>
      <c r="AA19" s="58">
        <f>sumifs('Form responses'!BU2:BU53,'Form responses'!$C$2:$C53,"&lt;="&amp;$G$2,'Form responses'!$C$2:$C53,"&gt;="&amp;Date(YEAR(DATE(YEAR($G$2),MONTH($G$2)+(-3),1)),4,1),'Form responses'!$F$2:$F53,"&lt;&gt;4")</f>
        <v>0</v>
      </c>
      <c r="AB19" s="58">
        <f>sumifs('Form responses'!BV2:BV53,'Form responses'!$C$2:$C53,"&lt;="&amp;$G$2,'Form responses'!$C$2:$C53,"&gt;="&amp;Date(YEAR(DATE(YEAR($G$2),MONTH($G$2)+(-3),1)),4,1),'Form responses'!$F$2:$F53,"&lt;&gt;4")</f>
        <v>0</v>
      </c>
      <c r="AC19" s="58">
        <f>sumifs('Form responses'!BW2:BW53,'Form responses'!$C$2:$C53,"&lt;="&amp;$G$2,'Form responses'!$C$2:$C53,"&gt;="&amp;Date(YEAR(DATE(YEAR($G$2),MONTH($G$2)+(-3),1)),4,1),'Form responses'!$F$2:$F53,"&lt;&gt;4")</f>
        <v>0</v>
      </c>
      <c r="AD19" s="58">
        <f>sumifs('Form responses'!BX2:BX53,'Form responses'!$C$2:$C53,"&lt;="&amp;$G$2,'Form responses'!$C$2:$C53,"&gt;="&amp;Date(YEAR(DATE(YEAR($G$2),MONTH($G$2)+(-3),1)),4,1),'Form responses'!$F$2:$F53,"&lt;&gt;4")</f>
        <v>0</v>
      </c>
      <c r="AE19" s="58">
        <f>sumifs('Form responses'!BY2:BY53,'Form responses'!$C$2:$C53,"&lt;="&amp;$G$2,'Form responses'!$C$2:$C53,"&gt;="&amp;Date(YEAR(DATE(YEAR($G$2),MONTH($G$2)+(-3),1)),4,1),'Form responses'!$F$2:$F53,"&lt;&gt;4")</f>
        <v>0</v>
      </c>
      <c r="AF19" s="58">
        <f>sumifs('Form responses'!BZ2:BZ53,'Form responses'!$C$2:$C53,"&lt;="&amp;$G$2,'Form responses'!$C$2:$C53,"&gt;="&amp;Date(YEAR(DATE(YEAR($G$2),MONTH($G$2)+(-3),1)),4,1),'Form responses'!$F$2:$F53,"&lt;&gt;4")</f>
        <v>0</v>
      </c>
      <c r="AG19" s="58">
        <f>sumifs('Form responses'!CA2:CA53,'Form responses'!$C$2:$C53,"&lt;="&amp;$G$2,'Form responses'!$C$2:$C53,"&gt;="&amp;Date(YEAR(DATE(YEAR($G$2),MONTH($G$2)+(-3),1)),4,1),'Form responses'!$F$2:$F53,"&lt;&gt;4")</f>
        <v>0</v>
      </c>
      <c r="AH19" s="58">
        <f>sumifs('Form responses'!CB2:CB53,'Form responses'!$C$2:$C53,"&lt;="&amp;$G$2,'Form responses'!$C$2:$C53,"&gt;="&amp;Date(YEAR(DATE(YEAR($G$2),MONTH($G$2)+(-3),1)),4,1),'Form responses'!$F$2:$F53,"&lt;&gt;4")</f>
        <v>0</v>
      </c>
      <c r="AI19" s="58">
        <f>sumifs('Form responses'!CC2:CC53,'Form responses'!$C$2:$C53,"&lt;="&amp;$G$2,'Form responses'!$C$2:$C53,"&gt;="&amp;Date(YEAR(DATE(YEAR($G$2),MONTH($G$2)+(-3),1)),4,1),'Form responses'!$F$2:$F53,"&lt;&gt;4")</f>
        <v>0</v>
      </c>
      <c r="AJ19" s="58">
        <f>sumifs('Form responses'!CD2:CD53,'Form responses'!$C$2:$C53,"&lt;="&amp;$G$2,'Form responses'!$C$2:$C53,"&gt;="&amp;Date(YEAR(DATE(YEAR($G$2),MONTH($G$2)+(-3),1)),4,1),'Form responses'!$F$2:$F53,"&lt;&gt;4")</f>
        <v>0</v>
      </c>
      <c r="AK19" s="58">
        <f>sumifs('Form responses'!CE2:CE53,'Form responses'!$C$2:$C53,"&lt;="&amp;$G$2,'Form responses'!$C$2:$C53,"&gt;="&amp;Date(YEAR(DATE(YEAR($G$2),MONTH($G$2)+(-3),1)),4,1),'Form responses'!$F$2:$F53,"&lt;&gt;4")</f>
        <v>0</v>
      </c>
      <c r="AL19" s="58">
        <f>sumifs('Form responses'!CF2:CF53,'Form responses'!$C$2:$C53,"&lt;="&amp;$G$2,'Form responses'!$C$2:$C53,"&gt;="&amp;Date(YEAR(DATE(YEAR($G$2),MONTH($G$2)+(-3),1)),4,1),'Form responses'!$F$2:$F53,"&lt;&gt;4")</f>
        <v>0</v>
      </c>
      <c r="AM19" s="58">
        <f>sumifs('Form responses'!CG2:CG53,'Form responses'!$C$2:$C53,"&lt;="&amp;$G$2,'Form responses'!$C$2:$C53,"&gt;="&amp;Date(YEAR(DATE(YEAR($G$2),MONTH($G$2)+(-3),1)),4,1),'Form responses'!$F$2:$F53,"&lt;&gt;4")</f>
        <v>0</v>
      </c>
      <c r="AN19" s="58">
        <f>sumifs('Form responses'!CH2:CH53,'Form responses'!$C$2:$C53,"&lt;="&amp;$G$2,'Form responses'!$C$2:$C53,"&gt;="&amp;Date(YEAR(DATE(YEAR($G$2),MONTH($G$2)+(-3),1)),4,1),'Form responses'!$F$2:$F53,"&lt;&gt;4")</f>
        <v>0</v>
      </c>
      <c r="AO19" s="58">
        <f>sumifs('Form responses'!CI2:CI53,'Form responses'!$C$2:$C53,"&lt;="&amp;$G$2,'Form responses'!$C$2:$C53,"&gt;="&amp;Date(YEAR(DATE(YEAR($G$2),MONTH($G$2)+(-3),1)),4,1),'Form responses'!$F$2:$F53,"&lt;&gt;4")</f>
        <v>0</v>
      </c>
      <c r="AP19" s="58">
        <f>sumifs('Form responses'!CJ2:CJ53,'Form responses'!$C$2:$C53,"&lt;="&amp;$G$2,'Form responses'!$C$2:$C53,"&gt;="&amp;Date(YEAR(DATE(YEAR($G$2),MONTH($G$2)+(-3),1)),4,1),'Form responses'!$F$2:$F53,"&lt;&gt;4")</f>
        <v>0</v>
      </c>
      <c r="AQ19" s="58">
        <f>sumifs('Form responses'!CK2:CK53,'Form responses'!$C$2:$C53,"&lt;="&amp;$G$2,'Form responses'!$C$2:$C53,"&gt;="&amp;Date(YEAR(DATE(YEAR($G$2),MONTH($G$2)+(-3),1)),4,1),'Form responses'!$F$2:$F53,"&lt;&gt;4")</f>
        <v>0</v>
      </c>
      <c r="AR19" s="58">
        <f>sumifs('Form responses'!CL2:CL53,'Form responses'!$C$2:$C53,"&lt;="&amp;$G$2,'Form responses'!$C$2:$C53,"&gt;="&amp;Date(YEAR(DATE(YEAR($G$2),MONTH($G$2)+(-3),1)),4,1),'Form responses'!$F$2:$F53,"&lt;&gt;4")</f>
        <v>0</v>
      </c>
      <c r="AS19" s="58">
        <f>sumifs('Form responses'!CM2:CM53,'Form responses'!$C$2:$C53,"&lt;="&amp;$G$2,'Form responses'!$C$2:$C53,"&gt;="&amp;Date(YEAR(DATE(YEAR($G$2),MONTH($G$2)+(-3),1)),4,1),'Form responses'!$F$2:$F53,"&lt;&gt;4")</f>
        <v>0</v>
      </c>
      <c r="AT19" s="58">
        <f>sumifs('Form responses'!CN2:CN53,'Form responses'!$C$2:$C53,"&lt;="&amp;$G$2,'Form responses'!$C$2:$C53,"&gt;="&amp;Date(YEAR(DATE(YEAR($G$2),MONTH($G$2)+(-3),1)),4,1),'Form responses'!$F$2:$F53,"&lt;&gt;4")</f>
        <v>0</v>
      </c>
      <c r="AU19" s="58">
        <f>sumifs('Form responses'!CO2:CO53,'Form responses'!$C$2:$C53,"&lt;="&amp;$G$2,'Form responses'!$C$2:$C53,"&gt;="&amp;Date(YEAR(DATE(YEAR($G$2),MONTH($G$2)+(-3),1)),4,1),'Form responses'!$F$2:$F53,"&lt;&gt;4")</f>
        <v>0</v>
      </c>
      <c r="AV19" s="58">
        <f>sumifs('Form responses'!CP2:CP53,'Form responses'!$C$2:$C53,"&lt;="&amp;$G$2,'Form responses'!$C$2:$C53,"&gt;="&amp;Date(YEAR(DATE(YEAR($G$2),MONTH($G$2)+(-3),1)),4,1),'Form responses'!$F$2:$F53,"&lt;&gt;4")</f>
        <v>0</v>
      </c>
      <c r="AW19" s="58">
        <f>sumifs('Form responses'!CQ2:CQ53,'Form responses'!$C$2:$C53,"&lt;="&amp;$G$2,'Form responses'!$C$2:$C53,"&gt;="&amp;Date(YEAR(DATE(YEAR($G$2),MONTH($G$2)+(-3),1)),4,1),'Form responses'!$F$2:$F53,"&lt;&gt;4")</f>
        <v>0</v>
      </c>
      <c r="AX19" s="58">
        <f>sumifs('Form responses'!CR2:CR53,'Form responses'!$C$2:$C53,"&lt;="&amp;$G$2,'Form responses'!$C$2:$C53,"&gt;="&amp;Date(YEAR(DATE(YEAR($G$2),MONTH($G$2)+(-3),1)),4,1),'Form responses'!$F$2:$F53,"&lt;&gt;4")</f>
        <v>0</v>
      </c>
      <c r="AY19" s="58">
        <f>sumifs('Form responses'!CS2:CS53,'Form responses'!$C$2:$C53,"&lt;="&amp;$G$2,'Form responses'!$C$2:$C53,"&gt;="&amp;Date(YEAR(DATE(YEAR($G$2),MONTH($G$2)+(-3),1)),4,1),'Form responses'!$F$2:$F53,"&lt;&gt;4")</f>
        <v>0</v>
      </c>
      <c r="AZ19" s="58">
        <f>sumifs('Form responses'!CT2:CT53,'Form responses'!$C$2:$C53,"&lt;="&amp;$G$2,'Form responses'!$C$2:$C53,"&gt;="&amp;Date(YEAR(DATE(YEAR($G$2),MONTH($G$2)+(-3),1)),4,1),'Form responses'!$F$2:$F53,"&lt;&gt;4")</f>
        <v>0</v>
      </c>
      <c r="BA19" s="58">
        <f>sumifs('Form responses'!CU2:CU53,'Form responses'!$C$2:$C53,"&lt;="&amp;$G$2,'Form responses'!$C$2:$C53,"&gt;="&amp;Date(YEAR(DATE(YEAR($G$2),MONTH($G$2)+(-3),1)),4,1),'Form responses'!$F$2:$F53,"&lt;&gt;4")</f>
        <v>0</v>
      </c>
      <c r="BB19" s="58">
        <f>sumifs('Form responses'!CV2:CV53,'Form responses'!$C$2:$C53,"&lt;="&amp;$G$2,'Form responses'!$C$2:$C53,"&gt;="&amp;Date(YEAR(DATE(YEAR($G$2),MONTH($G$2)+(-3),1)),4,1),'Form responses'!$F$2:$F53,"&lt;&gt;4")</f>
        <v>0</v>
      </c>
      <c r="BC19" s="58">
        <f>sumifs('Form responses'!CW2:CW53,'Form responses'!$C$2:$C53,"&lt;="&amp;$G$2,'Form responses'!$C$2:$C53,"&gt;="&amp;Date(YEAR(DATE(YEAR($G$2),MONTH($G$2)+(-3),1)),4,1),'Form responses'!$F$2:$F53,"&lt;&gt;4")</f>
        <v>0</v>
      </c>
      <c r="BD19" s="58">
        <f>sumifs('Form responses'!CX2:CX53,'Form responses'!$C$2:$C53,"&lt;="&amp;$G$2,'Form responses'!$C$2:$C53,"&gt;="&amp;Date(YEAR(DATE(YEAR($G$2),MONTH($G$2)+(-3),1)),4,1),'Form responses'!$F$2:$F53,"&lt;&gt;4")</f>
        <v>0</v>
      </c>
      <c r="BE19" s="58">
        <f>sumifs('Form responses'!CY2:CY53,'Form responses'!$C$2:$C53,"&lt;="&amp;$G$2,'Form responses'!$C$2:$C53,"&gt;="&amp;Date(YEAR(DATE(YEAR($G$2),MONTH($G$2)+(-3),1)),4,1),'Form responses'!$F$2:$F53,"&lt;&gt;4")</f>
        <v>0</v>
      </c>
      <c r="BF19" s="58">
        <f>sumifs('Form responses'!CZ2:CZ53,'Form responses'!$C$2:$C53,"&lt;="&amp;$G$2,'Form responses'!$C$2:$C53,"&gt;="&amp;Date(YEAR(DATE(YEAR($G$2),MONTH($G$2)+(-3),1)),4,1),'Form responses'!$F$2:$F53,"&lt;&gt;4")</f>
        <v>0</v>
      </c>
      <c r="BG19" s="58">
        <f>sumifs('Form responses'!DA2:DA53,'Form responses'!$C$2:$C53,"&lt;="&amp;$G$2,'Form responses'!$C$2:$C53,"&gt;="&amp;Date(YEAR(DATE(YEAR($G$2),MONTH($G$2)+(-3),1)),4,1),'Form responses'!$F$2:$F53,"&lt;&gt;4")</f>
        <v>0</v>
      </c>
      <c r="BH19" s="58">
        <f>sumifs('Form responses'!DB2:DB53,'Form responses'!$C$2:$C53,"&lt;="&amp;$G$2,'Form responses'!$C$2:$C53,"&gt;="&amp;Date(YEAR(DATE(YEAR($G$2),MONTH($G$2)+(-3),1)),4,1),'Form responses'!$F$2:$F53,"&lt;&gt;4")</f>
        <v>0</v>
      </c>
      <c r="BI19" s="58">
        <f>sumifs('Form responses'!DC2:DC53,'Form responses'!$C$2:$C53,"&lt;="&amp;$G$2,'Form responses'!$C$2:$C53,"&gt;="&amp;Date(YEAR(DATE(YEAR($G$2),MONTH($G$2)+(-3),1)),4,1),'Form responses'!$F$2:$F53,"&lt;&gt;4")</f>
        <v>0</v>
      </c>
      <c r="BJ19" s="58">
        <f>sumifs('Form responses'!DD2:DD53,'Form responses'!$C$2:$C53,"&lt;="&amp;$G$2,'Form responses'!$C$2:$C53,"&gt;="&amp;Date(YEAR(DATE(YEAR($G$2),MONTH($G$2)+(-3),1)),4,1),'Form responses'!$F$2:$F53,"&lt;&gt;4")</f>
        <v>0</v>
      </c>
      <c r="BK19" s="58">
        <f>sumifs('Form responses'!DE2:DE53,'Form responses'!$C$2:$C53,"&lt;="&amp;$G$2,'Form responses'!$C$2:$C53,"&gt;="&amp;Date(YEAR(DATE(YEAR($G$2),MONTH($G$2)+(-3),1)),4,1),'Form responses'!$F$2:$F53,"&lt;&gt;4")</f>
        <v>0</v>
      </c>
      <c r="BL19" s="58">
        <f>sumifs('Form responses'!DF2:DF53,'Form responses'!$C$2:$C53,"&lt;="&amp;$G$2,'Form responses'!$C$2:$C53,"&gt;="&amp;Date(YEAR(DATE(YEAR($G$2),MONTH($G$2)+(-3),1)),4,1),'Form responses'!$F$2:$F53,"&lt;&gt;4")</f>
        <v>0</v>
      </c>
      <c r="BM19" s="58">
        <f>sumifs('Form responses'!DG2:DG53,'Form responses'!$C$2:$C53,"&lt;="&amp;$G$2,'Form responses'!$C$2:$C53,"&gt;="&amp;Date(YEAR(DATE(YEAR($G$2),MONTH($G$2)+(-3),1)),4,1),'Form responses'!$F$2:$F53,"&lt;&gt;4")</f>
        <v>0</v>
      </c>
      <c r="BN19" s="58">
        <f>sumifs('Form responses'!DH2:DH53,'Form responses'!$C$2:$C53,"&lt;="&amp;$G$2,'Form responses'!$C$2:$C53,"&gt;="&amp;Date(YEAR(DATE(YEAR($G$2),MONTH($G$2)+(-3),1)),4,1),'Form responses'!$F$2:$F53,"&lt;&gt;4")</f>
        <v>0</v>
      </c>
      <c r="BO19" s="58">
        <f>sumifs('Form responses'!DI2:DI53,'Form responses'!$C$2:$C53,"&lt;="&amp;$G$2,'Form responses'!$C$2:$C53,"&gt;="&amp;Date(YEAR(DATE(YEAR($G$2),MONTH($G$2)+(-3),1)),4,1),'Form responses'!$F$2:$F53,"&lt;&gt;4")</f>
        <v>0</v>
      </c>
      <c r="BP19" s="58">
        <f>sumifs('Form responses'!DJ2:DJ53,'Form responses'!$C$2:$C53,"&lt;="&amp;$G$2,'Form responses'!$C$2:$C53,"&gt;="&amp;Date(YEAR(DATE(YEAR($G$2),MONTH($G$2)+(-3),1)),4,1),'Form responses'!$F$2:$F53,"&lt;&gt;4")</f>
        <v>0</v>
      </c>
      <c r="BQ19" s="58">
        <f>sumifs('Form responses'!DK2:DK53,'Form responses'!$C$2:$C53,"&lt;="&amp;$G$2,'Form responses'!$C$2:$C53,"&gt;="&amp;Date(YEAR(DATE(YEAR($G$2),MONTH($G$2)+(-3),1)),4,1),'Form responses'!$F$2:$F53,"&lt;&gt;4")</f>
        <v>0</v>
      </c>
      <c r="BR19" s="58">
        <f>sumifs('Form responses'!DL2:DL53,'Form responses'!$C$2:$C53,"&lt;="&amp;$G$2,'Form responses'!$C$2:$C53,"&gt;="&amp;Date(YEAR(DATE(YEAR($G$2),MONTH($G$2)+(-3),1)),4,1),'Form responses'!$F$2:$F53,"&lt;&gt;4")</f>
        <v>0</v>
      </c>
      <c r="BS19" s="58">
        <f>sumifs('Form responses'!DM2:DM53,'Form responses'!$C$2:$C53,"&lt;="&amp;$G$2,'Form responses'!$C$2:$C53,"&gt;="&amp;Date(YEAR(DATE(YEAR($G$2),MONTH($G$2)+(-3),1)),4,1),'Form responses'!$F$2:$F53,"&lt;&gt;4")</f>
        <v>0</v>
      </c>
      <c r="BT19" s="58">
        <f>sumifs('Form responses'!DN2:DN53,'Form responses'!$C$2:$C53,"&lt;="&amp;$G$2,'Form responses'!$C$2:$C53,"&gt;="&amp;Date(YEAR(DATE(YEAR($G$2),MONTH($G$2)+(-3),1)),4,1),'Form responses'!$F$2:$F53,"&lt;&gt;4")</f>
        <v>0</v>
      </c>
      <c r="BU19" s="58">
        <f>sumifs('Form responses'!DO2:DO53,'Form responses'!$C$2:$C53,"&lt;="&amp;$G$2,'Form responses'!$C$2:$C53,"&gt;="&amp;Date(YEAR(DATE(YEAR($G$2),MONTH($G$2)+(-3),1)),4,1),'Form responses'!$F$2:$F53,"&lt;&gt;4")</f>
        <v>0</v>
      </c>
      <c r="BV19" s="58">
        <f>sumifs('Form responses'!DP2:DP53,'Form responses'!$C$2:$C53,"&lt;="&amp;$G$2,'Form responses'!$C$2:$C53,"&gt;="&amp;Date(YEAR(DATE(YEAR($G$2),MONTH($G$2)+(-3),1)),4,1),'Form responses'!$F$2:$F53,"&lt;&gt;4")</f>
        <v>0</v>
      </c>
      <c r="BW19" s="58">
        <f>sumifs('Form responses'!DQ2:DQ53,'Form responses'!$C$2:$C53,"&lt;="&amp;$G$2,'Form responses'!$C$2:$C53,"&gt;="&amp;Date(YEAR(DATE(YEAR($G$2),MONTH($G$2)+(-3),1)),4,1),'Form responses'!$F$2:$F53,"&lt;&gt;4")</f>
        <v>0</v>
      </c>
      <c r="BX19" s="58">
        <f>sumifs('Form responses'!DR2:DR53,'Form responses'!$C$2:$C53,"&lt;="&amp;$G$2,'Form responses'!$C$2:$C53,"&gt;="&amp;Date(YEAR(DATE(YEAR($G$2),MONTH($G$2)+(-3),1)),4,1),'Form responses'!$F$2:$F53,"&lt;&gt;4")</f>
        <v>0</v>
      </c>
      <c r="BY19" s="58">
        <f>sumifs('Form responses'!DS2:DS53,'Form responses'!$C$2:$C53,"&lt;="&amp;$G$2,'Form responses'!$C$2:$C53,"&gt;="&amp;Date(YEAR(DATE(YEAR($G$2),MONTH($G$2)+(-3),1)),4,1),'Form responses'!$F$2:$F53,"&lt;&gt;4")</f>
        <v>0</v>
      </c>
      <c r="BZ19" s="58">
        <f>sumifs('Form responses'!DT2:DT53,'Form responses'!$C$2:$C53,"&lt;="&amp;$G$2,'Form responses'!$C$2:$C53,"&gt;="&amp;Date(YEAR(DATE(YEAR($G$2),MONTH($G$2)+(-3),1)),4,1),'Form responses'!$F$2:$F53,"&lt;&gt;4")</f>
        <v>0</v>
      </c>
      <c r="CA19" s="58">
        <f>sumifs('Form responses'!DU2:DU53,'Form responses'!$C$2:$C53,"&lt;="&amp;$G$2,'Form responses'!$C$2:$C53,"&gt;="&amp;Date(YEAR(DATE(YEAR($G$2),MONTH($G$2)+(-3),1)),4,1),'Form responses'!$F$2:$F53,"&lt;&gt;4")</f>
        <v>0</v>
      </c>
      <c r="CB19" s="58">
        <f>sumifs('Form responses'!DV2:DV53,'Form responses'!$C$2:$C53,"&lt;="&amp;$G$2,'Form responses'!$C$2:$C53,"&gt;="&amp;Date(YEAR(DATE(YEAR($G$2),MONTH($G$2)+(-3),1)),4,1),'Form responses'!$F$2:$F53,"&lt;&gt;4")</f>
        <v>0</v>
      </c>
      <c r="CC19" s="58">
        <f>sumifs('Form responses'!DW2:DW53,'Form responses'!$C$2:$C53,"&lt;="&amp;$G$2,'Form responses'!$C$2:$C53,"&gt;="&amp;Date(YEAR(DATE(YEAR($G$2),MONTH($G$2)+(-3),1)),4,1),'Form responses'!$F$2:$F53,"&lt;&gt;4")</f>
        <v>0</v>
      </c>
      <c r="CD19" s="58">
        <f>sumifs('Form responses'!DX2:DX53,'Form responses'!$C$2:$C53,"&lt;="&amp;$G$2,'Form responses'!$C$2:$C53,"&gt;="&amp;Date(YEAR(DATE(YEAR($G$2),MONTH($G$2)+(-3),1)),4,1),'Form responses'!$F$2:$F53,"&lt;&gt;4")</f>
        <v>0</v>
      </c>
      <c r="CE19" s="58">
        <f>sumifs('Form responses'!DY2:DY53,'Form responses'!$C$2:$C53,"&lt;="&amp;$G$2,'Form responses'!$C$2:$C53,"&gt;="&amp;Date(YEAR(DATE(YEAR($G$2),MONTH($G$2)+(-3),1)),4,1),'Form responses'!$F$2:$F53,"&lt;&gt;4")</f>
        <v>0</v>
      </c>
      <c r="CF19" s="58">
        <f>sumifs('Form responses'!DZ2:DZ53,'Form responses'!$C$2:$C53,"&lt;="&amp;$G$2,'Form responses'!$C$2:$C53,"&gt;="&amp;Date(YEAR(DATE(YEAR($G$2),MONTH($G$2)+(-3),1)),4,1),'Form responses'!$F$2:$F53,"&lt;&gt;4")</f>
        <v>0</v>
      </c>
      <c r="CG19" s="58">
        <f>sumifs('Form responses'!EA2:EA53,'Form responses'!$C$2:$C53,"&lt;="&amp;$G$2,'Form responses'!$C$2:$C53,"&gt;="&amp;Date(YEAR(DATE(YEAR($G$2),MONTH($G$2)+(-3),1)),4,1),'Form responses'!$F$2:$F53,"&lt;&gt;4")</f>
        <v>0</v>
      </c>
      <c r="CH19" s="58">
        <f>sumifs('Form responses'!EB2:EB53,'Form responses'!$C$2:$C53,"&lt;="&amp;$G$2,'Form responses'!$C$2:$C53,"&gt;="&amp;Date(YEAR(DATE(YEAR($G$2),MONTH($G$2)+(-3),1)),4,1),'Form responses'!$F$2:$F53,"&lt;&gt;4")</f>
        <v>0</v>
      </c>
      <c r="CI19" s="58">
        <f>sumifs('Form responses'!EC2:EC53,'Form responses'!$C$2:$C53,"&lt;="&amp;$G$2,'Form responses'!$C$2:$C53,"&gt;="&amp;Date(YEAR(DATE(YEAR($G$2),MONTH($G$2)+(-3),1)),4,1),'Form responses'!$F$2:$F53,"&lt;&gt;4")</f>
        <v>0</v>
      </c>
      <c r="CJ19" s="58">
        <f>sumifs('Form responses'!ED2:ED53,'Form responses'!$C$2:$C53,"&lt;="&amp;$G$2,'Form responses'!$C$2:$C53,"&gt;="&amp;Date(YEAR(DATE(YEAR($G$2),MONTH($G$2)+(-3),1)),4,1),'Form responses'!$F$2:$F53,"&lt;&gt;4")</f>
        <v>0</v>
      </c>
      <c r="CK19" s="58">
        <f>sumifs('Form responses'!EE2:EE53,'Form responses'!$C$2:$C53,"&lt;="&amp;$G$2,'Form responses'!$C$2:$C53,"&gt;="&amp;Date(YEAR(DATE(YEAR($G$2),MONTH($G$2)+(-3),1)),4,1),'Form responses'!$F$2:$F53,"&lt;&gt;4")</f>
        <v>0</v>
      </c>
      <c r="CL19" s="58">
        <f>sumifs('Form responses'!EF2:EF53,'Form responses'!$C$2:$C53,"&lt;="&amp;$G$2,'Form responses'!$C$2:$C53,"&gt;="&amp;Date(YEAR(DATE(YEAR($G$2),MONTH($G$2)+(-3),1)),4,1),'Form responses'!$F$2:$F53,"&lt;&gt;4")</f>
        <v>0</v>
      </c>
      <c r="CM19" s="58">
        <f>sumifs('Form responses'!EG2:EG53,'Form responses'!$C$2:$C53,"&lt;="&amp;$G$2,'Form responses'!$C$2:$C53,"&gt;="&amp;Date(YEAR(DATE(YEAR($G$2),MONTH($G$2)+(-3),1)),4,1),'Form responses'!$F$2:$F53,"&lt;&gt;4")</f>
        <v>0</v>
      </c>
      <c r="CN19" s="58">
        <f>sumifs('Form responses'!EH2:EH53,'Form responses'!$C$2:$C53,"&lt;="&amp;$G$2,'Form responses'!$C$2:$C53,"&gt;="&amp;Date(YEAR(DATE(YEAR($G$2),MONTH($G$2)+(-3),1)),4,1),'Form responses'!$F$2:$F53,"&lt;&gt;4")</f>
        <v>0</v>
      </c>
      <c r="CO19" s="58">
        <f>sumifs('Form responses'!EI2:EI53,'Form responses'!$C$2:$C53,"&lt;="&amp;$G$2,'Form responses'!$C$2:$C53,"&gt;="&amp;Date(YEAR(DATE(YEAR($G$2),MONTH($G$2)+(-3),1)),4,1),'Form responses'!$F$2:$F53,"&lt;&gt;4")</f>
        <v>0</v>
      </c>
      <c r="CP19" s="58">
        <f>sumifs('Form responses'!EJ2:EJ53,'Form responses'!$C$2:$C53,"&lt;="&amp;$G$2,'Form responses'!$C$2:$C53,"&gt;="&amp;Date(YEAR(DATE(YEAR($G$2),MONTH($G$2)+(-3),1)),4,1),'Form responses'!$F$2:$F53,"&lt;&gt;4")</f>
        <v>0</v>
      </c>
      <c r="CQ19" s="58">
        <f>sumifs('Form responses'!EK2:EK53,'Form responses'!$C$2:$C53,"&lt;="&amp;$G$2,'Form responses'!$C$2:$C53,"&gt;="&amp;Date(YEAR(DATE(YEAR($G$2),MONTH($G$2)+(-3),1)),4,1),'Form responses'!$F$2:$F53,"&lt;&gt;4")</f>
        <v>0</v>
      </c>
      <c r="CR19" s="58">
        <f>sumifs('Form responses'!EL2:EL53,'Form responses'!$C$2:$C53,"&lt;="&amp;$G$2,'Form responses'!$C$2:$C53,"&gt;="&amp;Date(YEAR(DATE(YEAR($G$2),MONTH($G$2)+(-3),1)),4,1),'Form responses'!$F$2:$F53,"&lt;&gt;4")</f>
        <v>0</v>
      </c>
      <c r="CS19" s="58">
        <f>sumifs('Form responses'!EM2:EM53,'Form responses'!$C$2:$C53,"&lt;="&amp;$G$2,'Form responses'!$C$2:$C53,"&gt;="&amp;Date(YEAR(DATE(YEAR($G$2),MONTH($G$2)+(-3),1)),4,1),'Form responses'!$F$2:$F53,"&lt;&gt;4")</f>
        <v>0</v>
      </c>
      <c r="CT19" s="58">
        <f>sumifs('Form responses'!EN2:EN53,'Form responses'!$C$2:$C53,"&lt;="&amp;$G$2,'Form responses'!$C$2:$C53,"&gt;="&amp;Date(YEAR(DATE(YEAR($G$2),MONTH($G$2)+(-3),1)),4,1),'Form responses'!$F$2:$F53,"&lt;&gt;4")</f>
        <v>0</v>
      </c>
      <c r="CU19" s="58">
        <f>sumifs('Form responses'!EO2:EO53,'Form responses'!$C$2:$C53,"&lt;="&amp;$G$2,'Form responses'!$C$2:$C53,"&gt;="&amp;Date(YEAR(DATE(YEAR($G$2),MONTH($G$2)+(-3),1)),4,1),'Form responses'!$F$2:$F53,"&lt;&gt;4")</f>
        <v>0</v>
      </c>
      <c r="CV19" s="58">
        <f>sumifs('Form responses'!EP2:EP53,'Form responses'!$C$2:$C53,"&lt;="&amp;$G$2,'Form responses'!$C$2:$C53,"&gt;="&amp;Date(YEAR(DATE(YEAR($G$2),MONTH($G$2)+(-3),1)),4,1),'Form responses'!$F$2:$F53,"&lt;&gt;4")</f>
        <v>0</v>
      </c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60"/>
      <c r="EL20" s="60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</row>
    <row r="22">
      <c r="A22" s="5"/>
      <c r="B22" s="5" t="s">
        <v>187</v>
      </c>
      <c r="E22" s="6">
        <f>E16</f>
        <v>44921</v>
      </c>
      <c r="F22" s="7" t="s">
        <v>11</v>
      </c>
      <c r="G22" s="8">
        <f>G16</f>
        <v>44951</v>
      </c>
      <c r="H22" s="9"/>
      <c r="I22" s="10"/>
      <c r="J22" s="10"/>
      <c r="K22" s="9"/>
      <c r="L22" s="10"/>
      <c r="M22" s="9"/>
      <c r="N22" s="9"/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>
      <c r="A23" s="11"/>
      <c r="B23" s="13" t="s">
        <v>53</v>
      </c>
      <c r="C23" s="13" t="s">
        <v>54</v>
      </c>
      <c r="D23" s="13" t="s">
        <v>55</v>
      </c>
      <c r="E23" s="13" t="s">
        <v>56</v>
      </c>
      <c r="F23" s="13" t="s">
        <v>57</v>
      </c>
      <c r="G23" s="13" t="s">
        <v>58</v>
      </c>
      <c r="H23" s="13" t="s">
        <v>59</v>
      </c>
      <c r="I23" s="13" t="s">
        <v>60</v>
      </c>
      <c r="J23" s="13" t="s">
        <v>61</v>
      </c>
      <c r="K23" s="14" t="s">
        <v>62</v>
      </c>
      <c r="L23" s="13" t="s">
        <v>63</v>
      </c>
      <c r="M23" s="13" t="s">
        <v>64</v>
      </c>
      <c r="N23" s="13" t="s">
        <v>65</v>
      </c>
      <c r="O23" s="14" t="s">
        <v>66</v>
      </c>
      <c r="P23" s="13" t="s">
        <v>67</v>
      </c>
      <c r="Q23" s="13" t="s">
        <v>68</v>
      </c>
      <c r="R23" s="13" t="s">
        <v>69</v>
      </c>
      <c r="S23" s="13" t="s">
        <v>70</v>
      </c>
      <c r="T23" s="13" t="s">
        <v>71</v>
      </c>
      <c r="U23" s="13" t="s">
        <v>72</v>
      </c>
      <c r="V23" s="13" t="s">
        <v>73</v>
      </c>
      <c r="W23" s="13" t="s">
        <v>74</v>
      </c>
      <c r="X23" s="13" t="s">
        <v>75</v>
      </c>
      <c r="Y23" s="13" t="s">
        <v>76</v>
      </c>
      <c r="Z23" s="13" t="s">
        <v>77</v>
      </c>
      <c r="AA23" s="13" t="s">
        <v>78</v>
      </c>
      <c r="AB23" s="13" t="s">
        <v>79</v>
      </c>
      <c r="AC23" s="13" t="s">
        <v>80</v>
      </c>
      <c r="AD23" s="13" t="s">
        <v>81</v>
      </c>
      <c r="AE23" s="13" t="s">
        <v>82</v>
      </c>
      <c r="AF23" s="13" t="s">
        <v>83</v>
      </c>
      <c r="AG23" s="13" t="s">
        <v>84</v>
      </c>
      <c r="AH23" s="14" t="s">
        <v>85</v>
      </c>
      <c r="AI23" s="14" t="s">
        <v>86</v>
      </c>
      <c r="AJ23" s="13" t="s">
        <v>87</v>
      </c>
      <c r="AK23" s="13" t="s">
        <v>88</v>
      </c>
      <c r="AL23" s="13" t="s">
        <v>89</v>
      </c>
      <c r="AM23" s="13" t="s">
        <v>90</v>
      </c>
      <c r="AN23" s="13" t="s">
        <v>91</v>
      </c>
      <c r="AO23" s="13" t="s">
        <v>92</v>
      </c>
      <c r="AP23" s="13" t="s">
        <v>93</v>
      </c>
      <c r="AQ23" s="13" t="s">
        <v>94</v>
      </c>
      <c r="AR23" s="13" t="s">
        <v>95</v>
      </c>
      <c r="AS23" s="13" t="s">
        <v>96</v>
      </c>
      <c r="AT23" s="13" t="s">
        <v>97</v>
      </c>
      <c r="AU23" s="13" t="s">
        <v>98</v>
      </c>
      <c r="AV23" s="13" t="s">
        <v>99</v>
      </c>
      <c r="AW23" s="13" t="s">
        <v>100</v>
      </c>
      <c r="AX23" s="13" t="s">
        <v>101</v>
      </c>
      <c r="AY23" s="13" t="s">
        <v>102</v>
      </c>
      <c r="AZ23" s="13" t="s">
        <v>103</v>
      </c>
      <c r="BA23" s="13" t="s">
        <v>104</v>
      </c>
      <c r="BB23" s="13" t="s">
        <v>105</v>
      </c>
      <c r="BC23" s="13" t="s">
        <v>106</v>
      </c>
      <c r="BD23" s="14" t="s">
        <v>107</v>
      </c>
      <c r="BE23" s="14" t="s">
        <v>108</v>
      </c>
      <c r="BF23" s="13" t="s">
        <v>109</v>
      </c>
      <c r="BG23" s="13" t="s">
        <v>110</v>
      </c>
      <c r="BH23" s="13" t="s">
        <v>111</v>
      </c>
      <c r="BI23" s="13" t="s">
        <v>112</v>
      </c>
      <c r="BJ23" s="13" t="s">
        <v>113</v>
      </c>
      <c r="BK23" s="13" t="s">
        <v>114</v>
      </c>
      <c r="BL23" s="13" t="s">
        <v>115</v>
      </c>
      <c r="BM23" s="13" t="s">
        <v>116</v>
      </c>
      <c r="BN23" s="13" t="s">
        <v>117</v>
      </c>
      <c r="BO23" s="13" t="s">
        <v>118</v>
      </c>
      <c r="BP23" s="13" t="s">
        <v>119</v>
      </c>
      <c r="BQ23" s="13" t="s">
        <v>120</v>
      </c>
      <c r="BR23" s="13" t="s">
        <v>121</v>
      </c>
      <c r="BS23" s="13" t="s">
        <v>122</v>
      </c>
      <c r="BT23" s="13" t="s">
        <v>123</v>
      </c>
      <c r="BU23" s="14" t="s">
        <v>124</v>
      </c>
      <c r="BV23" s="13" t="s">
        <v>125</v>
      </c>
      <c r="BW23" s="13" t="s">
        <v>126</v>
      </c>
      <c r="BX23" s="13" t="s">
        <v>127</v>
      </c>
      <c r="BY23" s="13" t="s">
        <v>128</v>
      </c>
      <c r="BZ23" s="13" t="s">
        <v>129</v>
      </c>
      <c r="CA23" s="13" t="s">
        <v>130</v>
      </c>
      <c r="CB23" s="13" t="s">
        <v>131</v>
      </c>
      <c r="CC23" s="13" t="s">
        <v>132</v>
      </c>
      <c r="CD23" s="13" t="s">
        <v>133</v>
      </c>
      <c r="CE23" s="13" t="s">
        <v>134</v>
      </c>
      <c r="CF23" s="14" t="s">
        <v>135</v>
      </c>
      <c r="CG23" s="13" t="s">
        <v>136</v>
      </c>
      <c r="CH23" s="13" t="s">
        <v>137</v>
      </c>
      <c r="CI23" s="13" t="s">
        <v>138</v>
      </c>
      <c r="CJ23" s="13" t="s">
        <v>139</v>
      </c>
      <c r="CK23" s="13" t="s">
        <v>140</v>
      </c>
      <c r="CL23" s="14" t="s">
        <v>141</v>
      </c>
      <c r="CM23" s="14" t="s">
        <v>142</v>
      </c>
      <c r="CN23" s="14" t="s">
        <v>143</v>
      </c>
      <c r="CO23" s="14" t="s">
        <v>144</v>
      </c>
      <c r="CP23" s="14" t="s">
        <v>145</v>
      </c>
      <c r="CQ23" s="14" t="s">
        <v>146</v>
      </c>
      <c r="CR23" s="14" t="s">
        <v>147</v>
      </c>
      <c r="CS23" s="14" t="s">
        <v>148</v>
      </c>
      <c r="CT23" s="14" t="s">
        <v>149</v>
      </c>
      <c r="CU23" s="14" t="s">
        <v>150</v>
      </c>
      <c r="CV23" s="15" t="s">
        <v>151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</row>
    <row r="24">
      <c r="A24" s="17" t="s">
        <v>152</v>
      </c>
      <c r="B24" s="18">
        <f>sumifs('Form responses'!AV2:AV53,'Form responses'!$C$2:$C53,"&gt;="&amp;$E$2,'Form responses'!$C$2:$C53,"&lt;="&amp;$G$2,'Form responses'!$F$2:$F53,"=4")</f>
        <v>0</v>
      </c>
      <c r="C24" s="18">
        <f>sumifs('Form responses'!AW2:AW53,'Form responses'!$C$2:$C53,"&gt;="&amp;$E$2,'Form responses'!$C$2:$C53,"&lt;="&amp;$G$2,'Form responses'!$F$2:$F53,"=4")</f>
        <v>0</v>
      </c>
      <c r="D24" s="18">
        <f>sumifs('Form responses'!AX2:AX53,'Form responses'!$C$2:$C53,"&gt;="&amp;$E$2,'Form responses'!$C$2:$C53,"&lt;="&amp;$G$2,'Form responses'!$F$2:$F53,"=4")</f>
        <v>0</v>
      </c>
      <c r="E24" s="18">
        <f>sumifs('Form responses'!AY2:AY53,'Form responses'!$C$2:$C53,"&gt;="&amp;$E$2,'Form responses'!$C$2:$C53,"&lt;="&amp;$G$2,'Form responses'!$F$2:$F53,"=4")</f>
        <v>0</v>
      </c>
      <c r="F24" s="18">
        <f>sumifs('Form responses'!AZ2:AZ53,'Form responses'!$C$2:$C53,"&gt;="&amp;$E$2,'Form responses'!$C$2:$C53,"&lt;="&amp;$G$2,'Form responses'!$F$2:$F53,"=4")</f>
        <v>0</v>
      </c>
      <c r="G24" s="18">
        <f>sumifs('Form responses'!BA2:BA53,'Form responses'!$C$2:$C53,"&gt;="&amp;$E$2,'Form responses'!$C$2:$C53,"&lt;="&amp;$G$2,'Form responses'!$F$2:$F53,"=4")</f>
        <v>0</v>
      </c>
      <c r="H24" s="18">
        <f>sumifs('Form responses'!BB2:BB53,'Form responses'!$C$2:$C53,"&gt;="&amp;$E$2,'Form responses'!$C$2:$C53,"&lt;="&amp;$G$2,'Form responses'!$F$2:$F53,"=4")</f>
        <v>0</v>
      </c>
      <c r="I24" s="18">
        <f>sumifs('Form responses'!BC2:BC53,'Form responses'!$C$2:$C53,"&gt;="&amp;$E$2,'Form responses'!$C$2:$C53,"&lt;="&amp;$G$2,'Form responses'!$F$2:$F53,"=4")</f>
        <v>0</v>
      </c>
      <c r="J24" s="18">
        <f>sumifs('Form responses'!BD2:BD53,'Form responses'!$C$2:$C53,"&gt;="&amp;$E$2,'Form responses'!$C$2:$C53,"&lt;="&amp;$G$2,'Form responses'!$F$2:$F53,"=4")</f>
        <v>0</v>
      </c>
      <c r="K24" s="18">
        <f>sumifs('Form responses'!BE2:BE53,'Form responses'!$C$2:$C53,"&gt;="&amp;$E$2,'Form responses'!$C$2:$C53,"&lt;="&amp;$G$2,'Form responses'!$F$2:$F53,"=4")</f>
        <v>0</v>
      </c>
      <c r="L24" s="18">
        <f>sumifs('Form responses'!BF2:BF53,'Form responses'!$C$2:$C53,"&gt;="&amp;$E$2,'Form responses'!$C$2:$C53,"&lt;="&amp;$G$2,'Form responses'!$F$2:$F53,"=4")</f>
        <v>0</v>
      </c>
      <c r="M24" s="18">
        <f>sumifs('Form responses'!BG2:BG53,'Form responses'!$C$2:$C53,"&gt;="&amp;$E$2,'Form responses'!$C$2:$C53,"&lt;="&amp;$G$2,'Form responses'!$F$2:$F53,"=4")</f>
        <v>0</v>
      </c>
      <c r="N24" s="18">
        <f>sumifs('Form responses'!BH2:BH53,'Form responses'!$C$2:$C53,"&gt;="&amp;$E$2,'Form responses'!$C$2:$C53,"&lt;="&amp;$G$2,'Form responses'!$F$2:$F53,"=4")</f>
        <v>0</v>
      </c>
      <c r="O24" s="18">
        <f>sumifs('Form responses'!BI2:BI53,'Form responses'!$C$2:$C53,"&gt;="&amp;$E$2,'Form responses'!$C$2:$C53,"&lt;="&amp;$G$2,'Form responses'!$F$2:$F53,"=4")</f>
        <v>0</v>
      </c>
      <c r="P24" s="18">
        <f>sumifs('Form responses'!BJ2:BJ53,'Form responses'!$C$2:$C53,"&gt;="&amp;$E$2,'Form responses'!$C$2:$C53,"&lt;="&amp;$G$2,'Form responses'!$F$2:$F53,"=4")</f>
        <v>0</v>
      </c>
      <c r="Q24" s="18">
        <f>sumifs('Form responses'!BK2:BK53,'Form responses'!$C$2:$C53,"&gt;="&amp;$E$2,'Form responses'!$C$2:$C53,"&lt;="&amp;$G$2,'Form responses'!$F$2:$F53,"=4")</f>
        <v>0</v>
      </c>
      <c r="R24" s="18">
        <f>sumifs('Form responses'!BL2:BL53,'Form responses'!$C$2:$C53,"&gt;="&amp;$E$2,'Form responses'!$C$2:$C53,"&lt;="&amp;$G$2,'Form responses'!$F$2:$F53,"=4")</f>
        <v>0</v>
      </c>
      <c r="S24" s="18">
        <f>sumifs('Form responses'!BM2:BM53,'Form responses'!$C$2:$C53,"&gt;="&amp;$E$2,'Form responses'!$C$2:$C53,"&lt;="&amp;$G$2,'Form responses'!$F$2:$F53,"=4")</f>
        <v>0</v>
      </c>
      <c r="T24" s="18">
        <f>sumifs('Form responses'!BN2:BN53,'Form responses'!$C$2:$C53,"&gt;="&amp;$E$2,'Form responses'!$C$2:$C53,"&lt;="&amp;$G$2,'Form responses'!$F$2:$F53,"=4")</f>
        <v>0</v>
      </c>
      <c r="U24" s="18">
        <f>sumifs('Form responses'!BO2:BO53,'Form responses'!$C$2:$C53,"&gt;="&amp;$E$2,'Form responses'!$C$2:$C53,"&lt;="&amp;$G$2,'Form responses'!$F$2:$F53,"=4")</f>
        <v>0</v>
      </c>
      <c r="V24" s="18">
        <f>sumifs('Form responses'!BP2:BP53,'Form responses'!$C$2:$C53,"&gt;="&amp;$E$2,'Form responses'!$C$2:$C53,"&lt;="&amp;$G$2,'Form responses'!$F$2:$F53,"=4")</f>
        <v>0</v>
      </c>
      <c r="W24" s="18">
        <f>sumifs('Form responses'!BQ2:BQ53,'Form responses'!$C$2:$C53,"&gt;="&amp;$E$2,'Form responses'!$C$2:$C53,"&lt;="&amp;$G$2,'Form responses'!$F$2:$F53,"=4")</f>
        <v>0</v>
      </c>
      <c r="X24" s="18">
        <f>sumifs('Form responses'!BR2:BR53,'Form responses'!$C$2:$C53,"&gt;="&amp;$E$2,'Form responses'!$C$2:$C53,"&lt;="&amp;$G$2,'Form responses'!$F$2:$F53,"=4")</f>
        <v>0</v>
      </c>
      <c r="Y24" s="18">
        <f>sumifs('Form responses'!BS2:BS53,'Form responses'!$C$2:$C53,"&gt;="&amp;$E$2,'Form responses'!$C$2:$C53,"&lt;="&amp;$G$2,'Form responses'!$F$2:$F53,"=4")</f>
        <v>0</v>
      </c>
      <c r="Z24" s="18">
        <f>sumifs('Form responses'!BT2:BT53,'Form responses'!$C$2:$C53,"&gt;="&amp;$E$2,'Form responses'!$C$2:$C53,"&lt;="&amp;$G$2,'Form responses'!$F$2:$F53,"=4")</f>
        <v>0</v>
      </c>
      <c r="AA24" s="18">
        <f>sumifs('Form responses'!BU2:BU53,'Form responses'!$C$2:$C53,"&gt;="&amp;$E$2,'Form responses'!$C$2:$C53,"&lt;="&amp;$G$2,'Form responses'!$F$2:$F53,"=4")</f>
        <v>0</v>
      </c>
      <c r="AB24" s="18">
        <f>sumifs('Form responses'!BV2:BV53,'Form responses'!$C$2:$C53,"&gt;="&amp;$E$2,'Form responses'!$C$2:$C53,"&lt;="&amp;$G$2,'Form responses'!$F$2:$F53,"=4")</f>
        <v>0</v>
      </c>
      <c r="AC24" s="18">
        <f>sumifs('Form responses'!BW2:BW53,'Form responses'!$C$2:$C53,"&gt;="&amp;$E$2,'Form responses'!$C$2:$C53,"&lt;="&amp;$G$2,'Form responses'!$F$2:$F53,"=4")</f>
        <v>0</v>
      </c>
      <c r="AD24" s="18">
        <f>sumifs('Form responses'!BX2:BX53,'Form responses'!$C$2:$C53,"&gt;="&amp;$E$2,'Form responses'!$C$2:$C53,"&lt;="&amp;$G$2,'Form responses'!$F$2:$F53,"=4")</f>
        <v>0</v>
      </c>
      <c r="AE24" s="18">
        <f>sumifs('Form responses'!BY2:BY53,'Form responses'!$C$2:$C53,"&gt;="&amp;$E$2,'Form responses'!$C$2:$C53,"&lt;="&amp;$G$2,'Form responses'!$F$2:$F53,"=4")</f>
        <v>0</v>
      </c>
      <c r="AF24" s="18">
        <f>sumifs('Form responses'!BZ2:BZ53,'Form responses'!$C$2:$C53,"&gt;="&amp;$E$2,'Form responses'!$C$2:$C53,"&lt;="&amp;$G$2,'Form responses'!$F$2:$F53,"=4")</f>
        <v>0</v>
      </c>
      <c r="AG24" s="18">
        <f>sumifs('Form responses'!CA2:CA53,'Form responses'!$C$2:$C53,"&gt;="&amp;$E$2,'Form responses'!$C$2:$C53,"&lt;="&amp;$G$2,'Form responses'!$F$2:$F53,"=4")</f>
        <v>0</v>
      </c>
      <c r="AH24" s="18">
        <f>sumifs('Form responses'!CB2:CB53,'Form responses'!$C$2:$C53,"&gt;="&amp;$E$2,'Form responses'!$C$2:$C53,"&lt;="&amp;$G$2,'Form responses'!$F$2:$F53,"=4")</f>
        <v>0</v>
      </c>
      <c r="AI24" s="18">
        <f>sumifs('Form responses'!CC2:CC53,'Form responses'!$C$2:$C53,"&gt;="&amp;$E$2,'Form responses'!$C$2:$C53,"&lt;="&amp;$G$2,'Form responses'!$F$2:$F53,"=4")</f>
        <v>0</v>
      </c>
      <c r="AJ24" s="18">
        <f>sumifs('Form responses'!CD2:CD53,'Form responses'!$C$2:$C53,"&gt;="&amp;$E$2,'Form responses'!$C$2:$C53,"&lt;="&amp;$G$2,'Form responses'!$F$2:$F53,"=4")</f>
        <v>0</v>
      </c>
      <c r="AK24" s="18">
        <f>sumifs('Form responses'!CE2:CE53,'Form responses'!$C$2:$C53,"&gt;="&amp;$E$2,'Form responses'!$C$2:$C53,"&lt;="&amp;$G$2,'Form responses'!$F$2:$F53,"=4")</f>
        <v>0</v>
      </c>
      <c r="AL24" s="18">
        <f>sumifs('Form responses'!CF2:CF53,'Form responses'!$C$2:$C53,"&gt;="&amp;$E$2,'Form responses'!$C$2:$C53,"&lt;="&amp;$G$2,'Form responses'!$F$2:$F53,"=4")</f>
        <v>0</v>
      </c>
      <c r="AM24" s="18">
        <f>sumifs('Form responses'!CG2:CG53,'Form responses'!$C$2:$C53,"&gt;="&amp;$E$2,'Form responses'!$C$2:$C53,"&lt;="&amp;$G$2,'Form responses'!$F$2:$F53,"=4")</f>
        <v>0</v>
      </c>
      <c r="AN24" s="18">
        <f>sumifs('Form responses'!CH2:CH53,'Form responses'!$C$2:$C53,"&gt;="&amp;$E$2,'Form responses'!$C$2:$C53,"&lt;="&amp;$G$2,'Form responses'!$F$2:$F53,"=4")</f>
        <v>0</v>
      </c>
      <c r="AO24" s="18">
        <f>sumifs('Form responses'!CI2:CI53,'Form responses'!$C$2:$C53,"&gt;="&amp;$E$2,'Form responses'!$C$2:$C53,"&lt;="&amp;$G$2,'Form responses'!$F$2:$F53,"=4")</f>
        <v>0</v>
      </c>
      <c r="AP24" s="18">
        <f>sumifs('Form responses'!CJ2:CJ53,'Form responses'!$C$2:$C53,"&gt;="&amp;$E$2,'Form responses'!$C$2:$C53,"&lt;="&amp;$G$2,'Form responses'!$F$2:$F53,"=4")</f>
        <v>0</v>
      </c>
      <c r="AQ24" s="18">
        <f>sumifs('Form responses'!CK2:CK53,'Form responses'!$C$2:$C53,"&gt;="&amp;$E$2,'Form responses'!$C$2:$C53,"&lt;="&amp;$G$2,'Form responses'!$F$2:$F53,"=4")</f>
        <v>0</v>
      </c>
      <c r="AR24" s="18">
        <f>sumifs('Form responses'!CL2:CL53,'Form responses'!$C$2:$C53,"&gt;="&amp;$E$2,'Form responses'!$C$2:$C53,"&lt;="&amp;$G$2,'Form responses'!$F$2:$F53,"=4")</f>
        <v>0</v>
      </c>
      <c r="AS24" s="18">
        <f>sumifs('Form responses'!CM2:CM53,'Form responses'!$C$2:$C53,"&gt;="&amp;$E$2,'Form responses'!$C$2:$C53,"&lt;="&amp;$G$2,'Form responses'!$F$2:$F53,"=4")</f>
        <v>0</v>
      </c>
      <c r="AT24" s="18">
        <f>sumifs('Form responses'!CN2:CN53,'Form responses'!$C$2:$C53,"&gt;="&amp;$E$2,'Form responses'!$C$2:$C53,"&lt;="&amp;$G$2,'Form responses'!$F$2:$F53,"=4")</f>
        <v>0</v>
      </c>
      <c r="AU24" s="18">
        <f>sumifs('Form responses'!CO2:CO53,'Form responses'!$C$2:$C53,"&gt;="&amp;$E$2,'Form responses'!$C$2:$C53,"&lt;="&amp;$G$2,'Form responses'!$F$2:$F53,"=4")</f>
        <v>0</v>
      </c>
      <c r="AV24" s="18">
        <f>sumifs('Form responses'!CP2:CP53,'Form responses'!$C$2:$C53,"&gt;="&amp;$E$2,'Form responses'!$C$2:$C53,"&lt;="&amp;$G$2,'Form responses'!$F$2:$F53,"=4")</f>
        <v>0</v>
      </c>
      <c r="AW24" s="18">
        <f>sumifs('Form responses'!CQ2:CQ53,'Form responses'!$C$2:$C53,"&gt;="&amp;$E$2,'Form responses'!$C$2:$C53,"&lt;="&amp;$G$2,'Form responses'!$F$2:$F53,"=4")</f>
        <v>0</v>
      </c>
      <c r="AX24" s="18">
        <f>sumifs('Form responses'!CR2:CR53,'Form responses'!$C$2:$C53,"&gt;="&amp;$E$2,'Form responses'!$C$2:$C53,"&lt;="&amp;$G$2,'Form responses'!$F$2:$F53,"=4")</f>
        <v>0</v>
      </c>
      <c r="AY24" s="18">
        <f>sumifs('Form responses'!CS2:CS53,'Form responses'!$C$2:$C53,"&gt;="&amp;$E$2,'Form responses'!$C$2:$C53,"&lt;="&amp;$G$2,'Form responses'!$F$2:$F53,"=4")</f>
        <v>0</v>
      </c>
      <c r="AZ24" s="18">
        <f>sumifs('Form responses'!CT2:CT53,'Form responses'!$C$2:$C53,"&gt;="&amp;$E$2,'Form responses'!$C$2:$C53,"&lt;="&amp;$G$2,'Form responses'!$F$2:$F53,"=4")</f>
        <v>0</v>
      </c>
      <c r="BA24" s="18">
        <f>sumifs('Form responses'!CU2:CU53,'Form responses'!$C$2:$C53,"&gt;="&amp;$E$2,'Form responses'!$C$2:$C53,"&lt;="&amp;$G$2,'Form responses'!$F$2:$F53,"=4")</f>
        <v>0</v>
      </c>
      <c r="BB24" s="18">
        <f>sumifs('Form responses'!CV2:CV53,'Form responses'!$C$2:$C53,"&gt;="&amp;$E$2,'Form responses'!$C$2:$C53,"&lt;="&amp;$G$2,'Form responses'!$F$2:$F53,"=4")</f>
        <v>0</v>
      </c>
      <c r="BC24" s="18">
        <f>sumifs('Form responses'!CW2:CW53,'Form responses'!$C$2:$C53,"&gt;="&amp;$E$2,'Form responses'!$C$2:$C53,"&lt;="&amp;$G$2,'Form responses'!$F$2:$F53,"=4")</f>
        <v>0</v>
      </c>
      <c r="BD24" s="18">
        <f>sumifs('Form responses'!CX2:CX53,'Form responses'!$C$2:$C53,"&gt;="&amp;$E$2,'Form responses'!$C$2:$C53,"&lt;="&amp;$G$2,'Form responses'!$F$2:$F53,"=4")</f>
        <v>0</v>
      </c>
      <c r="BE24" s="18">
        <f>sumifs('Form responses'!CY2:CY53,'Form responses'!$C$2:$C53,"&gt;="&amp;$E$2,'Form responses'!$C$2:$C53,"&lt;="&amp;$G$2,'Form responses'!$F$2:$F53,"=4")</f>
        <v>0</v>
      </c>
      <c r="BF24" s="18">
        <f>sumifs('Form responses'!CZ2:CZ53,'Form responses'!$C$2:$C53,"&gt;="&amp;$E$2,'Form responses'!$C$2:$C53,"&lt;="&amp;$G$2,'Form responses'!$F$2:$F53,"=4")</f>
        <v>0</v>
      </c>
      <c r="BG24" s="18">
        <f>sumifs('Form responses'!DA2:DA53,'Form responses'!$C$2:$C53,"&gt;="&amp;$E$2,'Form responses'!$C$2:$C53,"&lt;="&amp;$G$2,'Form responses'!$F$2:$F53,"=4")</f>
        <v>0</v>
      </c>
      <c r="BH24" s="18">
        <f>sumifs('Form responses'!DB2:DB53,'Form responses'!$C$2:$C53,"&gt;="&amp;$E$2,'Form responses'!$C$2:$C53,"&lt;="&amp;$G$2,'Form responses'!$F$2:$F53,"=4")</f>
        <v>0</v>
      </c>
      <c r="BI24" s="18">
        <f>sumifs('Form responses'!DC2:DC53,'Form responses'!$C$2:$C53,"&gt;="&amp;$E$2,'Form responses'!$C$2:$C53,"&lt;="&amp;$G$2,'Form responses'!$F$2:$F53,"=4")</f>
        <v>0</v>
      </c>
      <c r="BJ24" s="18">
        <f>sumifs('Form responses'!DD2:DD53,'Form responses'!$C$2:$C53,"&gt;="&amp;$E$2,'Form responses'!$C$2:$C53,"&lt;="&amp;$G$2,'Form responses'!$F$2:$F53,"=4")</f>
        <v>0</v>
      </c>
      <c r="BK24" s="18">
        <f>sumifs('Form responses'!DE2:DE53,'Form responses'!$C$2:$C53,"&gt;="&amp;$E$2,'Form responses'!$C$2:$C53,"&lt;="&amp;$G$2,'Form responses'!$F$2:$F53,"=4")</f>
        <v>0</v>
      </c>
      <c r="BL24" s="18">
        <f>sumifs('Form responses'!DF2:DF53,'Form responses'!$C$2:$C53,"&gt;="&amp;$E$2,'Form responses'!$C$2:$C53,"&lt;="&amp;$G$2,'Form responses'!$F$2:$F53,"=4")</f>
        <v>0</v>
      </c>
      <c r="BM24" s="18">
        <f>sumifs('Form responses'!DG2:DG53,'Form responses'!$C$2:$C53,"&gt;="&amp;$E$2,'Form responses'!$C$2:$C53,"&lt;="&amp;$G$2,'Form responses'!$F$2:$F53,"=4")</f>
        <v>0</v>
      </c>
      <c r="BN24" s="18">
        <f>sumifs('Form responses'!DH2:DH53,'Form responses'!$C$2:$C53,"&gt;="&amp;$E$2,'Form responses'!$C$2:$C53,"&lt;="&amp;$G$2,'Form responses'!$F$2:$F53,"=4")</f>
        <v>0</v>
      </c>
      <c r="BO24" s="18">
        <f>sumifs('Form responses'!DI2:DI53,'Form responses'!$C$2:$C53,"&gt;="&amp;$E$2,'Form responses'!$C$2:$C53,"&lt;="&amp;$G$2,'Form responses'!$F$2:$F53,"=4")</f>
        <v>0</v>
      </c>
      <c r="BP24" s="18">
        <f>sumifs('Form responses'!DJ2:DJ53,'Form responses'!$C$2:$C53,"&gt;="&amp;$E$2,'Form responses'!$C$2:$C53,"&lt;="&amp;$G$2,'Form responses'!$F$2:$F53,"=4")</f>
        <v>0</v>
      </c>
      <c r="BQ24" s="18">
        <f>sumifs('Form responses'!DK2:DK53,'Form responses'!$C$2:$C53,"&gt;="&amp;$E$2,'Form responses'!$C$2:$C53,"&lt;="&amp;$G$2,'Form responses'!$F$2:$F53,"=4")</f>
        <v>0</v>
      </c>
      <c r="BR24" s="18">
        <f>sumifs('Form responses'!DL2:DL53,'Form responses'!$C$2:$C53,"&gt;="&amp;$E$2,'Form responses'!$C$2:$C53,"&lt;="&amp;$G$2,'Form responses'!$F$2:$F53,"=4")</f>
        <v>0</v>
      </c>
      <c r="BS24" s="18">
        <f>sumifs('Form responses'!DM2:DM53,'Form responses'!$C$2:$C53,"&gt;="&amp;$E$2,'Form responses'!$C$2:$C53,"&lt;="&amp;$G$2,'Form responses'!$F$2:$F53,"=4")</f>
        <v>0</v>
      </c>
      <c r="BT24" s="18">
        <f>sumifs('Form responses'!DN2:DN53,'Form responses'!$C$2:$C53,"&gt;="&amp;$E$2,'Form responses'!$C$2:$C53,"&lt;="&amp;$G$2,'Form responses'!$F$2:$F53,"=4")</f>
        <v>0</v>
      </c>
      <c r="BU24" s="18">
        <f>sumifs('Form responses'!DO2:DO53,'Form responses'!$C$2:$C53,"&gt;="&amp;$E$2,'Form responses'!$C$2:$C53,"&lt;="&amp;$G$2,'Form responses'!$F$2:$F53,"=4")</f>
        <v>0</v>
      </c>
      <c r="BV24" s="18">
        <f>sumifs('Form responses'!DP2:DP53,'Form responses'!$C$2:$C53,"&gt;="&amp;$E$2,'Form responses'!$C$2:$C53,"&lt;="&amp;$G$2,'Form responses'!$F$2:$F53,"=4")</f>
        <v>0</v>
      </c>
      <c r="BW24" s="18">
        <f>sumifs('Form responses'!DQ2:DQ53,'Form responses'!$C$2:$C53,"&gt;="&amp;$E$2,'Form responses'!$C$2:$C53,"&lt;="&amp;$G$2,'Form responses'!$F$2:$F53,"=4")</f>
        <v>0</v>
      </c>
      <c r="BX24" s="18">
        <f>sumifs('Form responses'!DR2:DR53,'Form responses'!$C$2:$C53,"&gt;="&amp;$E$2,'Form responses'!$C$2:$C53,"&lt;="&amp;$G$2,'Form responses'!$F$2:$F53,"=4")</f>
        <v>0</v>
      </c>
      <c r="BY24" s="18">
        <f>sumifs('Form responses'!DS2:DS53,'Form responses'!$C$2:$C53,"&gt;="&amp;$E$2,'Form responses'!$C$2:$C53,"&lt;="&amp;$G$2,'Form responses'!$F$2:$F53,"=4")</f>
        <v>0</v>
      </c>
      <c r="BZ24" s="18">
        <f>sumifs('Form responses'!DT2:DT53,'Form responses'!$C$2:$C53,"&gt;="&amp;$E$2,'Form responses'!$C$2:$C53,"&lt;="&amp;$G$2,'Form responses'!$F$2:$F53,"=4")</f>
        <v>0</v>
      </c>
      <c r="CA24" s="18">
        <f>sumifs('Form responses'!DU2:DU53,'Form responses'!$C$2:$C53,"&gt;="&amp;$E$2,'Form responses'!$C$2:$C53,"&lt;="&amp;$G$2,'Form responses'!$F$2:$F53,"=4")</f>
        <v>0</v>
      </c>
      <c r="CB24" s="18">
        <f>sumifs('Form responses'!DV2:DV53,'Form responses'!$C$2:$C53,"&gt;="&amp;$E$2,'Form responses'!$C$2:$C53,"&lt;="&amp;$G$2,'Form responses'!$F$2:$F53,"=4")</f>
        <v>0</v>
      </c>
      <c r="CC24" s="18">
        <f>sumifs('Form responses'!DW2:DW53,'Form responses'!$C$2:$C53,"&gt;="&amp;$E$2,'Form responses'!$C$2:$C53,"&lt;="&amp;$G$2,'Form responses'!$F$2:$F53,"=4")</f>
        <v>0</v>
      </c>
      <c r="CD24" s="18">
        <f>sumifs('Form responses'!DX2:DX53,'Form responses'!$C$2:$C53,"&gt;="&amp;$E$2,'Form responses'!$C$2:$C53,"&lt;="&amp;$G$2,'Form responses'!$F$2:$F53,"=4")</f>
        <v>0</v>
      </c>
      <c r="CE24" s="18">
        <f>sumifs('Form responses'!DY2:DY53,'Form responses'!$C$2:$C53,"&gt;="&amp;$E$2,'Form responses'!$C$2:$C53,"&lt;="&amp;$G$2,'Form responses'!$F$2:$F53,"=4")</f>
        <v>0</v>
      </c>
      <c r="CF24" s="18">
        <f>sumifs('Form responses'!DZ2:DZ53,'Form responses'!$C$2:$C53,"&gt;="&amp;$E$2,'Form responses'!$C$2:$C53,"&lt;="&amp;$G$2,'Form responses'!$F$2:$F53,"=4")</f>
        <v>0</v>
      </c>
      <c r="CG24" s="18">
        <f>sumifs('Form responses'!EA2:EA53,'Form responses'!$C$2:$C53,"&gt;="&amp;$E$2,'Form responses'!$C$2:$C53,"&lt;="&amp;$G$2,'Form responses'!$F$2:$F53,"=4")</f>
        <v>0</v>
      </c>
      <c r="CH24" s="18">
        <f>sumifs('Form responses'!EB2:EB53,'Form responses'!$C$2:$C53,"&gt;="&amp;$E$2,'Form responses'!$C$2:$C53,"&lt;="&amp;$G$2,'Form responses'!$F$2:$F53,"=4")</f>
        <v>0</v>
      </c>
      <c r="CI24" s="18">
        <f>sumifs('Form responses'!EC2:EC53,'Form responses'!$C$2:$C53,"&gt;="&amp;$E$2,'Form responses'!$C$2:$C53,"&lt;="&amp;$G$2,'Form responses'!$F$2:$F53,"=4")</f>
        <v>0</v>
      </c>
      <c r="CJ24" s="18">
        <f>sumifs('Form responses'!ED2:ED53,'Form responses'!$C$2:$C53,"&gt;="&amp;$E$2,'Form responses'!$C$2:$C53,"&lt;="&amp;$G$2,'Form responses'!$F$2:$F53,"=4")</f>
        <v>0</v>
      </c>
      <c r="CK24" s="18">
        <f>sumifs('Form responses'!EE2:EE53,'Form responses'!$C$2:$C53,"&gt;="&amp;$E$2,'Form responses'!$C$2:$C53,"&lt;="&amp;$G$2,'Form responses'!$F$2:$F53,"=4")</f>
        <v>0</v>
      </c>
      <c r="CL24" s="18">
        <f>sumifs('Form responses'!EF2:EF53,'Form responses'!$C$2:$C53,"&gt;="&amp;$E$2,'Form responses'!$C$2:$C53,"&lt;="&amp;$G$2,'Form responses'!$F$2:$F53,"=4")</f>
        <v>0</v>
      </c>
      <c r="CM24" s="18">
        <f>sumifs('Form responses'!EG2:EG53,'Form responses'!$C$2:$C53,"&gt;="&amp;$E$2,'Form responses'!$C$2:$C53,"&lt;="&amp;$G$2,'Form responses'!$F$2:$F53,"=4")</f>
        <v>0</v>
      </c>
      <c r="CN24" s="18">
        <f>sumifs('Form responses'!EH2:EH53,'Form responses'!$C$2:$C53,"&gt;="&amp;$E$2,'Form responses'!$C$2:$C53,"&lt;="&amp;$G$2,'Form responses'!$F$2:$F53,"=4")</f>
        <v>0</v>
      </c>
      <c r="CO24" s="18">
        <f>sumifs('Form responses'!EI2:EI53,'Form responses'!$C$2:$C53,"&gt;="&amp;$E$2,'Form responses'!$C$2:$C53,"&lt;="&amp;$G$2,'Form responses'!$F$2:$F53,"=4")</f>
        <v>0</v>
      </c>
      <c r="CP24" s="18">
        <f>sumifs('Form responses'!EJ2:EJ53,'Form responses'!$C$2:$C53,"&gt;="&amp;$E$2,'Form responses'!$C$2:$C53,"&lt;="&amp;$G$2,'Form responses'!$F$2:$F53,"=4")</f>
        <v>0</v>
      </c>
      <c r="CQ24" s="18">
        <f>sumifs('Form responses'!EK2:EK53,'Form responses'!$C$2:$C53,"&gt;="&amp;$E$2,'Form responses'!$C$2:$C53,"&lt;="&amp;$G$2,'Form responses'!$F$2:$F53,"=4")</f>
        <v>0</v>
      </c>
      <c r="CR24" s="18">
        <f>sumifs('Form responses'!EL2:EL53,'Form responses'!$C$2:$C53,"&gt;="&amp;$E$2,'Form responses'!$C$2:$C53,"&lt;="&amp;$G$2,'Form responses'!$F$2:$F53,"=4")</f>
        <v>0</v>
      </c>
      <c r="CS24" s="18">
        <f>sumifs('Form responses'!EM2:EM53,'Form responses'!$C$2:$C53,"&gt;="&amp;$E$2,'Form responses'!$C$2:$C53,"&lt;="&amp;$G$2,'Form responses'!$F$2:$F53,"=4")</f>
        <v>0</v>
      </c>
      <c r="CT24" s="18">
        <f>sumifs('Form responses'!EN2:EN53,'Form responses'!$C$2:$C53,"&gt;="&amp;$E$2,'Form responses'!$C$2:$C53,"&lt;="&amp;$G$2,'Form responses'!$F$2:$F53,"=4")</f>
        <v>0</v>
      </c>
      <c r="CU24" s="18">
        <f>sumifs('Form responses'!EO2:EO53,'Form responses'!$C$2:$C53,"&gt;="&amp;$E$2,'Form responses'!$C$2:$C53,"&lt;="&amp;$G$2,'Form responses'!$F$2:$F53,"=4")</f>
        <v>0</v>
      </c>
      <c r="CV24" s="18">
        <f>sumifs('Form responses'!EP2:EP53,'Form responses'!$C$2:$C53,"&gt;="&amp;$E$2,'Form responses'!$C$2:$C53,"&lt;="&amp;$G$2,'Form responses'!$F$2:$F53,"=4")</f>
        <v>0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</row>
    <row r="25">
      <c r="A25" s="17" t="s">
        <v>153</v>
      </c>
      <c r="B25" s="20">
        <f>sumifs('Form responses'!AV2:AV53,'Form responses'!$C$2:$C53,"&lt;="&amp;$G$2,'Form responses'!$C$2:$C53,"&gt;="&amp;Date(YEAR(DATE(YEAR($G$2),MONTH($G$2)+(-3),1)),4,1),'Form responses'!$F$2:$F53,"=4")</f>
        <v>0</v>
      </c>
      <c r="C25" s="20">
        <f>sumifs('Form responses'!AW2:AW53,'Form responses'!$C$2:$C53,"&lt;="&amp;$G$2,'Form responses'!$C$2:$C53,"&gt;="&amp;Date(YEAR(DATE(YEAR($G$2),MONTH($G$2)+(-3),1)),4,1),'Form responses'!$F$2:$F53,"=4")</f>
        <v>0</v>
      </c>
      <c r="D25" s="20">
        <f>sumifs('Form responses'!AX2:AX53,'Form responses'!$C$2:$C53,"&lt;="&amp;$G$2,'Form responses'!$C$2:$C53,"&gt;="&amp;Date(YEAR(DATE(YEAR($G$2),MONTH($G$2)+(-3),1)),4,1),'Form responses'!$F$2:$F53,"=4")</f>
        <v>0</v>
      </c>
      <c r="E25" s="20">
        <f>sumifs('Form responses'!AY2:AY53,'Form responses'!$C$2:$C53,"&lt;="&amp;$G$2,'Form responses'!$C$2:$C53,"&gt;="&amp;Date(YEAR(DATE(YEAR($G$2),MONTH($G$2)+(-3),1)),4,1),'Form responses'!$F$2:$F53,"=4")</f>
        <v>0</v>
      </c>
      <c r="F25" s="20">
        <f>sumifs('Form responses'!AZ2:AZ53,'Form responses'!$C$2:$C53,"&lt;="&amp;$G$2,'Form responses'!$C$2:$C53,"&gt;="&amp;Date(YEAR(DATE(YEAR($G$2),MONTH($G$2)+(-3),1)),4,1),'Form responses'!$F$2:$F53,"=4")</f>
        <v>0</v>
      </c>
      <c r="G25" s="20">
        <f>sumifs('Form responses'!BA2:BA53,'Form responses'!$C$2:$C53,"&lt;="&amp;$G$2,'Form responses'!$C$2:$C53,"&gt;="&amp;Date(YEAR(DATE(YEAR($G$2),MONTH($G$2)+(-3),1)),4,1),'Form responses'!$F$2:$F53,"=4")</f>
        <v>0</v>
      </c>
      <c r="H25" s="20">
        <f>sumifs('Form responses'!BB2:BB53,'Form responses'!$C$2:$C53,"&lt;="&amp;$G$2,'Form responses'!$C$2:$C53,"&gt;="&amp;Date(YEAR(DATE(YEAR($G$2),MONTH($G$2)+(-3),1)),4,1),'Form responses'!$F$2:$F53,"=4")</f>
        <v>0</v>
      </c>
      <c r="I25" s="20">
        <f>sumifs('Form responses'!BC2:BC53,'Form responses'!$C$2:$C53,"&lt;="&amp;$G$2,'Form responses'!$C$2:$C53,"&gt;="&amp;Date(YEAR(DATE(YEAR($G$2),MONTH($G$2)+(-3),1)),4,1),'Form responses'!$F$2:$F53,"=4")</f>
        <v>0</v>
      </c>
      <c r="J25" s="20">
        <f>sumifs('Form responses'!BD2:BD53,'Form responses'!$C$2:$C53,"&lt;="&amp;$G$2,'Form responses'!$C$2:$C53,"&gt;="&amp;Date(YEAR(DATE(YEAR($G$2),MONTH($G$2)+(-3),1)),4,1),'Form responses'!$F$2:$F53,"=4")</f>
        <v>0</v>
      </c>
      <c r="K25" s="20">
        <f>sumifs('Form responses'!BE2:BE53,'Form responses'!$C$2:$C53,"&lt;="&amp;$G$2,'Form responses'!$C$2:$C53,"&gt;="&amp;Date(YEAR(DATE(YEAR($G$2),MONTH($G$2)+(-3),1)),4,1),'Form responses'!$F$2:$F53,"=4")</f>
        <v>0</v>
      </c>
      <c r="L25" s="20">
        <f>sumifs('Form responses'!BF2:BF53,'Form responses'!$C$2:$C53,"&lt;="&amp;$G$2,'Form responses'!$C$2:$C53,"&gt;="&amp;Date(YEAR(DATE(YEAR($G$2),MONTH($G$2)+(-3),1)),4,1),'Form responses'!$F$2:$F53,"=4")</f>
        <v>0</v>
      </c>
      <c r="M25" s="20">
        <f>sumifs('Form responses'!BG2:BG53,'Form responses'!$C$2:$C53,"&lt;="&amp;$G$2,'Form responses'!$C$2:$C53,"&gt;="&amp;Date(YEAR(DATE(YEAR($G$2),MONTH($G$2)+(-3),1)),4,1),'Form responses'!$F$2:$F53,"=4")</f>
        <v>0</v>
      </c>
      <c r="N25" s="20">
        <f>sumifs('Form responses'!BH2:BH53,'Form responses'!$C$2:$C53,"&lt;="&amp;$G$2,'Form responses'!$C$2:$C53,"&gt;="&amp;Date(YEAR(DATE(YEAR($G$2),MONTH($G$2)+(-3),1)),4,1),'Form responses'!$F$2:$F53,"=4")</f>
        <v>0</v>
      </c>
      <c r="O25" s="20">
        <f>sumifs('Form responses'!BI2:BI53,'Form responses'!$C$2:$C53,"&lt;="&amp;$G$2,'Form responses'!$C$2:$C53,"&gt;="&amp;Date(YEAR(DATE(YEAR($G$2),MONTH($G$2)+(-3),1)),4,1),'Form responses'!$F$2:$F53,"=4")</f>
        <v>0</v>
      </c>
      <c r="P25" s="20">
        <f>sumifs('Form responses'!BJ2:BJ53,'Form responses'!$C$2:$C53,"&lt;="&amp;$G$2,'Form responses'!$C$2:$C53,"&gt;="&amp;Date(YEAR(DATE(YEAR($G$2),MONTH($G$2)+(-3),1)),4,1),'Form responses'!$F$2:$F53,"=4")</f>
        <v>0</v>
      </c>
      <c r="Q25" s="20">
        <f>sumifs('Form responses'!BK2:BK53,'Form responses'!$C$2:$C53,"&lt;="&amp;$G$2,'Form responses'!$C$2:$C53,"&gt;="&amp;Date(YEAR(DATE(YEAR($G$2),MONTH($G$2)+(-3),1)),4,1),'Form responses'!$F$2:$F53,"=4")</f>
        <v>0</v>
      </c>
      <c r="R25" s="20">
        <f>sumifs('Form responses'!BL2:BL53,'Form responses'!$C$2:$C53,"&lt;="&amp;$G$2,'Form responses'!$C$2:$C53,"&gt;="&amp;Date(YEAR(DATE(YEAR($G$2),MONTH($G$2)+(-3),1)),4,1),'Form responses'!$F$2:$F53,"=4")</f>
        <v>0</v>
      </c>
      <c r="S25" s="20">
        <f>sumifs('Form responses'!BM2:BM53,'Form responses'!$C$2:$C53,"&lt;="&amp;$G$2,'Form responses'!$C$2:$C53,"&gt;="&amp;Date(YEAR(DATE(YEAR($G$2),MONTH($G$2)+(-3),1)),4,1),'Form responses'!$F$2:$F53,"=4")</f>
        <v>0</v>
      </c>
      <c r="T25" s="20">
        <f>sumifs('Form responses'!BN2:BN53,'Form responses'!$C$2:$C53,"&lt;="&amp;$G$2,'Form responses'!$C$2:$C53,"&gt;="&amp;Date(YEAR(DATE(YEAR($G$2),MONTH($G$2)+(-3),1)),4,1),'Form responses'!$F$2:$F53,"=4")</f>
        <v>0</v>
      </c>
      <c r="U25" s="20">
        <f>sumifs('Form responses'!BO2:BO53,'Form responses'!$C$2:$C53,"&lt;="&amp;$G$2,'Form responses'!$C$2:$C53,"&gt;="&amp;Date(YEAR(DATE(YEAR($G$2),MONTH($G$2)+(-3),1)),4,1),'Form responses'!$F$2:$F53,"=4")</f>
        <v>0</v>
      </c>
      <c r="V25" s="20">
        <f>sumifs('Form responses'!BP2:BP53,'Form responses'!$C$2:$C53,"&lt;="&amp;$G$2,'Form responses'!$C$2:$C53,"&gt;="&amp;Date(YEAR(DATE(YEAR($G$2),MONTH($G$2)+(-3),1)),4,1),'Form responses'!$F$2:$F53,"=4")</f>
        <v>0</v>
      </c>
      <c r="W25" s="20">
        <f>sumifs('Form responses'!BQ2:BQ53,'Form responses'!$C$2:$C53,"&lt;="&amp;$G$2,'Form responses'!$C$2:$C53,"&gt;="&amp;Date(YEAR(DATE(YEAR($G$2),MONTH($G$2)+(-3),1)),4,1),'Form responses'!$F$2:$F53,"=4")</f>
        <v>0</v>
      </c>
      <c r="X25" s="20">
        <f>sumifs('Form responses'!BR2:BR53,'Form responses'!$C$2:$C53,"&lt;="&amp;$G$2,'Form responses'!$C$2:$C53,"&gt;="&amp;Date(YEAR(DATE(YEAR($G$2),MONTH($G$2)+(-3),1)),4,1),'Form responses'!$F$2:$F53,"=4")</f>
        <v>0</v>
      </c>
      <c r="Y25" s="20">
        <f>sumifs('Form responses'!BS2:BS53,'Form responses'!$C$2:$C53,"&lt;="&amp;$G$2,'Form responses'!$C$2:$C53,"&gt;="&amp;Date(YEAR(DATE(YEAR($G$2),MONTH($G$2)+(-3),1)),4,1),'Form responses'!$F$2:$F53,"=4")</f>
        <v>0</v>
      </c>
      <c r="Z25" s="20">
        <f>sumifs('Form responses'!BT2:BT53,'Form responses'!$C$2:$C53,"&lt;="&amp;$G$2,'Form responses'!$C$2:$C53,"&gt;="&amp;Date(YEAR(DATE(YEAR($G$2),MONTH($G$2)+(-3),1)),4,1),'Form responses'!$F$2:$F53,"=4")</f>
        <v>0</v>
      </c>
      <c r="AA25" s="20">
        <f>sumifs('Form responses'!BU2:BU53,'Form responses'!$C$2:$C53,"&lt;="&amp;$G$2,'Form responses'!$C$2:$C53,"&gt;="&amp;Date(YEAR(DATE(YEAR($G$2),MONTH($G$2)+(-3),1)),4,1),'Form responses'!$F$2:$F53,"=4")</f>
        <v>0</v>
      </c>
      <c r="AB25" s="20">
        <f>sumifs('Form responses'!BV2:BV53,'Form responses'!$C$2:$C53,"&lt;="&amp;$G$2,'Form responses'!$C$2:$C53,"&gt;="&amp;Date(YEAR(DATE(YEAR($G$2),MONTH($G$2)+(-3),1)),4,1),'Form responses'!$F$2:$F53,"=4")</f>
        <v>0</v>
      </c>
      <c r="AC25" s="20">
        <f>sumifs('Form responses'!BW2:BW53,'Form responses'!$C$2:$C53,"&lt;="&amp;$G$2,'Form responses'!$C$2:$C53,"&gt;="&amp;Date(YEAR(DATE(YEAR($G$2),MONTH($G$2)+(-3),1)),4,1),'Form responses'!$F$2:$F53,"=4")</f>
        <v>0</v>
      </c>
      <c r="AD25" s="20">
        <f>sumifs('Form responses'!BX2:BX53,'Form responses'!$C$2:$C53,"&lt;="&amp;$G$2,'Form responses'!$C$2:$C53,"&gt;="&amp;Date(YEAR(DATE(YEAR($G$2),MONTH($G$2)+(-3),1)),4,1),'Form responses'!$F$2:$F53,"=4")</f>
        <v>0</v>
      </c>
      <c r="AE25" s="20">
        <f>sumifs('Form responses'!BY2:BY53,'Form responses'!$C$2:$C53,"&lt;="&amp;$G$2,'Form responses'!$C$2:$C53,"&gt;="&amp;Date(YEAR(DATE(YEAR($G$2),MONTH($G$2)+(-3),1)),4,1),'Form responses'!$F$2:$F53,"=4")</f>
        <v>0</v>
      </c>
      <c r="AF25" s="20">
        <f>sumifs('Form responses'!BZ2:BZ53,'Form responses'!$C$2:$C53,"&lt;="&amp;$G$2,'Form responses'!$C$2:$C53,"&gt;="&amp;Date(YEAR(DATE(YEAR($G$2),MONTH($G$2)+(-3),1)),4,1),'Form responses'!$F$2:$F53,"=4")</f>
        <v>0</v>
      </c>
      <c r="AG25" s="20">
        <f>sumifs('Form responses'!CA2:CA53,'Form responses'!$C$2:$C53,"&lt;="&amp;$G$2,'Form responses'!$C$2:$C53,"&gt;="&amp;Date(YEAR(DATE(YEAR($G$2),MONTH($G$2)+(-3),1)),4,1),'Form responses'!$F$2:$F53,"=4")</f>
        <v>0</v>
      </c>
      <c r="AH25" s="20">
        <f>sumifs('Form responses'!CB2:CB53,'Form responses'!$C$2:$C53,"&lt;="&amp;$G$2,'Form responses'!$C$2:$C53,"&gt;="&amp;Date(YEAR(DATE(YEAR($G$2),MONTH($G$2)+(-3),1)),4,1),'Form responses'!$F$2:$F53,"=4")</f>
        <v>0</v>
      </c>
      <c r="AI25" s="20">
        <f>sumifs('Form responses'!CC2:CC53,'Form responses'!$C$2:$C53,"&lt;="&amp;$G$2,'Form responses'!$C$2:$C53,"&gt;="&amp;Date(YEAR(DATE(YEAR($G$2),MONTH($G$2)+(-3),1)),4,1),'Form responses'!$F$2:$F53,"=4")</f>
        <v>0</v>
      </c>
      <c r="AJ25" s="20">
        <f>sumifs('Form responses'!CD2:CD53,'Form responses'!$C$2:$C53,"&lt;="&amp;$G$2,'Form responses'!$C$2:$C53,"&gt;="&amp;Date(YEAR(DATE(YEAR($G$2),MONTH($G$2)+(-3),1)),4,1),'Form responses'!$F$2:$F53,"=4")</f>
        <v>0</v>
      </c>
      <c r="AK25" s="20">
        <f>sumifs('Form responses'!CE2:CE53,'Form responses'!$C$2:$C53,"&lt;="&amp;$G$2,'Form responses'!$C$2:$C53,"&gt;="&amp;Date(YEAR(DATE(YEAR($G$2),MONTH($G$2)+(-3),1)),4,1),'Form responses'!$F$2:$F53,"=4")</f>
        <v>0</v>
      </c>
      <c r="AL25" s="20">
        <f>sumifs('Form responses'!CF2:CF53,'Form responses'!$C$2:$C53,"&lt;="&amp;$G$2,'Form responses'!$C$2:$C53,"&gt;="&amp;Date(YEAR(DATE(YEAR($G$2),MONTH($G$2)+(-3),1)),4,1),'Form responses'!$F$2:$F53,"=4")</f>
        <v>0</v>
      </c>
      <c r="AM25" s="20">
        <f>sumifs('Form responses'!CG2:CG53,'Form responses'!$C$2:$C53,"&lt;="&amp;$G$2,'Form responses'!$C$2:$C53,"&gt;="&amp;Date(YEAR(DATE(YEAR($G$2),MONTH($G$2)+(-3),1)),4,1),'Form responses'!$F$2:$F53,"=4")</f>
        <v>0</v>
      </c>
      <c r="AN25" s="20">
        <f>sumifs('Form responses'!CH2:CH53,'Form responses'!$C$2:$C53,"&lt;="&amp;$G$2,'Form responses'!$C$2:$C53,"&gt;="&amp;Date(YEAR(DATE(YEAR($G$2),MONTH($G$2)+(-3),1)),4,1),'Form responses'!$F$2:$F53,"=4")</f>
        <v>0</v>
      </c>
      <c r="AO25" s="20">
        <f>sumifs('Form responses'!CI2:CI53,'Form responses'!$C$2:$C53,"&lt;="&amp;$G$2,'Form responses'!$C$2:$C53,"&gt;="&amp;Date(YEAR(DATE(YEAR($G$2),MONTH($G$2)+(-3),1)),4,1),'Form responses'!$F$2:$F53,"=4")</f>
        <v>0</v>
      </c>
      <c r="AP25" s="20">
        <f>sumifs('Form responses'!CJ2:CJ53,'Form responses'!$C$2:$C53,"&lt;="&amp;$G$2,'Form responses'!$C$2:$C53,"&gt;="&amp;Date(YEAR(DATE(YEAR($G$2),MONTH($G$2)+(-3),1)),4,1),'Form responses'!$F$2:$F53,"=4")</f>
        <v>0</v>
      </c>
      <c r="AQ25" s="20">
        <f>sumifs('Form responses'!CK2:CK53,'Form responses'!$C$2:$C53,"&lt;="&amp;$G$2,'Form responses'!$C$2:$C53,"&gt;="&amp;Date(YEAR(DATE(YEAR($G$2),MONTH($G$2)+(-3),1)),4,1),'Form responses'!$F$2:$F53,"=4")</f>
        <v>0</v>
      </c>
      <c r="AR25" s="20">
        <f>sumifs('Form responses'!CL2:CL53,'Form responses'!$C$2:$C53,"&lt;="&amp;$G$2,'Form responses'!$C$2:$C53,"&gt;="&amp;Date(YEAR(DATE(YEAR($G$2),MONTH($G$2)+(-3),1)),4,1),'Form responses'!$F$2:$F53,"=4")</f>
        <v>0</v>
      </c>
      <c r="AS25" s="20">
        <f>sumifs('Form responses'!CM2:CM53,'Form responses'!$C$2:$C53,"&lt;="&amp;$G$2,'Form responses'!$C$2:$C53,"&gt;="&amp;Date(YEAR(DATE(YEAR($G$2),MONTH($G$2)+(-3),1)),4,1),'Form responses'!$F$2:$F53,"=4")</f>
        <v>0</v>
      </c>
      <c r="AT25" s="20">
        <f>sumifs('Form responses'!CN2:CN53,'Form responses'!$C$2:$C53,"&lt;="&amp;$G$2,'Form responses'!$C$2:$C53,"&gt;="&amp;Date(YEAR(DATE(YEAR($G$2),MONTH($G$2)+(-3),1)),4,1),'Form responses'!$F$2:$F53,"=4")</f>
        <v>0</v>
      </c>
      <c r="AU25" s="20">
        <f>sumifs('Form responses'!CO2:CO53,'Form responses'!$C$2:$C53,"&lt;="&amp;$G$2,'Form responses'!$C$2:$C53,"&gt;="&amp;Date(YEAR(DATE(YEAR($G$2),MONTH($G$2)+(-3),1)),4,1),'Form responses'!$F$2:$F53,"=4")</f>
        <v>0</v>
      </c>
      <c r="AV25" s="20">
        <f>sumifs('Form responses'!CP2:CP53,'Form responses'!$C$2:$C53,"&lt;="&amp;$G$2,'Form responses'!$C$2:$C53,"&gt;="&amp;Date(YEAR(DATE(YEAR($G$2),MONTH($G$2)+(-3),1)),4,1),'Form responses'!$F$2:$F53,"=4")</f>
        <v>0</v>
      </c>
      <c r="AW25" s="20">
        <f>sumifs('Form responses'!CQ2:CQ53,'Form responses'!$C$2:$C53,"&lt;="&amp;$G$2,'Form responses'!$C$2:$C53,"&gt;="&amp;Date(YEAR(DATE(YEAR($G$2),MONTH($G$2)+(-3),1)),4,1),'Form responses'!$F$2:$F53,"=4")</f>
        <v>0</v>
      </c>
      <c r="AX25" s="20">
        <f>sumifs('Form responses'!CR2:CR53,'Form responses'!$C$2:$C53,"&lt;="&amp;$G$2,'Form responses'!$C$2:$C53,"&gt;="&amp;Date(YEAR(DATE(YEAR($G$2),MONTH($G$2)+(-3),1)),4,1),'Form responses'!$F$2:$F53,"=4")</f>
        <v>0</v>
      </c>
      <c r="AY25" s="20">
        <f>sumifs('Form responses'!CS2:CS53,'Form responses'!$C$2:$C53,"&lt;="&amp;$G$2,'Form responses'!$C$2:$C53,"&gt;="&amp;Date(YEAR(DATE(YEAR($G$2),MONTH($G$2)+(-3),1)),4,1),'Form responses'!$F$2:$F53,"=4")</f>
        <v>0</v>
      </c>
      <c r="AZ25" s="20">
        <f>sumifs('Form responses'!CT2:CT53,'Form responses'!$C$2:$C53,"&lt;="&amp;$G$2,'Form responses'!$C$2:$C53,"&gt;="&amp;Date(YEAR(DATE(YEAR($G$2),MONTH($G$2)+(-3),1)),4,1),'Form responses'!$F$2:$F53,"=4")</f>
        <v>0</v>
      </c>
      <c r="BA25" s="20">
        <f>sumifs('Form responses'!CU2:CU53,'Form responses'!$C$2:$C53,"&lt;="&amp;$G$2,'Form responses'!$C$2:$C53,"&gt;="&amp;Date(YEAR(DATE(YEAR($G$2),MONTH($G$2)+(-3),1)),4,1),'Form responses'!$F$2:$F53,"=4")</f>
        <v>0</v>
      </c>
      <c r="BB25" s="20">
        <f>sumifs('Form responses'!CV2:CV53,'Form responses'!$C$2:$C53,"&lt;="&amp;$G$2,'Form responses'!$C$2:$C53,"&gt;="&amp;Date(YEAR(DATE(YEAR($G$2),MONTH($G$2)+(-3),1)),4,1),'Form responses'!$F$2:$F53,"=4")</f>
        <v>0</v>
      </c>
      <c r="BC25" s="20">
        <f>sumifs('Form responses'!CW2:CW53,'Form responses'!$C$2:$C53,"&lt;="&amp;$G$2,'Form responses'!$C$2:$C53,"&gt;="&amp;Date(YEAR(DATE(YEAR($G$2),MONTH($G$2)+(-3),1)),4,1),'Form responses'!$F$2:$F53,"=4")</f>
        <v>0</v>
      </c>
      <c r="BD25" s="20">
        <f>sumifs('Form responses'!CX2:CX53,'Form responses'!$C$2:$C53,"&lt;="&amp;$G$2,'Form responses'!$C$2:$C53,"&gt;="&amp;Date(YEAR(DATE(YEAR($G$2),MONTH($G$2)+(-3),1)),4,1),'Form responses'!$F$2:$F53,"=4")</f>
        <v>0</v>
      </c>
      <c r="BE25" s="20">
        <f>sumifs('Form responses'!CY2:CY53,'Form responses'!$C$2:$C53,"&lt;="&amp;$G$2,'Form responses'!$C$2:$C53,"&gt;="&amp;Date(YEAR(DATE(YEAR($G$2),MONTH($G$2)+(-3),1)),4,1),'Form responses'!$F$2:$F53,"=4")</f>
        <v>0</v>
      </c>
      <c r="BF25" s="20">
        <f>sumifs('Form responses'!CZ2:CZ53,'Form responses'!$C$2:$C53,"&lt;="&amp;$G$2,'Form responses'!$C$2:$C53,"&gt;="&amp;Date(YEAR(DATE(YEAR($G$2),MONTH($G$2)+(-3),1)),4,1),'Form responses'!$F$2:$F53,"=4")</f>
        <v>0</v>
      </c>
      <c r="BG25" s="20">
        <f>sumifs('Form responses'!DA2:DA53,'Form responses'!$C$2:$C53,"&lt;="&amp;$G$2,'Form responses'!$C$2:$C53,"&gt;="&amp;Date(YEAR(DATE(YEAR($G$2),MONTH($G$2)+(-3),1)),4,1),'Form responses'!$F$2:$F53,"=4")</f>
        <v>0</v>
      </c>
      <c r="BH25" s="20">
        <f>sumifs('Form responses'!DB2:DB53,'Form responses'!$C$2:$C53,"&lt;="&amp;$G$2,'Form responses'!$C$2:$C53,"&gt;="&amp;Date(YEAR(DATE(YEAR($G$2),MONTH($G$2)+(-3),1)),4,1),'Form responses'!$F$2:$F53,"=4")</f>
        <v>0</v>
      </c>
      <c r="BI25" s="20">
        <f>sumifs('Form responses'!DC2:DC53,'Form responses'!$C$2:$C53,"&lt;="&amp;$G$2,'Form responses'!$C$2:$C53,"&gt;="&amp;Date(YEAR(DATE(YEAR($G$2),MONTH($G$2)+(-3),1)),4,1),'Form responses'!$F$2:$F53,"=4")</f>
        <v>0</v>
      </c>
      <c r="BJ25" s="20">
        <f>sumifs('Form responses'!DD2:DD53,'Form responses'!$C$2:$C53,"&lt;="&amp;$G$2,'Form responses'!$C$2:$C53,"&gt;="&amp;Date(YEAR(DATE(YEAR($G$2),MONTH($G$2)+(-3),1)),4,1),'Form responses'!$F$2:$F53,"=4")</f>
        <v>0</v>
      </c>
      <c r="BK25" s="20">
        <f>sumifs('Form responses'!DE2:DE53,'Form responses'!$C$2:$C53,"&lt;="&amp;$G$2,'Form responses'!$C$2:$C53,"&gt;="&amp;Date(YEAR(DATE(YEAR($G$2),MONTH($G$2)+(-3),1)),4,1),'Form responses'!$F$2:$F53,"=4")</f>
        <v>0</v>
      </c>
      <c r="BL25" s="20">
        <f>sumifs('Form responses'!DF2:DF53,'Form responses'!$C$2:$C53,"&lt;="&amp;$G$2,'Form responses'!$C$2:$C53,"&gt;="&amp;Date(YEAR(DATE(YEAR($G$2),MONTH($G$2)+(-3),1)),4,1),'Form responses'!$F$2:$F53,"=4")</f>
        <v>0</v>
      </c>
      <c r="BM25" s="20">
        <f>sumifs('Form responses'!DG2:DG53,'Form responses'!$C$2:$C53,"&lt;="&amp;$G$2,'Form responses'!$C$2:$C53,"&gt;="&amp;Date(YEAR(DATE(YEAR($G$2),MONTH($G$2)+(-3),1)),4,1),'Form responses'!$F$2:$F53,"=4")</f>
        <v>0</v>
      </c>
      <c r="BN25" s="20">
        <f>sumifs('Form responses'!DH2:DH53,'Form responses'!$C$2:$C53,"&lt;="&amp;$G$2,'Form responses'!$C$2:$C53,"&gt;="&amp;Date(YEAR(DATE(YEAR($G$2),MONTH($G$2)+(-3),1)),4,1),'Form responses'!$F$2:$F53,"=4")</f>
        <v>0</v>
      </c>
      <c r="BO25" s="20">
        <f>sumifs('Form responses'!DI2:DI53,'Form responses'!$C$2:$C53,"&lt;="&amp;$G$2,'Form responses'!$C$2:$C53,"&gt;="&amp;Date(YEAR(DATE(YEAR($G$2),MONTH($G$2)+(-3),1)),4,1),'Form responses'!$F$2:$F53,"=4")</f>
        <v>0</v>
      </c>
      <c r="BP25" s="20">
        <f>sumifs('Form responses'!DJ2:DJ53,'Form responses'!$C$2:$C53,"&lt;="&amp;$G$2,'Form responses'!$C$2:$C53,"&gt;="&amp;Date(YEAR(DATE(YEAR($G$2),MONTH($G$2)+(-3),1)),4,1),'Form responses'!$F$2:$F53,"=4")</f>
        <v>0</v>
      </c>
      <c r="BQ25" s="20">
        <f>sumifs('Form responses'!DK2:DK53,'Form responses'!$C$2:$C53,"&lt;="&amp;$G$2,'Form responses'!$C$2:$C53,"&gt;="&amp;Date(YEAR(DATE(YEAR($G$2),MONTH($G$2)+(-3),1)),4,1),'Form responses'!$F$2:$F53,"=4")</f>
        <v>0</v>
      </c>
      <c r="BR25" s="20">
        <f>sumifs('Form responses'!DL2:DL53,'Form responses'!$C$2:$C53,"&lt;="&amp;$G$2,'Form responses'!$C$2:$C53,"&gt;="&amp;Date(YEAR(DATE(YEAR($G$2),MONTH($G$2)+(-3),1)),4,1),'Form responses'!$F$2:$F53,"=4")</f>
        <v>0</v>
      </c>
      <c r="BS25" s="20">
        <f>sumifs('Form responses'!DM2:DM53,'Form responses'!$C$2:$C53,"&lt;="&amp;$G$2,'Form responses'!$C$2:$C53,"&gt;="&amp;Date(YEAR(DATE(YEAR($G$2),MONTH($G$2)+(-3),1)),4,1),'Form responses'!$F$2:$F53,"=4")</f>
        <v>0</v>
      </c>
      <c r="BT25" s="20">
        <f>sumifs('Form responses'!DN2:DN53,'Form responses'!$C$2:$C53,"&lt;="&amp;$G$2,'Form responses'!$C$2:$C53,"&gt;="&amp;Date(YEAR(DATE(YEAR($G$2),MONTH($G$2)+(-3),1)),4,1),'Form responses'!$F$2:$F53,"=4")</f>
        <v>0</v>
      </c>
      <c r="BU25" s="20">
        <f>sumifs('Form responses'!DO2:DO53,'Form responses'!$C$2:$C53,"&lt;="&amp;$G$2,'Form responses'!$C$2:$C53,"&gt;="&amp;Date(YEAR(DATE(YEAR($G$2),MONTH($G$2)+(-3),1)),4,1),'Form responses'!$F$2:$F53,"=4")</f>
        <v>0</v>
      </c>
      <c r="BV25" s="20">
        <f>sumifs('Form responses'!DP2:DP53,'Form responses'!$C$2:$C53,"&lt;="&amp;$G$2,'Form responses'!$C$2:$C53,"&gt;="&amp;Date(YEAR(DATE(YEAR($G$2),MONTH($G$2)+(-3),1)),4,1),'Form responses'!$F$2:$F53,"=4")</f>
        <v>0</v>
      </c>
      <c r="BW25" s="20">
        <f>sumifs('Form responses'!DQ2:DQ53,'Form responses'!$C$2:$C53,"&lt;="&amp;$G$2,'Form responses'!$C$2:$C53,"&gt;="&amp;Date(YEAR(DATE(YEAR($G$2),MONTH($G$2)+(-3),1)),4,1),'Form responses'!$F$2:$F53,"=4")</f>
        <v>0</v>
      </c>
      <c r="BX25" s="20">
        <f>sumifs('Form responses'!DR2:DR53,'Form responses'!$C$2:$C53,"&lt;="&amp;$G$2,'Form responses'!$C$2:$C53,"&gt;="&amp;Date(YEAR(DATE(YEAR($G$2),MONTH($G$2)+(-3),1)),4,1),'Form responses'!$F$2:$F53,"=4")</f>
        <v>0</v>
      </c>
      <c r="BY25" s="20">
        <f>sumifs('Form responses'!DS2:DS53,'Form responses'!$C$2:$C53,"&lt;="&amp;$G$2,'Form responses'!$C$2:$C53,"&gt;="&amp;Date(YEAR(DATE(YEAR($G$2),MONTH($G$2)+(-3),1)),4,1),'Form responses'!$F$2:$F53,"=4")</f>
        <v>0</v>
      </c>
      <c r="BZ25" s="20">
        <f>sumifs('Form responses'!DT2:DT53,'Form responses'!$C$2:$C53,"&lt;="&amp;$G$2,'Form responses'!$C$2:$C53,"&gt;="&amp;Date(YEAR(DATE(YEAR($G$2),MONTH($G$2)+(-3),1)),4,1),'Form responses'!$F$2:$F53,"=4")</f>
        <v>0</v>
      </c>
      <c r="CA25" s="20">
        <f>sumifs('Form responses'!DU2:DU53,'Form responses'!$C$2:$C53,"&lt;="&amp;$G$2,'Form responses'!$C$2:$C53,"&gt;="&amp;Date(YEAR(DATE(YEAR($G$2),MONTH($G$2)+(-3),1)),4,1),'Form responses'!$F$2:$F53,"=4")</f>
        <v>0</v>
      </c>
      <c r="CB25" s="20">
        <f>sumifs('Form responses'!DV2:DV53,'Form responses'!$C$2:$C53,"&lt;="&amp;$G$2,'Form responses'!$C$2:$C53,"&gt;="&amp;Date(YEAR(DATE(YEAR($G$2),MONTH($G$2)+(-3),1)),4,1),'Form responses'!$F$2:$F53,"=4")</f>
        <v>0</v>
      </c>
      <c r="CC25" s="20">
        <f>sumifs('Form responses'!DW2:DW53,'Form responses'!$C$2:$C53,"&lt;="&amp;$G$2,'Form responses'!$C$2:$C53,"&gt;="&amp;Date(YEAR(DATE(YEAR($G$2),MONTH($G$2)+(-3),1)),4,1),'Form responses'!$F$2:$F53,"=4")</f>
        <v>0</v>
      </c>
      <c r="CD25" s="20">
        <f>sumifs('Form responses'!DX2:DX53,'Form responses'!$C$2:$C53,"&lt;="&amp;$G$2,'Form responses'!$C$2:$C53,"&gt;="&amp;Date(YEAR(DATE(YEAR($G$2),MONTH($G$2)+(-3),1)),4,1),'Form responses'!$F$2:$F53,"=4")</f>
        <v>0</v>
      </c>
      <c r="CE25" s="20">
        <f>sumifs('Form responses'!DY2:DY53,'Form responses'!$C$2:$C53,"&lt;="&amp;$G$2,'Form responses'!$C$2:$C53,"&gt;="&amp;Date(YEAR(DATE(YEAR($G$2),MONTH($G$2)+(-3),1)),4,1),'Form responses'!$F$2:$F53,"=4")</f>
        <v>0</v>
      </c>
      <c r="CF25" s="20">
        <f>sumifs('Form responses'!DZ2:DZ53,'Form responses'!$C$2:$C53,"&lt;="&amp;$G$2,'Form responses'!$C$2:$C53,"&gt;="&amp;Date(YEAR(DATE(YEAR($G$2),MONTH($G$2)+(-3),1)),4,1),'Form responses'!$F$2:$F53,"=4")</f>
        <v>0</v>
      </c>
      <c r="CG25" s="20">
        <f>sumifs('Form responses'!EA2:EA53,'Form responses'!$C$2:$C53,"&lt;="&amp;$G$2,'Form responses'!$C$2:$C53,"&gt;="&amp;Date(YEAR(DATE(YEAR($G$2),MONTH($G$2)+(-3),1)),4,1),'Form responses'!$F$2:$F53,"=4")</f>
        <v>0</v>
      </c>
      <c r="CH25" s="20">
        <f>sumifs('Form responses'!EB2:EB53,'Form responses'!$C$2:$C53,"&lt;="&amp;$G$2,'Form responses'!$C$2:$C53,"&gt;="&amp;Date(YEAR(DATE(YEAR($G$2),MONTH($G$2)+(-3),1)),4,1),'Form responses'!$F$2:$F53,"=4")</f>
        <v>0</v>
      </c>
      <c r="CI25" s="20">
        <f>sumifs('Form responses'!EC2:EC53,'Form responses'!$C$2:$C53,"&lt;="&amp;$G$2,'Form responses'!$C$2:$C53,"&gt;="&amp;Date(YEAR(DATE(YEAR($G$2),MONTH($G$2)+(-3),1)),4,1),'Form responses'!$F$2:$F53,"=4")</f>
        <v>0</v>
      </c>
      <c r="CJ25" s="20">
        <f>sumifs('Form responses'!ED2:ED53,'Form responses'!$C$2:$C53,"&lt;="&amp;$G$2,'Form responses'!$C$2:$C53,"&gt;="&amp;Date(YEAR(DATE(YEAR($G$2),MONTH($G$2)+(-3),1)),4,1),'Form responses'!$F$2:$F53,"=4")</f>
        <v>0</v>
      </c>
      <c r="CK25" s="20">
        <f>sumifs('Form responses'!EE2:EE53,'Form responses'!$C$2:$C53,"&lt;="&amp;$G$2,'Form responses'!$C$2:$C53,"&gt;="&amp;Date(YEAR(DATE(YEAR($G$2),MONTH($G$2)+(-3),1)),4,1),'Form responses'!$F$2:$F53,"=4")</f>
        <v>0</v>
      </c>
      <c r="CL25" s="20">
        <f>sumifs('Form responses'!EF2:EF53,'Form responses'!$C$2:$C53,"&lt;="&amp;$G$2,'Form responses'!$C$2:$C53,"&gt;="&amp;Date(YEAR(DATE(YEAR($G$2),MONTH($G$2)+(-3),1)),4,1),'Form responses'!$F$2:$F53,"=4")</f>
        <v>0</v>
      </c>
      <c r="CM25" s="20">
        <f>sumifs('Form responses'!EG2:EG53,'Form responses'!$C$2:$C53,"&lt;="&amp;$G$2,'Form responses'!$C$2:$C53,"&gt;="&amp;Date(YEAR(DATE(YEAR($G$2),MONTH($G$2)+(-3),1)),4,1),'Form responses'!$F$2:$F53,"=4")</f>
        <v>0</v>
      </c>
      <c r="CN25" s="20">
        <f>sumifs('Form responses'!EH2:EH53,'Form responses'!$C$2:$C53,"&lt;="&amp;$G$2,'Form responses'!$C$2:$C53,"&gt;="&amp;Date(YEAR(DATE(YEAR($G$2),MONTH($G$2)+(-3),1)),4,1),'Form responses'!$F$2:$F53,"=4")</f>
        <v>0</v>
      </c>
      <c r="CO25" s="20">
        <f>sumifs('Form responses'!EI2:EI53,'Form responses'!$C$2:$C53,"&lt;="&amp;$G$2,'Form responses'!$C$2:$C53,"&gt;="&amp;Date(YEAR(DATE(YEAR($G$2),MONTH($G$2)+(-3),1)),4,1),'Form responses'!$F$2:$F53,"=4")</f>
        <v>0</v>
      </c>
      <c r="CP25" s="20">
        <f>sumifs('Form responses'!EJ2:EJ53,'Form responses'!$C$2:$C53,"&lt;="&amp;$G$2,'Form responses'!$C$2:$C53,"&gt;="&amp;Date(YEAR(DATE(YEAR($G$2),MONTH($G$2)+(-3),1)),4,1),'Form responses'!$F$2:$F53,"=4")</f>
        <v>0</v>
      </c>
      <c r="CQ25" s="20">
        <f>sumifs('Form responses'!EK2:EK53,'Form responses'!$C$2:$C53,"&lt;="&amp;$G$2,'Form responses'!$C$2:$C53,"&gt;="&amp;Date(YEAR(DATE(YEAR($G$2),MONTH($G$2)+(-3),1)),4,1),'Form responses'!$F$2:$F53,"=4")</f>
        <v>0</v>
      </c>
      <c r="CR25" s="20">
        <f>sumifs('Form responses'!EL2:EL53,'Form responses'!$C$2:$C53,"&lt;="&amp;$G$2,'Form responses'!$C$2:$C53,"&gt;="&amp;Date(YEAR(DATE(YEAR($G$2),MONTH($G$2)+(-3),1)),4,1),'Form responses'!$F$2:$F53,"=4")</f>
        <v>0</v>
      </c>
      <c r="CS25" s="20">
        <f>sumifs('Form responses'!EM2:EM53,'Form responses'!$C$2:$C53,"&lt;="&amp;$G$2,'Form responses'!$C$2:$C53,"&gt;="&amp;Date(YEAR(DATE(YEAR($G$2),MONTH($G$2)+(-3),1)),4,1),'Form responses'!$F$2:$F53,"=4")</f>
        <v>0</v>
      </c>
      <c r="CT25" s="20">
        <f>sumifs('Form responses'!EN2:EN53,'Form responses'!$C$2:$C53,"&lt;="&amp;$G$2,'Form responses'!$C$2:$C53,"&gt;="&amp;Date(YEAR(DATE(YEAR($G$2),MONTH($G$2)+(-3),1)),4,1),'Form responses'!$F$2:$F53,"=4")</f>
        <v>0</v>
      </c>
      <c r="CU25" s="20">
        <f>sumifs('Form responses'!EO2:EO53,'Form responses'!$C$2:$C53,"&lt;="&amp;$G$2,'Form responses'!$C$2:$C53,"&gt;="&amp;Date(YEAR(DATE(YEAR($G$2),MONTH($G$2)+(-3),1)),4,1),'Form responses'!$F$2:$F53,"=4")</f>
        <v>0</v>
      </c>
      <c r="CV25" s="20">
        <f>sumifs('Form responses'!EP2:EP53,'Form responses'!$C$2:$C53,"&lt;="&amp;$G$2,'Form responses'!$C$2:$C53,"&gt;="&amp;Date(YEAR(DATE(YEAR($G$2),MONTH($G$2)+(-3),1)),4,1),'Form responses'!$F$2:$F53,"=4")</f>
        <v>0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21"/>
      <c r="EL26" s="21"/>
    </row>
    <row r="28">
      <c r="A28" s="61"/>
      <c r="B28" s="61" t="s">
        <v>188</v>
      </c>
      <c r="C28" s="62" t="str">
        <f>Reports!J1</f>
        <v>Institute</v>
      </c>
      <c r="E28" s="47">
        <f>Reports!$N$1</f>
        <v>44952</v>
      </c>
      <c r="F28" s="63" t="s">
        <v>11</v>
      </c>
      <c r="G28" s="49">
        <f>Reports!Q1</f>
        <v>44982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</row>
    <row r="29">
      <c r="A29" s="52"/>
      <c r="B29" s="64" t="s">
        <v>12</v>
      </c>
      <c r="C29" s="53" t="s">
        <v>13</v>
      </c>
      <c r="D29" s="53" t="s">
        <v>14</v>
      </c>
      <c r="E29" s="53" t="s">
        <v>15</v>
      </c>
      <c r="F29" s="53" t="s">
        <v>16</v>
      </c>
      <c r="G29" s="53" t="s">
        <v>17</v>
      </c>
      <c r="H29" s="53" t="s">
        <v>18</v>
      </c>
      <c r="I29" s="53" t="s">
        <v>19</v>
      </c>
      <c r="J29" s="54" t="s">
        <v>20</v>
      </c>
      <c r="K29" s="54" t="s">
        <v>21</v>
      </c>
      <c r="L29" s="54" t="s">
        <v>22</v>
      </c>
      <c r="M29" s="54" t="s">
        <v>23</v>
      </c>
      <c r="N29" s="53" t="s">
        <v>24</v>
      </c>
      <c r="O29" s="53" t="s">
        <v>25</v>
      </c>
      <c r="P29" s="53" t="s">
        <v>26</v>
      </c>
      <c r="Q29" s="53" t="s">
        <v>27</v>
      </c>
      <c r="R29" s="53" t="s">
        <v>28</v>
      </c>
      <c r="S29" s="53" t="s">
        <v>29</v>
      </c>
      <c r="T29" s="53" t="s">
        <v>30</v>
      </c>
      <c r="U29" s="54" t="s">
        <v>189</v>
      </c>
      <c r="V29" s="53" t="s">
        <v>32</v>
      </c>
      <c r="W29" s="53" t="s">
        <v>32</v>
      </c>
      <c r="X29" s="53" t="s">
        <v>33</v>
      </c>
      <c r="Y29" s="54" t="s">
        <v>35</v>
      </c>
      <c r="Z29" s="54" t="s">
        <v>36</v>
      </c>
      <c r="AA29" s="54" t="s">
        <v>37</v>
      </c>
      <c r="AB29" s="53" t="s">
        <v>38</v>
      </c>
      <c r="AC29" s="53" t="s">
        <v>39</v>
      </c>
      <c r="AD29" s="53" t="s">
        <v>40</v>
      </c>
      <c r="AE29" s="53" t="s">
        <v>41</v>
      </c>
      <c r="AF29" s="53" t="s">
        <v>42</v>
      </c>
      <c r="AG29" s="53" t="s">
        <v>43</v>
      </c>
      <c r="AH29" s="53" t="s">
        <v>44</v>
      </c>
      <c r="AI29" s="53" t="s">
        <v>45</v>
      </c>
      <c r="AJ29" s="54" t="s">
        <v>46</v>
      </c>
      <c r="AK29" s="53" t="s">
        <v>47</v>
      </c>
      <c r="AL29" s="53" t="s">
        <v>48</v>
      </c>
      <c r="AM29" s="53" t="s">
        <v>49</v>
      </c>
      <c r="AN29" s="53" t="s">
        <v>50</v>
      </c>
      <c r="AO29" s="53" t="s">
        <v>51</v>
      </c>
      <c r="AP29" s="53" t="s">
        <v>52</v>
      </c>
      <c r="AQ29" s="53" t="s">
        <v>53</v>
      </c>
      <c r="AR29" s="53" t="s">
        <v>54</v>
      </c>
      <c r="AS29" s="53" t="s">
        <v>55</v>
      </c>
      <c r="AT29" s="53" t="s">
        <v>56</v>
      </c>
      <c r="AU29" s="53" t="s">
        <v>57</v>
      </c>
      <c r="AV29" s="53" t="s">
        <v>58</v>
      </c>
      <c r="AW29" s="53" t="s">
        <v>59</v>
      </c>
      <c r="AX29" s="53" t="s">
        <v>60</v>
      </c>
      <c r="AY29" s="53" t="s">
        <v>61</v>
      </c>
      <c r="AZ29" s="54" t="s">
        <v>62</v>
      </c>
      <c r="BA29" s="53" t="s">
        <v>63</v>
      </c>
      <c r="BB29" s="53" t="s">
        <v>64</v>
      </c>
      <c r="BC29" s="53" t="s">
        <v>65</v>
      </c>
      <c r="BD29" s="54" t="s">
        <v>66</v>
      </c>
      <c r="BE29" s="53" t="s">
        <v>67</v>
      </c>
      <c r="BF29" s="53" t="s">
        <v>68</v>
      </c>
      <c r="BG29" s="53" t="s">
        <v>69</v>
      </c>
      <c r="BH29" s="53" t="s">
        <v>70</v>
      </c>
      <c r="BI29" s="53" t="s">
        <v>71</v>
      </c>
      <c r="BJ29" s="53" t="s">
        <v>72</v>
      </c>
      <c r="BK29" s="53" t="s">
        <v>73</v>
      </c>
      <c r="BL29" s="53" t="s">
        <v>74</v>
      </c>
      <c r="BM29" s="53" t="s">
        <v>75</v>
      </c>
      <c r="BN29" s="53" t="s">
        <v>76</v>
      </c>
      <c r="BO29" s="53" t="s">
        <v>77</v>
      </c>
      <c r="BP29" s="53" t="s">
        <v>78</v>
      </c>
      <c r="BQ29" s="53" t="s">
        <v>79</v>
      </c>
      <c r="BR29" s="53" t="s">
        <v>80</v>
      </c>
      <c r="BS29" s="53" t="s">
        <v>81</v>
      </c>
      <c r="BT29" s="53" t="s">
        <v>82</v>
      </c>
      <c r="BU29" s="53" t="s">
        <v>83</v>
      </c>
      <c r="BV29" s="53" t="s">
        <v>84</v>
      </c>
      <c r="BW29" s="54" t="s">
        <v>85</v>
      </c>
      <c r="BX29" s="54" t="s">
        <v>86</v>
      </c>
      <c r="BY29" s="53" t="s">
        <v>87</v>
      </c>
      <c r="BZ29" s="53" t="s">
        <v>88</v>
      </c>
      <c r="CA29" s="53" t="s">
        <v>89</v>
      </c>
      <c r="CB29" s="53" t="s">
        <v>90</v>
      </c>
      <c r="CC29" s="53" t="s">
        <v>91</v>
      </c>
      <c r="CD29" s="53" t="s">
        <v>92</v>
      </c>
      <c r="CE29" s="53" t="s">
        <v>93</v>
      </c>
      <c r="CF29" s="53" t="s">
        <v>94</v>
      </c>
      <c r="CG29" s="53" t="s">
        <v>95</v>
      </c>
      <c r="CH29" s="53" t="s">
        <v>96</v>
      </c>
      <c r="CI29" s="53" t="s">
        <v>97</v>
      </c>
      <c r="CJ29" s="53" t="s">
        <v>98</v>
      </c>
      <c r="CK29" s="53" t="s">
        <v>99</v>
      </c>
      <c r="CL29" s="53" t="s">
        <v>100</v>
      </c>
      <c r="CM29" s="53" t="s">
        <v>101</v>
      </c>
      <c r="CN29" s="53" t="s">
        <v>102</v>
      </c>
      <c r="CO29" s="53" t="s">
        <v>103</v>
      </c>
      <c r="CP29" s="53" t="s">
        <v>104</v>
      </c>
      <c r="CQ29" s="53" t="s">
        <v>105</v>
      </c>
      <c r="CR29" s="53" t="s">
        <v>106</v>
      </c>
      <c r="CS29" s="54" t="s">
        <v>107</v>
      </c>
      <c r="CT29" s="54" t="s">
        <v>108</v>
      </c>
      <c r="CU29" s="53" t="s">
        <v>109</v>
      </c>
      <c r="CV29" s="53" t="s">
        <v>110</v>
      </c>
      <c r="CW29" s="53" t="s">
        <v>111</v>
      </c>
      <c r="CX29" s="53" t="s">
        <v>112</v>
      </c>
      <c r="CY29" s="53" t="s">
        <v>113</v>
      </c>
      <c r="CZ29" s="53" t="s">
        <v>114</v>
      </c>
      <c r="DA29" s="53" t="s">
        <v>115</v>
      </c>
      <c r="DB29" s="53" t="s">
        <v>116</v>
      </c>
      <c r="DC29" s="53" t="s">
        <v>117</v>
      </c>
      <c r="DD29" s="53" t="s">
        <v>118</v>
      </c>
      <c r="DE29" s="53" t="s">
        <v>119</v>
      </c>
      <c r="DF29" s="53" t="s">
        <v>120</v>
      </c>
      <c r="DG29" s="53" t="s">
        <v>121</v>
      </c>
      <c r="DH29" s="53" t="s">
        <v>122</v>
      </c>
      <c r="DI29" s="53" t="s">
        <v>123</v>
      </c>
      <c r="DJ29" s="54" t="s">
        <v>124</v>
      </c>
      <c r="DK29" s="53" t="s">
        <v>125</v>
      </c>
      <c r="DL29" s="53" t="s">
        <v>126</v>
      </c>
      <c r="DM29" s="53" t="s">
        <v>127</v>
      </c>
      <c r="DN29" s="53" t="s">
        <v>128</v>
      </c>
      <c r="DO29" s="53" t="s">
        <v>129</v>
      </c>
      <c r="DP29" s="53" t="s">
        <v>130</v>
      </c>
      <c r="DQ29" s="53" t="s">
        <v>131</v>
      </c>
      <c r="DR29" s="53" t="s">
        <v>132</v>
      </c>
      <c r="DS29" s="53" t="s">
        <v>133</v>
      </c>
      <c r="DT29" s="53" t="s">
        <v>134</v>
      </c>
      <c r="DU29" s="54" t="s">
        <v>135</v>
      </c>
      <c r="DV29" s="53" t="s">
        <v>136</v>
      </c>
      <c r="DW29" s="53" t="s">
        <v>137</v>
      </c>
      <c r="DX29" s="53" t="s">
        <v>138</v>
      </c>
      <c r="DY29" s="53" t="s">
        <v>139</v>
      </c>
      <c r="DZ29" s="53" t="s">
        <v>140</v>
      </c>
      <c r="EA29" s="54" t="s">
        <v>141</v>
      </c>
      <c r="EB29" s="54" t="s">
        <v>142</v>
      </c>
      <c r="EC29" s="54" t="s">
        <v>143</v>
      </c>
      <c r="ED29" s="54" t="s">
        <v>144</v>
      </c>
      <c r="EE29" s="54" t="s">
        <v>145</v>
      </c>
      <c r="EF29" s="54" t="s">
        <v>146</v>
      </c>
      <c r="EG29" s="54" t="s">
        <v>147</v>
      </c>
      <c r="EH29" s="54" t="s">
        <v>148</v>
      </c>
      <c r="EI29" s="54" t="s">
        <v>149</v>
      </c>
      <c r="EJ29" s="54" t="s">
        <v>150</v>
      </c>
      <c r="EK29" s="55" t="s">
        <v>151</v>
      </c>
    </row>
    <row r="30">
      <c r="A30" s="56" t="s">
        <v>152</v>
      </c>
      <c r="B30" s="57">
        <f>sumifs('Form responses'!G2:G53,'Form responses'!$C$2:$C53,"&gt;="&amp;$E$28,'Form responses'!$C$2:$C53,"&lt;="&amp;$G$28,'Form responses'!$D$2:$D53,$C$28)</f>
        <v>0</v>
      </c>
      <c r="C30" s="57">
        <f>sumifs('Form responses'!H2:H53,'Form responses'!$C$2:$C53,"&gt;="&amp;$E$28,'Form responses'!$C$2:$C53,"&lt;="&amp;$G$28,'Form responses'!$D$2:$D53,$C$28)</f>
        <v>0</v>
      </c>
      <c r="D30" s="57">
        <f>sumifs('Form responses'!I2:I53,'Form responses'!$C$2:$C53,"&gt;="&amp;$E$28,'Form responses'!$C$2:$C53,"&lt;="&amp;$G$28,'Form responses'!$D$2:$D53,$C$28)</f>
        <v>0</v>
      </c>
      <c r="E30" s="57">
        <f>sumifs('Form responses'!J2:J53,'Form responses'!$C$2:$C53,"&gt;="&amp;$E$28,'Form responses'!$C$2:$C53,"&lt;="&amp;$G$28,'Form responses'!$D$2:$D53,$C$28)</f>
        <v>0</v>
      </c>
      <c r="F30" s="57">
        <f>sumifs('Form responses'!K2:K53,'Form responses'!$C$2:$C53,"&gt;="&amp;$E$28,'Form responses'!$C$2:$C53,"&lt;="&amp;$G$28,'Form responses'!$D$2:$D53,$C$28)</f>
        <v>0</v>
      </c>
      <c r="G30" s="57">
        <f>sumifs('Form responses'!L2:L53,'Form responses'!$C$2:$C53,"&gt;="&amp;$E$28,'Form responses'!$C$2:$C53,"&lt;="&amp;$G$28,'Form responses'!$D$2:$D53,$C$28)</f>
        <v>0</v>
      </c>
      <c r="H30" s="57">
        <f>sumifs('Form responses'!M2:M53,'Form responses'!$C$2:$C53,"&gt;="&amp;$E$28,'Form responses'!$C$2:$C53,"&lt;="&amp;$G$28,'Form responses'!$D$2:$D53,$C$28)</f>
        <v>0</v>
      </c>
      <c r="I30" s="57">
        <f>sumifs('Form responses'!N2:N53,'Form responses'!$C$2:$C53,"&gt;="&amp;$E$28,'Form responses'!$C$2:$C53,"&lt;="&amp;$G$28,'Form responses'!$D$2:$D53,$C$28)</f>
        <v>0</v>
      </c>
      <c r="J30" s="57">
        <f>sumifs('Form responses'!O2:O53,'Form responses'!$C$2:$C53,"&gt;="&amp;$E$28,'Form responses'!$C$2:$C53,"&lt;="&amp;$G$28,'Form responses'!$D$2:$D53,$C$28)</f>
        <v>0</v>
      </c>
      <c r="K30" s="57">
        <f>sumifs('Form responses'!P2:P53,'Form responses'!$C$2:$C53,"&gt;="&amp;$E$28,'Form responses'!$C$2:$C53,"&lt;="&amp;$G$28,'Form responses'!$D$2:$D53,$C$28)</f>
        <v>0</v>
      </c>
      <c r="L30" s="57">
        <f>sumifs('Form responses'!Q2:Q53,'Form responses'!$C$2:$C53,"&gt;="&amp;$E$28,'Form responses'!$C$2:$C53,"&lt;="&amp;$G$28,'Form responses'!$D$2:$D53,$C$28)</f>
        <v>0</v>
      </c>
      <c r="M30" s="57">
        <f>sumifs('Form responses'!R2:R53,'Form responses'!$C$2:$C53,"&gt;="&amp;$E$28,'Form responses'!$C$2:$C53,"&lt;="&amp;$G$28,'Form responses'!$D$2:$D53,$C$28)</f>
        <v>0</v>
      </c>
      <c r="N30" s="57">
        <f>sumifs('Form responses'!S2:S53,'Form responses'!$C$2:$C53,"&gt;="&amp;$E$28,'Form responses'!$C$2:$C53,"&lt;="&amp;$G$28,'Form responses'!$D$2:$D53,$C$28)</f>
        <v>0</v>
      </c>
      <c r="O30" s="57">
        <f>sumifs('Form responses'!T2:T53,'Form responses'!$C$2:$C53,"&gt;="&amp;$E$28,'Form responses'!$C$2:$C53,"&lt;="&amp;$G$28,'Form responses'!$D$2:$D53,$C$28)</f>
        <v>0</v>
      </c>
      <c r="P30" s="57">
        <f>sumifs('Form responses'!U2:U53,'Form responses'!$C$2:$C53,"&gt;="&amp;$E$28,'Form responses'!$C$2:$C53,"&lt;="&amp;$G$28,'Form responses'!$D$2:$D53,$C$28)</f>
        <v>0</v>
      </c>
      <c r="Q30" s="57">
        <f>sumifs('Form responses'!V2:V53,'Form responses'!$C$2:$C53,"&gt;="&amp;$E$28,'Form responses'!$C$2:$C53,"&lt;="&amp;$G$28,'Form responses'!$D$2:$D53,$C$28)</f>
        <v>0</v>
      </c>
      <c r="R30" s="57">
        <f>sumifs('Form responses'!W2:W53,'Form responses'!$C$2:$C53,"&gt;="&amp;$E$28,'Form responses'!$C$2:$C53,"&lt;="&amp;$G$28,'Form responses'!$D$2:$D53,$C$28)</f>
        <v>0</v>
      </c>
      <c r="S30" s="57">
        <f>sumifs('Form responses'!X2:X53,'Form responses'!$C$2:$C53,"&gt;="&amp;$E$28,'Form responses'!$C$2:$C53,"&lt;="&amp;$G$28,'Form responses'!$D$2:$D53,$C$28)</f>
        <v>0</v>
      </c>
      <c r="T30" s="57">
        <f>sumifs('Form responses'!Y2:Y53,'Form responses'!$C$2:$C53,"&gt;="&amp;$E$28,'Form responses'!$C$2:$C53,"&lt;="&amp;$G$28,'Form responses'!$D$2:$D53,$C$28)</f>
        <v>0</v>
      </c>
      <c r="U30" s="57">
        <f>sumifs('Form responses'!Z2:Z53,'Form responses'!$C$2:$C53,"&gt;="&amp;$E$28,'Form responses'!$C$2:$C53,"&lt;="&amp;$G$28,'Form responses'!$D$2:$D53,$C$28)</f>
        <v>0</v>
      </c>
      <c r="V30" s="57">
        <f>sumifs('Form responses'!AA2:AA53,'Form responses'!$C$2:$C53,"&gt;="&amp;$E$28,'Form responses'!$C$2:$C53,"&lt;="&amp;$G$28,'Form responses'!$D$2:$D53,$C$28)</f>
        <v>0</v>
      </c>
      <c r="W30" s="57">
        <f>sumifs('Form responses'!AB2:AB53,'Form responses'!$C$2:$C53,"&gt;="&amp;$E$28,'Form responses'!$C$2:$C53,"&lt;="&amp;$G$28,'Form responses'!$D$2:$D53,$C$28)</f>
        <v>0</v>
      </c>
      <c r="X30" s="57">
        <f>sumifs('Form responses'!AC2:AC53,'Form responses'!$C$2:$C53,"&gt;="&amp;$E$28,'Form responses'!$C$2:$C53,"&lt;="&amp;$G$28,'Form responses'!$D$2:$D53,$C$28)</f>
        <v>0</v>
      </c>
      <c r="Y30" s="57">
        <f>sumifs('Form responses'!AD2:AD53,'Form responses'!$C$2:$C53,"&gt;="&amp;$E$28,'Form responses'!$C$2:$C53,"&lt;="&amp;$G$28,'Form responses'!$D$2:$D53,$C$28)</f>
        <v>0</v>
      </c>
      <c r="Z30" s="57">
        <f>sumifs('Form responses'!AE2:AE53,'Form responses'!$C$2:$C53,"&gt;="&amp;$E$28,'Form responses'!$C$2:$C53,"&lt;="&amp;$G$28,'Form responses'!$D$2:$D53,$C$28)</f>
        <v>0</v>
      </c>
      <c r="AA30" s="57">
        <f>sumifs('Form responses'!AF2:AF53,'Form responses'!$C$2:$C53,"&gt;="&amp;$E$28,'Form responses'!$C$2:$C53,"&lt;="&amp;$G$28,'Form responses'!$D$2:$D53,$C$28)</f>
        <v>0</v>
      </c>
      <c r="AB30" s="57">
        <f>sumifs('Form responses'!AG2:AG53,'Form responses'!$C$2:$C53,"&gt;="&amp;$E$28,'Form responses'!$C$2:$C53,"&lt;="&amp;$G$28,'Form responses'!$D$2:$D53,$C$28)</f>
        <v>0</v>
      </c>
      <c r="AC30" s="57">
        <f>sumifs('Form responses'!AH2:AH53,'Form responses'!$C$2:$C53,"&gt;="&amp;$E$28,'Form responses'!$C$2:$C53,"&lt;="&amp;$G$28,'Form responses'!$D$2:$D53,$C$28)</f>
        <v>0</v>
      </c>
      <c r="AD30" s="57">
        <f>sumifs('Form responses'!AI2:AI53,'Form responses'!$C$2:$C53,"&gt;="&amp;$E$28,'Form responses'!$C$2:$C53,"&lt;="&amp;$G$28,'Form responses'!$D$2:$D53,$C$28)</f>
        <v>0</v>
      </c>
      <c r="AE30" s="57">
        <f>sumifs('Form responses'!AJ2:AJ53,'Form responses'!$C$2:$C53,"&gt;="&amp;$E$28,'Form responses'!$C$2:$C53,"&lt;="&amp;$G$28,'Form responses'!$D$2:$D53,$C$28)</f>
        <v>0</v>
      </c>
      <c r="AF30" s="57">
        <f>sumifs('Form responses'!AK2:AK53,'Form responses'!$C$2:$C53,"&gt;="&amp;$E$28,'Form responses'!$C$2:$C53,"&lt;="&amp;$G$28,'Form responses'!$D$2:$D53,$C$28)</f>
        <v>0</v>
      </c>
      <c r="AG30" s="57">
        <f>sumifs('Form responses'!AL2:AL53,'Form responses'!$C$2:$C53,"&gt;="&amp;$E$28,'Form responses'!$C$2:$C53,"&lt;="&amp;$G$28,'Form responses'!$D$2:$D53,$C$28)</f>
        <v>0</v>
      </c>
      <c r="AH30" s="57">
        <f>sumifs('Form responses'!AM2:AM53,'Form responses'!$C$2:$C53,"&gt;="&amp;$E$28,'Form responses'!$C$2:$C53,"&lt;="&amp;$G$28,'Form responses'!$D$2:$D53,$C$28)</f>
        <v>0</v>
      </c>
      <c r="AI30" s="57">
        <f>sumifs('Form responses'!AN2:AN53,'Form responses'!$C$2:$C53,"&gt;="&amp;$E$28,'Form responses'!$C$2:$C53,"&lt;="&amp;$G$28,'Form responses'!$D$2:$D53,$C$28)</f>
        <v>0</v>
      </c>
      <c r="AJ30" s="57">
        <f>sumifs('Form responses'!AO2:AO53,'Form responses'!$C$2:$C53,"&gt;="&amp;$E$28,'Form responses'!$C$2:$C53,"&lt;="&amp;$G$28,'Form responses'!$D$2:$D53,$C$28)</f>
        <v>0</v>
      </c>
      <c r="AK30" s="57">
        <f>sumifs('Form responses'!AP2:AP53,'Form responses'!$C$2:$C53,"&gt;="&amp;$E$28,'Form responses'!$C$2:$C53,"&lt;="&amp;$G$28,'Form responses'!$D$2:$D53,$C$28)</f>
        <v>0</v>
      </c>
      <c r="AL30" s="57">
        <f>sumifs('Form responses'!AQ2:AQ53,'Form responses'!$C$2:$C53,"&gt;="&amp;$E$28,'Form responses'!$C$2:$C53,"&lt;="&amp;$G$28,'Form responses'!$D$2:$D53,$C$28)</f>
        <v>0</v>
      </c>
      <c r="AM30" s="57">
        <f>sumifs('Form responses'!AR2:AR53,'Form responses'!$C$2:$C53,"&gt;="&amp;$E$28,'Form responses'!$C$2:$C53,"&lt;="&amp;$G$28,'Form responses'!$D$2:$D53,$C$28)</f>
        <v>0</v>
      </c>
      <c r="AN30" s="57">
        <f>sumifs('Form responses'!AS2:AS53,'Form responses'!$C$2:$C53,"&gt;="&amp;$E$28,'Form responses'!$C$2:$C53,"&lt;="&amp;$G$28,'Form responses'!$D$2:$D53,$C$28)</f>
        <v>0</v>
      </c>
      <c r="AO30" s="57">
        <f>sumifs('Form responses'!AT2:AT53,'Form responses'!$C$2:$C53,"&gt;="&amp;$E$28,'Form responses'!$C$2:$C53,"&lt;="&amp;$G$28,'Form responses'!$D$2:$D53,$C$28)</f>
        <v>0</v>
      </c>
      <c r="AP30" s="65">
        <v>0.0</v>
      </c>
      <c r="AQ30" s="57">
        <f>sumifs('Form responses'!AV2:AV53,'Form responses'!$C$2:$C53,"&gt;="&amp;$E$28,'Form responses'!$C$2:$C53,"&lt;="&amp;$G$28,'Form responses'!$D$2:$D53,$C$28)</f>
        <v>0</v>
      </c>
      <c r="AR30" s="57">
        <f>sumifs('Form responses'!AW2:AW53,'Form responses'!$C$2:$C53,"&gt;="&amp;$E$28,'Form responses'!$C$2:$C53,"&lt;="&amp;$G$28,'Form responses'!$D$2:$D53,$C$28)</f>
        <v>0</v>
      </c>
      <c r="AS30" s="57">
        <f>sumifs('Form responses'!AX2:AX53,'Form responses'!$C$2:$C53,"&gt;="&amp;$E$28,'Form responses'!$C$2:$C53,"&lt;="&amp;$G$28,'Form responses'!$D$2:$D53,$C$28)</f>
        <v>0</v>
      </c>
      <c r="AT30" s="57">
        <f>sumifs('Form responses'!AY2:AY53,'Form responses'!$C$2:$C53,"&gt;="&amp;$E$28,'Form responses'!$C$2:$C53,"&lt;="&amp;$G$28,'Form responses'!$D$2:$D53,$C$28)</f>
        <v>0</v>
      </c>
      <c r="AU30" s="57">
        <f>sumifs('Form responses'!AZ2:AZ53,'Form responses'!$C$2:$C53,"&gt;="&amp;$E$28,'Form responses'!$C$2:$C53,"&lt;="&amp;$G$28,'Form responses'!$D$2:$D53,$C$28)</f>
        <v>0</v>
      </c>
      <c r="AV30" s="57">
        <f>sumifs('Form responses'!BA2:BA53,'Form responses'!$C$2:$C53,"&gt;="&amp;$E$28,'Form responses'!$C$2:$C53,"&lt;="&amp;$G$28,'Form responses'!$D$2:$D53,$C$28)</f>
        <v>0</v>
      </c>
      <c r="AW30" s="57">
        <f>sumifs('Form responses'!BB2:BB53,'Form responses'!$C$2:$C53,"&gt;="&amp;$E$28,'Form responses'!$C$2:$C53,"&lt;="&amp;$G$28,'Form responses'!$D$2:$D53,$C$28)</f>
        <v>0</v>
      </c>
      <c r="AX30" s="57">
        <f>sumifs('Form responses'!BC2:BC53,'Form responses'!$C$2:$C53,"&gt;="&amp;$E$28,'Form responses'!$C$2:$C53,"&lt;="&amp;$G$28,'Form responses'!$D$2:$D53,$C$28)</f>
        <v>0</v>
      </c>
      <c r="AY30" s="57">
        <f>sumifs('Form responses'!BD2:BD53,'Form responses'!$C$2:$C53,"&gt;="&amp;$E$28,'Form responses'!$C$2:$C53,"&lt;="&amp;$G$28,'Form responses'!$D$2:$D53,$C$28)</f>
        <v>0</v>
      </c>
      <c r="AZ30" s="57">
        <f>sumifs('Form responses'!BE2:BE53,'Form responses'!$C$2:$C53,"&gt;="&amp;$E$28,'Form responses'!$C$2:$C53,"&lt;="&amp;$G$28,'Form responses'!$D$2:$D53,$C$28)</f>
        <v>0</v>
      </c>
      <c r="BA30" s="57">
        <f>sumifs('Form responses'!BF2:BF53,'Form responses'!$C$2:$C53,"&gt;="&amp;$E$28,'Form responses'!$C$2:$C53,"&lt;="&amp;$G$28,'Form responses'!$D$2:$D53,$C$28)</f>
        <v>0</v>
      </c>
      <c r="BB30" s="57">
        <f>sumifs('Form responses'!BG2:BG53,'Form responses'!$C$2:$C53,"&gt;="&amp;$E$28,'Form responses'!$C$2:$C53,"&lt;="&amp;$G$28,'Form responses'!$D$2:$D53,$C$28)</f>
        <v>0</v>
      </c>
      <c r="BC30" s="57">
        <f>sumifs('Form responses'!BH2:BH53,'Form responses'!$C$2:$C53,"&gt;="&amp;$E$28,'Form responses'!$C$2:$C53,"&lt;="&amp;$G$28,'Form responses'!$D$2:$D53,$C$28)</f>
        <v>0</v>
      </c>
      <c r="BD30" s="57">
        <f>sumifs('Form responses'!BI2:BI53,'Form responses'!$C$2:$C53,"&gt;="&amp;$E$28,'Form responses'!$C$2:$C53,"&lt;="&amp;$G$28,'Form responses'!$D$2:$D53,$C$28)</f>
        <v>0</v>
      </c>
      <c r="BE30" s="57">
        <f>sumifs('Form responses'!BJ2:BJ53,'Form responses'!$C$2:$C53,"&gt;="&amp;$E$28,'Form responses'!$C$2:$C53,"&lt;="&amp;$G$28,'Form responses'!$D$2:$D53,$C$28)</f>
        <v>0</v>
      </c>
      <c r="BF30" s="57">
        <f>sumifs('Form responses'!BK2:BK53,'Form responses'!$C$2:$C53,"&gt;="&amp;$E$28,'Form responses'!$C$2:$C53,"&lt;="&amp;$G$28,'Form responses'!$D$2:$D53,$C$28)</f>
        <v>0</v>
      </c>
      <c r="BG30" s="57">
        <f>sumifs('Form responses'!BL2:BL53,'Form responses'!$C$2:$C53,"&gt;="&amp;$E$28,'Form responses'!$C$2:$C53,"&lt;="&amp;$G$28,'Form responses'!$D$2:$D53,$C$28)</f>
        <v>0</v>
      </c>
      <c r="BH30" s="57">
        <f>sumifs('Form responses'!BM2:BM53,'Form responses'!$C$2:$C53,"&gt;="&amp;$E$28,'Form responses'!$C$2:$C53,"&lt;="&amp;$G$28,'Form responses'!$D$2:$D53,$C$28)</f>
        <v>0</v>
      </c>
      <c r="BI30" s="57">
        <f>sumifs('Form responses'!BN2:BN53,'Form responses'!$C$2:$C53,"&gt;="&amp;$E$28,'Form responses'!$C$2:$C53,"&lt;="&amp;$G$28,'Form responses'!$D$2:$D53,$C$28)</f>
        <v>0</v>
      </c>
      <c r="BJ30" s="57">
        <f>sumifs('Form responses'!BO2:BO53,'Form responses'!$C$2:$C53,"&gt;="&amp;$E$28,'Form responses'!$C$2:$C53,"&lt;="&amp;$G$28,'Form responses'!$D$2:$D53,$C$28)</f>
        <v>0</v>
      </c>
      <c r="BK30" s="57">
        <f>sumifs('Form responses'!BP2:BP53,'Form responses'!$C$2:$C53,"&gt;="&amp;$E$28,'Form responses'!$C$2:$C53,"&lt;="&amp;$G$28,'Form responses'!$D$2:$D53,$C$28)</f>
        <v>0</v>
      </c>
      <c r="BL30" s="57">
        <f>sumifs('Form responses'!BQ2:BQ53,'Form responses'!$C$2:$C53,"&gt;="&amp;$E$28,'Form responses'!$C$2:$C53,"&lt;="&amp;$G$28,'Form responses'!$D$2:$D53,$C$28)</f>
        <v>0</v>
      </c>
      <c r="BM30" s="57">
        <f>sumifs('Form responses'!BR2:BR53,'Form responses'!$C$2:$C53,"&gt;="&amp;$E$28,'Form responses'!$C$2:$C53,"&lt;="&amp;$G$28,'Form responses'!$D$2:$D53,$C$28)</f>
        <v>0</v>
      </c>
      <c r="BN30" s="57">
        <f>sumifs('Form responses'!BS2:BS53,'Form responses'!$C$2:$C53,"&gt;="&amp;$E$28,'Form responses'!$C$2:$C53,"&lt;="&amp;$G$28,'Form responses'!$D$2:$D53,$C$28)</f>
        <v>0</v>
      </c>
      <c r="BO30" s="57">
        <f>sumifs('Form responses'!BT2:BT53,'Form responses'!$C$2:$C53,"&gt;="&amp;$E$28,'Form responses'!$C$2:$C53,"&lt;="&amp;$G$28,'Form responses'!$D$2:$D53,$C$28)</f>
        <v>0</v>
      </c>
      <c r="BP30" s="57">
        <f>sumifs('Form responses'!BU2:BU53,'Form responses'!$C$2:$C53,"&gt;="&amp;$E$28,'Form responses'!$C$2:$C53,"&lt;="&amp;$G$28,'Form responses'!$D$2:$D53,$C$28)</f>
        <v>0</v>
      </c>
      <c r="BQ30" s="57">
        <f>sumifs('Form responses'!BV2:BV53,'Form responses'!$C$2:$C53,"&gt;="&amp;$E$28,'Form responses'!$C$2:$C53,"&lt;="&amp;$G$28,'Form responses'!$D$2:$D53,$C$28)</f>
        <v>0</v>
      </c>
      <c r="BR30" s="57">
        <f>sumifs('Form responses'!BW2:BW53,'Form responses'!$C$2:$C53,"&gt;="&amp;$E$28,'Form responses'!$C$2:$C53,"&lt;="&amp;$G$28,'Form responses'!$D$2:$D53,$C$28)</f>
        <v>0</v>
      </c>
      <c r="BS30" s="57">
        <f>sumifs('Form responses'!BX2:BX53,'Form responses'!$C$2:$C53,"&gt;="&amp;$E$28,'Form responses'!$C$2:$C53,"&lt;="&amp;$G$28,'Form responses'!$D$2:$D53,$C$28)</f>
        <v>0</v>
      </c>
      <c r="BT30" s="57">
        <f>sumifs('Form responses'!BY2:BY53,'Form responses'!$C$2:$C53,"&gt;="&amp;$E$28,'Form responses'!$C$2:$C53,"&lt;="&amp;$G$28,'Form responses'!$D$2:$D53,$C$28)</f>
        <v>0</v>
      </c>
      <c r="BU30" s="57">
        <f>sumifs('Form responses'!BZ2:BZ53,'Form responses'!$C$2:$C53,"&gt;="&amp;$E$28,'Form responses'!$C$2:$C53,"&lt;="&amp;$G$28,'Form responses'!$D$2:$D53,$C$28)</f>
        <v>0</v>
      </c>
      <c r="BV30" s="57">
        <f>sumifs('Form responses'!CA2:CA53,'Form responses'!$C$2:$C53,"&gt;="&amp;$E$28,'Form responses'!$C$2:$C53,"&lt;="&amp;$G$28,'Form responses'!$D$2:$D53,$C$28)</f>
        <v>0</v>
      </c>
      <c r="BW30" s="57">
        <f>sumifs('Form responses'!CB2:CB53,'Form responses'!$C$2:$C53,"&gt;="&amp;$E$28,'Form responses'!$C$2:$C53,"&lt;="&amp;$G$28,'Form responses'!$D$2:$D53,$C$28)</f>
        <v>0</v>
      </c>
      <c r="BX30" s="57">
        <f>sumifs('Form responses'!CC2:CC53,'Form responses'!$C$2:$C53,"&gt;="&amp;$E$28,'Form responses'!$C$2:$C53,"&lt;="&amp;$G$28,'Form responses'!$D$2:$D53,$C$28)</f>
        <v>0</v>
      </c>
      <c r="BY30" s="57">
        <f>sumifs('Form responses'!CD2:CD53,'Form responses'!$C$2:$C53,"&gt;="&amp;$E$28,'Form responses'!$C$2:$C53,"&lt;="&amp;$G$28,'Form responses'!$D$2:$D53,$C$28)</f>
        <v>0</v>
      </c>
      <c r="BZ30" s="57">
        <f>sumifs('Form responses'!CE2:CE53,'Form responses'!$C$2:$C53,"&gt;="&amp;$E$28,'Form responses'!$C$2:$C53,"&lt;="&amp;$G$28,'Form responses'!$D$2:$D53,$C$28)</f>
        <v>0</v>
      </c>
      <c r="CA30" s="57">
        <f>sumifs('Form responses'!CF2:CF53,'Form responses'!$C$2:$C53,"&gt;="&amp;$E$28,'Form responses'!$C$2:$C53,"&lt;="&amp;$G$28,'Form responses'!$D$2:$D53,$C$28)</f>
        <v>0</v>
      </c>
      <c r="CB30" s="57">
        <f>sumifs('Form responses'!CG2:CG53,'Form responses'!$C$2:$C53,"&gt;="&amp;$E$28,'Form responses'!$C$2:$C53,"&lt;="&amp;$G$28,'Form responses'!$D$2:$D53,$C$28)</f>
        <v>0</v>
      </c>
      <c r="CC30" s="57">
        <f>sumifs('Form responses'!CH2:CH53,'Form responses'!$C$2:$C53,"&gt;="&amp;$E$28,'Form responses'!$C$2:$C53,"&lt;="&amp;$G$28,'Form responses'!$D$2:$D53,$C$28)</f>
        <v>0</v>
      </c>
      <c r="CD30" s="57">
        <f>sumifs('Form responses'!CI2:CI53,'Form responses'!$C$2:$C53,"&gt;="&amp;$E$28,'Form responses'!$C$2:$C53,"&lt;="&amp;$G$28,'Form responses'!$D$2:$D53,$C$28)</f>
        <v>0</v>
      </c>
      <c r="CE30" s="57">
        <f>sumifs('Form responses'!CJ2:CJ53,'Form responses'!$C$2:$C53,"&gt;="&amp;$E$28,'Form responses'!$C$2:$C53,"&lt;="&amp;$G$28,'Form responses'!$D$2:$D53,$C$28)</f>
        <v>0</v>
      </c>
      <c r="CF30" s="57">
        <f>sumifs('Form responses'!CK2:CK53,'Form responses'!$C$2:$C53,"&gt;="&amp;$E$28,'Form responses'!$C$2:$C53,"&lt;="&amp;$G$28,'Form responses'!$D$2:$D53,$C$28)</f>
        <v>0</v>
      </c>
      <c r="CG30" s="57">
        <f>sumifs('Form responses'!CL2:CL53,'Form responses'!$C$2:$C53,"&gt;="&amp;$E$28,'Form responses'!$C$2:$C53,"&lt;="&amp;$G$28,'Form responses'!$D$2:$D53,$C$28)</f>
        <v>0</v>
      </c>
      <c r="CH30" s="57">
        <f>sumifs('Form responses'!CM2:CM53,'Form responses'!$C$2:$C53,"&gt;="&amp;$E$28,'Form responses'!$C$2:$C53,"&lt;="&amp;$G$28,'Form responses'!$D$2:$D53,$C$28)</f>
        <v>0</v>
      </c>
      <c r="CI30" s="57">
        <f>sumifs('Form responses'!CN2:CN53,'Form responses'!$C$2:$C53,"&gt;="&amp;$E$28,'Form responses'!$C$2:$C53,"&lt;="&amp;$G$28,'Form responses'!$D$2:$D53,$C$28)</f>
        <v>0</v>
      </c>
      <c r="CJ30" s="57">
        <f>sumifs('Form responses'!CO2:CO53,'Form responses'!$C$2:$C53,"&gt;="&amp;$E$28,'Form responses'!$C$2:$C53,"&lt;="&amp;$G$28,'Form responses'!$D$2:$D53,$C$28)</f>
        <v>0</v>
      </c>
      <c r="CK30" s="57">
        <f>sumifs('Form responses'!CP2:CP53,'Form responses'!$C$2:$C53,"&gt;="&amp;$E$28,'Form responses'!$C$2:$C53,"&lt;="&amp;$G$28,'Form responses'!$D$2:$D53,$C$28)</f>
        <v>0</v>
      </c>
      <c r="CL30" s="57">
        <f>sumifs('Form responses'!CQ2:CQ53,'Form responses'!$C$2:$C53,"&gt;="&amp;$E$28,'Form responses'!$C$2:$C53,"&lt;="&amp;$G$28,'Form responses'!$D$2:$D53,$C$28)</f>
        <v>0</v>
      </c>
      <c r="CM30" s="57">
        <f>sumifs('Form responses'!CR2:CR53,'Form responses'!$C$2:$C53,"&gt;="&amp;$E$28,'Form responses'!$C$2:$C53,"&lt;="&amp;$G$28,'Form responses'!$D$2:$D53,$C$28)</f>
        <v>0</v>
      </c>
      <c r="CN30" s="57">
        <f>sumifs('Form responses'!CS2:CS53,'Form responses'!$C$2:$C53,"&gt;="&amp;$E$28,'Form responses'!$C$2:$C53,"&lt;="&amp;$G$28,'Form responses'!$D$2:$D53,$C$28)</f>
        <v>0</v>
      </c>
      <c r="CO30" s="57">
        <f>sumifs('Form responses'!CT2:CT53,'Form responses'!$C$2:$C53,"&gt;="&amp;$E$28,'Form responses'!$C$2:$C53,"&lt;="&amp;$G$28,'Form responses'!$D$2:$D53,$C$28)</f>
        <v>0</v>
      </c>
      <c r="CP30" s="57">
        <f>sumifs('Form responses'!CU2:CU53,'Form responses'!$C$2:$C53,"&gt;="&amp;$E$28,'Form responses'!$C$2:$C53,"&lt;="&amp;$G$28,'Form responses'!$D$2:$D53,$C$28)</f>
        <v>0</v>
      </c>
      <c r="CQ30" s="57">
        <f>sumifs('Form responses'!CV2:CV53,'Form responses'!$C$2:$C53,"&gt;="&amp;$E$28,'Form responses'!$C$2:$C53,"&lt;="&amp;$G$28,'Form responses'!$D$2:$D53,$C$28)</f>
        <v>0</v>
      </c>
      <c r="CR30" s="57">
        <f>sumifs('Form responses'!CW2:CW53,'Form responses'!$C$2:$C53,"&gt;="&amp;$E$28,'Form responses'!$C$2:$C53,"&lt;="&amp;$G$28,'Form responses'!$D$2:$D53,$C$28)</f>
        <v>0</v>
      </c>
      <c r="CS30" s="57">
        <f>sumifs('Form responses'!CX2:CX53,'Form responses'!$C$2:$C53,"&gt;="&amp;$E$28,'Form responses'!$C$2:$C53,"&lt;="&amp;$G$28,'Form responses'!$D$2:$D53,$C$28)</f>
        <v>0</v>
      </c>
      <c r="CT30" s="57">
        <f>sumifs('Form responses'!CY2:CY53,'Form responses'!$C$2:$C53,"&gt;="&amp;$E$28,'Form responses'!$C$2:$C53,"&lt;="&amp;$G$28,'Form responses'!$D$2:$D53,$C$28)</f>
        <v>0</v>
      </c>
      <c r="CU30" s="57">
        <f>sumifs('Form responses'!CZ2:CZ53,'Form responses'!$C$2:$C53,"&gt;="&amp;$E$28,'Form responses'!$C$2:$C53,"&lt;="&amp;$G$28,'Form responses'!$D$2:$D53,$C$28)</f>
        <v>0</v>
      </c>
      <c r="CV30" s="57">
        <f>sumifs('Form responses'!DA2:DA53,'Form responses'!$C$2:$C53,"&gt;="&amp;$E$28,'Form responses'!$C$2:$C53,"&lt;="&amp;$G$28,'Form responses'!$D$2:$D53,$C$28)</f>
        <v>0</v>
      </c>
      <c r="CW30" s="57">
        <f>sumifs('Form responses'!DB2:DB53,'Form responses'!$C$2:$C53,"&gt;="&amp;$E$28,'Form responses'!$C$2:$C53,"&lt;="&amp;$G$28,'Form responses'!$D$2:$D53,$C$28)</f>
        <v>0</v>
      </c>
      <c r="CX30" s="57">
        <f>sumifs('Form responses'!DC2:DC53,'Form responses'!$C$2:$C53,"&gt;="&amp;$E$28,'Form responses'!$C$2:$C53,"&lt;="&amp;$G$28,'Form responses'!$D$2:$D53,$C$28)</f>
        <v>0</v>
      </c>
      <c r="CY30" s="57">
        <f>sumifs('Form responses'!DD2:DD53,'Form responses'!$C$2:$C53,"&gt;="&amp;$E$28,'Form responses'!$C$2:$C53,"&lt;="&amp;$G$28,'Form responses'!$D$2:$D53,$C$28)</f>
        <v>0</v>
      </c>
      <c r="CZ30" s="57">
        <f>sumifs('Form responses'!DE2:DE53,'Form responses'!$C$2:$C53,"&gt;="&amp;$E$28,'Form responses'!$C$2:$C53,"&lt;="&amp;$G$28,'Form responses'!$D$2:$D53,$C$28)</f>
        <v>0</v>
      </c>
      <c r="DA30" s="57">
        <f>sumifs('Form responses'!DF2:DF53,'Form responses'!$C$2:$C53,"&gt;="&amp;$E$28,'Form responses'!$C$2:$C53,"&lt;="&amp;$G$28,'Form responses'!$D$2:$D53,$C$28)</f>
        <v>0</v>
      </c>
      <c r="DB30" s="57">
        <f>sumifs('Form responses'!DG2:DG53,'Form responses'!$C$2:$C53,"&gt;="&amp;$E$28,'Form responses'!$C$2:$C53,"&lt;="&amp;$G$28,'Form responses'!$D$2:$D53,$C$28)</f>
        <v>0</v>
      </c>
      <c r="DC30" s="57">
        <f>sumifs('Form responses'!DH2:DH53,'Form responses'!$C$2:$C53,"&gt;="&amp;$E$28,'Form responses'!$C$2:$C53,"&lt;="&amp;$G$28,'Form responses'!$D$2:$D53,$C$28)</f>
        <v>0</v>
      </c>
      <c r="DD30" s="57">
        <f>sumifs('Form responses'!DI2:DI53,'Form responses'!$C$2:$C53,"&gt;="&amp;$E$28,'Form responses'!$C$2:$C53,"&lt;="&amp;$G$28,'Form responses'!$D$2:$D53,$C$28)</f>
        <v>0</v>
      </c>
      <c r="DE30" s="57">
        <f>sumifs('Form responses'!DJ2:DJ53,'Form responses'!$C$2:$C53,"&gt;="&amp;$E$28,'Form responses'!$C$2:$C53,"&lt;="&amp;$G$28,'Form responses'!$D$2:$D53,$C$28)</f>
        <v>0</v>
      </c>
      <c r="DF30" s="57">
        <f>sumifs('Form responses'!DK2:DK53,'Form responses'!$C$2:$C53,"&gt;="&amp;$E$28,'Form responses'!$C$2:$C53,"&lt;="&amp;$G$28,'Form responses'!$D$2:$D53,$C$28)</f>
        <v>0</v>
      </c>
      <c r="DG30" s="57">
        <f>sumifs('Form responses'!DL2:DL53,'Form responses'!$C$2:$C53,"&gt;="&amp;$E$28,'Form responses'!$C$2:$C53,"&lt;="&amp;$G$28,'Form responses'!$D$2:$D53,$C$28)</f>
        <v>0</v>
      </c>
      <c r="DH30" s="57">
        <f>sumifs('Form responses'!DM2:DM53,'Form responses'!$C$2:$C53,"&gt;="&amp;$E$28,'Form responses'!$C$2:$C53,"&lt;="&amp;$G$28,'Form responses'!$D$2:$D53,$C$28)</f>
        <v>0</v>
      </c>
      <c r="DI30" s="57">
        <f>sumifs('Form responses'!DN2:DN53,'Form responses'!$C$2:$C53,"&gt;="&amp;$E$28,'Form responses'!$C$2:$C53,"&lt;="&amp;$G$28,'Form responses'!$D$2:$D53,$C$28)</f>
        <v>0</v>
      </c>
      <c r="DJ30" s="57">
        <f>sumifs('Form responses'!DO2:DO53,'Form responses'!$C$2:$C53,"&gt;="&amp;$E$28,'Form responses'!$C$2:$C53,"&lt;="&amp;$G$28,'Form responses'!$D$2:$D53,$C$28)</f>
        <v>0</v>
      </c>
      <c r="DK30" s="57">
        <f>sumifs('Form responses'!DP2:DP53,'Form responses'!$C$2:$C53,"&gt;="&amp;$E$28,'Form responses'!$C$2:$C53,"&lt;="&amp;$G$28,'Form responses'!$D$2:$D53,$C$28)</f>
        <v>0</v>
      </c>
      <c r="DL30" s="57">
        <f>sumifs('Form responses'!DQ2:DQ53,'Form responses'!$C$2:$C53,"&gt;="&amp;$E$28,'Form responses'!$C$2:$C53,"&lt;="&amp;$G$28,'Form responses'!$D$2:$D53,$C$28)</f>
        <v>0</v>
      </c>
      <c r="DM30" s="57">
        <f>sumifs('Form responses'!DR2:DR53,'Form responses'!$C$2:$C53,"&gt;="&amp;$E$28,'Form responses'!$C$2:$C53,"&lt;="&amp;$G$28,'Form responses'!$D$2:$D53,$C$28)</f>
        <v>0</v>
      </c>
      <c r="DN30" s="57">
        <f>sumifs('Form responses'!DS2:DS53,'Form responses'!$C$2:$C53,"&gt;="&amp;$E$28,'Form responses'!$C$2:$C53,"&lt;="&amp;$G$28,'Form responses'!$D$2:$D53,$C$28)</f>
        <v>0</v>
      </c>
      <c r="DO30" s="57">
        <f>sumifs('Form responses'!DT2:DT53,'Form responses'!$C$2:$C53,"&gt;="&amp;$E$28,'Form responses'!$C$2:$C53,"&lt;="&amp;$G$28,'Form responses'!$D$2:$D53,$C$28)</f>
        <v>0</v>
      </c>
      <c r="DP30" s="57">
        <f>sumifs('Form responses'!DU2:DU53,'Form responses'!$C$2:$C53,"&gt;="&amp;$E$28,'Form responses'!$C$2:$C53,"&lt;="&amp;$G$28,'Form responses'!$D$2:$D53,$C$28)</f>
        <v>0</v>
      </c>
      <c r="DQ30" s="57">
        <f>sumifs('Form responses'!DV2:DV53,'Form responses'!$C$2:$C53,"&gt;="&amp;$E$28,'Form responses'!$C$2:$C53,"&lt;="&amp;$G$28,'Form responses'!$D$2:$D53,$C$28)</f>
        <v>0</v>
      </c>
      <c r="DR30" s="57">
        <f>sumifs('Form responses'!DW2:DW53,'Form responses'!$C$2:$C53,"&gt;="&amp;$E$28,'Form responses'!$C$2:$C53,"&lt;="&amp;$G$28,'Form responses'!$D$2:$D53,$C$28)</f>
        <v>0</v>
      </c>
      <c r="DS30" s="57">
        <f>sumifs('Form responses'!DX2:DX53,'Form responses'!$C$2:$C53,"&gt;="&amp;$E$28,'Form responses'!$C$2:$C53,"&lt;="&amp;$G$28,'Form responses'!$D$2:$D53,$C$28)</f>
        <v>0</v>
      </c>
      <c r="DT30" s="57">
        <f>sumifs('Form responses'!DY2:DY53,'Form responses'!$C$2:$C53,"&gt;="&amp;$E$28,'Form responses'!$C$2:$C53,"&lt;="&amp;$G$28,'Form responses'!$D$2:$D53,$C$28)</f>
        <v>0</v>
      </c>
      <c r="DU30" s="57">
        <f>sumifs('Form responses'!DZ2:DZ53,'Form responses'!$C$2:$C53,"&gt;="&amp;$E$28,'Form responses'!$C$2:$C53,"&lt;="&amp;$G$28,'Form responses'!$D$2:$D53,$C$28)</f>
        <v>0</v>
      </c>
      <c r="DV30" s="57">
        <f>sumifs('Form responses'!EA2:EA53,'Form responses'!$C$2:$C53,"&gt;="&amp;$E$28,'Form responses'!$C$2:$C53,"&lt;="&amp;$G$28,'Form responses'!$D$2:$D53,$C$28)</f>
        <v>0</v>
      </c>
      <c r="DW30" s="57">
        <f>sumifs('Form responses'!EB2:EB53,'Form responses'!$C$2:$C53,"&gt;="&amp;$E$28,'Form responses'!$C$2:$C53,"&lt;="&amp;$G$28,'Form responses'!$D$2:$D53,$C$28)</f>
        <v>0</v>
      </c>
      <c r="DX30" s="57">
        <f>sumifs('Form responses'!EC2:EC53,'Form responses'!$C$2:$C53,"&gt;="&amp;$E$28,'Form responses'!$C$2:$C53,"&lt;="&amp;$G$28,'Form responses'!$D$2:$D53,$C$28)</f>
        <v>0</v>
      </c>
      <c r="DY30" s="57">
        <f>sumifs('Form responses'!ED2:ED53,'Form responses'!$C$2:$C53,"&gt;="&amp;$E$28,'Form responses'!$C$2:$C53,"&lt;="&amp;$G$28,'Form responses'!$D$2:$D53,$C$28)</f>
        <v>0</v>
      </c>
      <c r="DZ30" s="57">
        <f>sumifs('Form responses'!EE2:EE53,'Form responses'!$C$2:$C53,"&gt;="&amp;$E$28,'Form responses'!$C$2:$C53,"&lt;="&amp;$G$28,'Form responses'!$D$2:$D53,$C$28)</f>
        <v>0</v>
      </c>
      <c r="EA30" s="57">
        <f>sumifs('Form responses'!EF2:EF53,'Form responses'!$C$2:$C53,"&gt;="&amp;$E$28,'Form responses'!$C$2:$C53,"&lt;="&amp;$G$28,'Form responses'!$D$2:$D53,$C$28)</f>
        <v>0</v>
      </c>
      <c r="EB30" s="57">
        <f>sumifs('Form responses'!EG2:EG53,'Form responses'!$C$2:$C53,"&gt;="&amp;$E$28,'Form responses'!$C$2:$C53,"&lt;="&amp;$G$28,'Form responses'!$D$2:$D53,$C$28)</f>
        <v>0</v>
      </c>
      <c r="EC30" s="57">
        <f>sumifs('Form responses'!EH2:EH53,'Form responses'!$C$2:$C53,"&gt;="&amp;$E$28,'Form responses'!$C$2:$C53,"&lt;="&amp;$G$28,'Form responses'!$D$2:$D53,$C$28)</f>
        <v>0</v>
      </c>
      <c r="ED30" s="57">
        <f>sumifs('Form responses'!EI2:EI53,'Form responses'!$C$2:$C53,"&gt;="&amp;$E$28,'Form responses'!$C$2:$C53,"&lt;="&amp;$G$28,'Form responses'!$D$2:$D53,$C$28)</f>
        <v>0</v>
      </c>
      <c r="EE30" s="57">
        <f>sumifs('Form responses'!EJ2:EJ53,'Form responses'!$C$2:$C53,"&gt;="&amp;$E$28,'Form responses'!$C$2:$C53,"&lt;="&amp;$G$28,'Form responses'!$D$2:$D53,$C$28)</f>
        <v>0</v>
      </c>
      <c r="EF30" s="57">
        <f>sumifs('Form responses'!EK2:EK53,'Form responses'!$C$2:$C53,"&gt;="&amp;$E$28,'Form responses'!$C$2:$C53,"&lt;="&amp;$G$28,'Form responses'!$D$2:$D53,$C$28)</f>
        <v>0</v>
      </c>
      <c r="EG30" s="57">
        <f>sumifs('Form responses'!EL2:EL53,'Form responses'!$C$2:$C53,"&gt;="&amp;$E$28,'Form responses'!$C$2:$C53,"&lt;="&amp;$G$28,'Form responses'!$D$2:$D53,$C$28)</f>
        <v>0</v>
      </c>
      <c r="EH30" s="57">
        <f>sumifs('Form responses'!EM2:EM53,'Form responses'!$C$2:$C53,"&gt;="&amp;$E$28,'Form responses'!$C$2:$C53,"&lt;="&amp;$G$28,'Form responses'!$D$2:$D53,$C$28)</f>
        <v>0</v>
      </c>
      <c r="EI30" s="57">
        <f>sumifs('Form responses'!EN2:EN53,'Form responses'!$C$2:$C53,"&gt;="&amp;$E$28,'Form responses'!$C$2:$C53,"&lt;="&amp;$G$28,'Form responses'!$D$2:$D53,$C$28)</f>
        <v>0</v>
      </c>
      <c r="EJ30" s="57">
        <f>sumifs('Form responses'!EO2:EO53,'Form responses'!$C$2:$C53,"&gt;="&amp;$E$28,'Form responses'!$C$2:$C53,"&lt;="&amp;$G$28,'Form responses'!$D$2:$D53,$C$28)</f>
        <v>0</v>
      </c>
      <c r="EK30" s="57">
        <f>sumifs('Form responses'!EP2:EP53,'Form responses'!$C$2:$C53,"&gt;="&amp;$E$28,'Form responses'!$C$2:$C53,"&lt;="&amp;$G$28,'Form responses'!$D$2:$D53,$C$28)</f>
        <v>0</v>
      </c>
    </row>
    <row r="31">
      <c r="A31" s="56" t="s">
        <v>153</v>
      </c>
      <c r="B31" s="58">
        <f>sumifs('Form responses'!G2:G53,'Form responses'!$C$2:$C53,"&lt;="&amp;$G$28,'Form responses'!$C$2:$C53,"&gt;="&amp;Date(YEAR(DATE(YEAR($G$28),MONTH($G$28)+(-3),1)),4,1),'Form responses'!$D$2:$D53,$C$28)</f>
        <v>0</v>
      </c>
      <c r="C31" s="58">
        <f>sumifs('Form responses'!H2:H53,'Form responses'!$C$2:$C53,"&lt;="&amp;$G$28,'Form responses'!$C$2:$C53,"&gt;="&amp;Date(YEAR(DATE(YEAR($G$28),MONTH($G$28)+(-3),1)),4,1),'Form responses'!$D$2:$D53,$C$28)</f>
        <v>0</v>
      </c>
      <c r="D31" s="58">
        <f>sumifs('Form responses'!I2:I53,'Form responses'!$C$2:$C53,"&lt;="&amp;$G$28,'Form responses'!$C$2:$C53,"&gt;="&amp;Date(YEAR(DATE(YEAR($G$28),MONTH($G$28)+(-3),1)),4,1),'Form responses'!$D$2:$D53,$C$28)</f>
        <v>0</v>
      </c>
      <c r="E31" s="58">
        <f>sumifs('Form responses'!J2:J53,'Form responses'!$C$2:$C53,"&lt;="&amp;$G$28,'Form responses'!$C$2:$C53,"&gt;="&amp;Date(YEAR(DATE(YEAR($G$28),MONTH($G$28)+(-3),1)),4,1),'Form responses'!$D$2:$D53,$C$28)</f>
        <v>0</v>
      </c>
      <c r="F31" s="58">
        <f>sumifs('Form responses'!K2:K53,'Form responses'!$C$2:$C53,"&lt;="&amp;$G$28,'Form responses'!$C$2:$C53,"&gt;="&amp;Date(YEAR(DATE(YEAR($G$28),MONTH($G$28)+(-3),1)),4,1),'Form responses'!$D$2:$D53,$C$28)</f>
        <v>0</v>
      </c>
      <c r="G31" s="58">
        <f>sumifs('Form responses'!L2:L53,'Form responses'!$C$2:$C53,"&lt;="&amp;$G$28,'Form responses'!$C$2:$C53,"&gt;="&amp;Date(YEAR(DATE(YEAR($G$28),MONTH($G$28)+(-3),1)),4,1),'Form responses'!$D$2:$D53,$C$28)</f>
        <v>0</v>
      </c>
      <c r="H31" s="58">
        <f>sumifs('Form responses'!M2:M53,'Form responses'!$C$2:$C53,"&lt;="&amp;$G$28,'Form responses'!$C$2:$C53,"&gt;="&amp;Date(YEAR(DATE(YEAR($G$28),MONTH($G$28)+(-3),1)),4,1),'Form responses'!$D$2:$D53,$C$28)</f>
        <v>0</v>
      </c>
      <c r="I31" s="58">
        <f>sumifs('Form responses'!N2:N53,'Form responses'!$C$2:$C53,"&lt;="&amp;$G$28,'Form responses'!$C$2:$C53,"&gt;="&amp;Date(YEAR(DATE(YEAR($G$28),MONTH($G$28)+(-3),1)),4,1),'Form responses'!$D$2:$D53,$C$28)</f>
        <v>0</v>
      </c>
      <c r="J31" s="58">
        <f>sumifs('Form responses'!O2:O53,'Form responses'!$C$2:$C53,"&lt;="&amp;$G$28,'Form responses'!$C$2:$C53,"&gt;="&amp;Date(YEAR(DATE(YEAR($G$28),MONTH($G$28)+(-3),1)),4,1),'Form responses'!$D$2:$D53,$C$28)</f>
        <v>0</v>
      </c>
      <c r="K31" s="58">
        <f>sumifs('Form responses'!P2:P53,'Form responses'!$C$2:$C53,"&lt;="&amp;$G$28,'Form responses'!$C$2:$C53,"&gt;="&amp;Date(YEAR(DATE(YEAR($G$28),MONTH($G$28)+(-3),1)),4,1),'Form responses'!$D$2:$D53,$C$28)</f>
        <v>0</v>
      </c>
      <c r="L31" s="58">
        <f>sumifs('Form responses'!Q2:Q53,'Form responses'!$C$2:$C53,"&lt;="&amp;$G$28,'Form responses'!$C$2:$C53,"&gt;="&amp;Date(YEAR(DATE(YEAR($G$28),MONTH($G$28)+(-3),1)),4,1),'Form responses'!$D$2:$D53,$C$28)</f>
        <v>0</v>
      </c>
      <c r="M31" s="58">
        <f>sumifs('Form responses'!R2:R53,'Form responses'!$C$2:$C53,"&lt;="&amp;$G$28,'Form responses'!$C$2:$C53,"&gt;="&amp;Date(YEAR(DATE(YEAR($G$28),MONTH($G$28)+(-3),1)),4,1),'Form responses'!$D$2:$D53,$C$28)</f>
        <v>0</v>
      </c>
      <c r="N31" s="58">
        <f>sumifs('Form responses'!S2:S53,'Form responses'!$C$2:$C53,"&lt;="&amp;$G$28,'Form responses'!$C$2:$C53,"&gt;="&amp;Date(YEAR(DATE(YEAR($G$28),MONTH($G$28)+(-3),1)),4,1),'Form responses'!$D$2:$D53,$C$28)</f>
        <v>0</v>
      </c>
      <c r="O31" s="58">
        <f>sumifs('Form responses'!T2:T53,'Form responses'!$C$2:$C53,"&lt;="&amp;$G$28,'Form responses'!$C$2:$C53,"&gt;="&amp;Date(YEAR(DATE(YEAR($G$28),MONTH($G$28)+(-3),1)),4,1),'Form responses'!$D$2:$D53,$C$28)</f>
        <v>0</v>
      </c>
      <c r="P31" s="58">
        <f>sumifs('Form responses'!U2:U53,'Form responses'!$C$2:$C53,"&lt;="&amp;$G$28,'Form responses'!$C$2:$C53,"&gt;="&amp;Date(YEAR(DATE(YEAR($G$28),MONTH($G$28)+(-3),1)),4,1),'Form responses'!$D$2:$D53,$C$28)</f>
        <v>0</v>
      </c>
      <c r="Q31" s="58">
        <f>sumifs('Form responses'!V2:V53,'Form responses'!$C$2:$C53,"&lt;="&amp;$G$28,'Form responses'!$C$2:$C53,"&gt;="&amp;Date(YEAR(DATE(YEAR($G$28),MONTH($G$28)+(-3),1)),4,1),'Form responses'!$D$2:$D53,$C$28)</f>
        <v>0</v>
      </c>
      <c r="R31" s="58">
        <f>sumifs('Form responses'!W2:W53,'Form responses'!$C$2:$C53,"&lt;="&amp;$G$28,'Form responses'!$C$2:$C53,"&gt;="&amp;Date(YEAR(DATE(YEAR($G$28),MONTH($G$28)+(-3),1)),4,1),'Form responses'!$D$2:$D53,$C$28)</f>
        <v>0</v>
      </c>
      <c r="S31" s="58">
        <f>sumifs('Form responses'!X2:X53,'Form responses'!$C$2:$C53,"&lt;="&amp;$G$28,'Form responses'!$C$2:$C53,"&gt;="&amp;Date(YEAR(DATE(YEAR($G$28),MONTH($G$28)+(-3),1)),4,1),'Form responses'!$D$2:$D53,$C$28)</f>
        <v>0</v>
      </c>
      <c r="T31" s="58">
        <f>sumifs('Form responses'!Y2:Y53,'Form responses'!$C$2:$C53,"&lt;="&amp;$G$28,'Form responses'!$C$2:$C53,"&gt;="&amp;Date(YEAR(DATE(YEAR($G$28),MONTH($G$28)+(-3),1)),4,1),'Form responses'!$D$2:$D53,$C$28)</f>
        <v>0</v>
      </c>
      <c r="U31" s="58">
        <f>sumifs('Form responses'!Z2:Z53,'Form responses'!$C$2:$C53,"&lt;="&amp;$G$28,'Form responses'!$C$2:$C53,"&gt;="&amp;Date(YEAR(DATE(YEAR($G$28),MONTH($G$28)+(-3),1)),4,1),'Form responses'!$D$2:$D53,$C$28)</f>
        <v>0</v>
      </c>
      <c r="V31" s="58">
        <f>sumifs('Form responses'!AA2:AA53,'Form responses'!$C$2:$C53,"&lt;="&amp;$G$28,'Form responses'!$C$2:$C53,"&gt;="&amp;Date(YEAR(DATE(YEAR($G$28),MONTH($G$28)+(-3),1)),4,1),'Form responses'!$D$2:$D53,$C$28)</f>
        <v>0</v>
      </c>
      <c r="W31" s="58">
        <f>sumifs('Form responses'!AB2:AB53,'Form responses'!$C$2:$C53,"&lt;="&amp;$G$28,'Form responses'!$C$2:$C53,"&gt;="&amp;Date(YEAR(DATE(YEAR($G$28),MONTH($G$28)+(-3),1)),4,1),'Form responses'!$D$2:$D53,$C$28)</f>
        <v>0</v>
      </c>
      <c r="X31" s="58">
        <f>sumifs('Form responses'!AC2:AC53,'Form responses'!$C$2:$C53,"&lt;="&amp;$G$28,'Form responses'!$C$2:$C53,"&gt;="&amp;Date(YEAR(DATE(YEAR($G$28),MONTH($G$28)+(-3),1)),4,1),'Form responses'!$D$2:$D53,$C$28)</f>
        <v>0</v>
      </c>
      <c r="Y31" s="58">
        <f>sumifs('Form responses'!AD2:AD53,'Form responses'!$C$2:$C53,"&lt;="&amp;$G$28,'Form responses'!$C$2:$C53,"&gt;="&amp;Date(YEAR(DATE(YEAR($G$28),MONTH($G$28)+(-3),1)),4,1),'Form responses'!$D$2:$D53,$C$28)</f>
        <v>0</v>
      </c>
      <c r="Z31" s="58">
        <f>sumifs('Form responses'!AE2:AE53,'Form responses'!$C$2:$C53,"&lt;="&amp;$G$28,'Form responses'!$C$2:$C53,"&gt;="&amp;Date(YEAR(DATE(YEAR($G$28),MONTH($G$28)+(-3),1)),4,1),'Form responses'!$D$2:$D53,$C$28)</f>
        <v>0</v>
      </c>
      <c r="AA31" s="58">
        <f>sumifs('Form responses'!AF2:AF53,'Form responses'!$C$2:$C53,"&lt;="&amp;$G$28,'Form responses'!$C$2:$C53,"&gt;="&amp;Date(YEAR(DATE(YEAR($G$28),MONTH($G$28)+(-3),1)),4,1),'Form responses'!$D$2:$D53,$C$28)</f>
        <v>0</v>
      </c>
      <c r="AB31" s="58">
        <f>sumifs('Form responses'!AG2:AG53,'Form responses'!$C$2:$C53,"&lt;="&amp;$G$28,'Form responses'!$C$2:$C53,"&gt;="&amp;Date(YEAR(DATE(YEAR($G$28),MONTH($G$28)+(-3),1)),4,1),'Form responses'!$D$2:$D53,$C$28)</f>
        <v>0</v>
      </c>
      <c r="AC31" s="58">
        <f>sumifs('Form responses'!AH2:AH53,'Form responses'!$C$2:$C53,"&lt;="&amp;$G$28,'Form responses'!$C$2:$C53,"&gt;="&amp;Date(YEAR(DATE(YEAR($G$28),MONTH($G$28)+(-3),1)),4,1),'Form responses'!$D$2:$D53,$C$28)</f>
        <v>0</v>
      </c>
      <c r="AD31" s="58">
        <f>sumifs('Form responses'!AI2:AI53,'Form responses'!$C$2:$C53,"&lt;="&amp;$G$28,'Form responses'!$C$2:$C53,"&gt;="&amp;Date(YEAR(DATE(YEAR($G$28),MONTH($G$28)+(-3),1)),4,1),'Form responses'!$D$2:$D53,$C$28)</f>
        <v>0</v>
      </c>
      <c r="AE31" s="58">
        <f>sumifs('Form responses'!AJ2:AJ53,'Form responses'!$C$2:$C53,"&lt;="&amp;$G$28,'Form responses'!$C$2:$C53,"&gt;="&amp;Date(YEAR(DATE(YEAR($G$28),MONTH($G$28)+(-3),1)),4,1),'Form responses'!$D$2:$D53,$C$28)</f>
        <v>0</v>
      </c>
      <c r="AF31" s="58">
        <f>sumifs('Form responses'!AK2:AK53,'Form responses'!$C$2:$C53,"&lt;="&amp;$G$28,'Form responses'!$C$2:$C53,"&gt;="&amp;Date(YEAR(DATE(YEAR($G$28),MONTH($G$28)+(-3),1)),4,1),'Form responses'!$D$2:$D53,$C$28)</f>
        <v>0</v>
      </c>
      <c r="AG31" s="58">
        <f>sumifs('Form responses'!AL2:AL53,'Form responses'!$C$2:$C53,"&lt;="&amp;$G$28,'Form responses'!$C$2:$C53,"&gt;="&amp;Date(YEAR(DATE(YEAR($G$28),MONTH($G$28)+(-3),1)),4,1),'Form responses'!$D$2:$D53,$C$28)</f>
        <v>0</v>
      </c>
      <c r="AH31" s="58">
        <f>sumifs('Form responses'!AM2:AM53,'Form responses'!$C$2:$C53,"&lt;="&amp;$G$28,'Form responses'!$C$2:$C53,"&gt;="&amp;Date(YEAR(DATE(YEAR($G$28),MONTH($G$28)+(-3),1)),4,1),'Form responses'!$D$2:$D53,$C$28)</f>
        <v>0</v>
      </c>
      <c r="AI31" s="58">
        <f>sumifs('Form responses'!AN2:AN53,'Form responses'!$C$2:$C53,"&lt;="&amp;$G$28,'Form responses'!$C$2:$C53,"&gt;="&amp;Date(YEAR(DATE(YEAR($G$28),MONTH($G$28)+(-3),1)),4,1),'Form responses'!$D$2:$D53,$C$28)</f>
        <v>0</v>
      </c>
      <c r="AJ31" s="58">
        <f>sumifs('Form responses'!AO2:AO53,'Form responses'!$C$2:$C53,"&lt;="&amp;$G$28,'Form responses'!$C$2:$C53,"&gt;="&amp;Date(YEAR(DATE(YEAR($G$28),MONTH($G$28)+(-3),1)),4,1),'Form responses'!$D$2:$D53,$C$28)</f>
        <v>0</v>
      </c>
      <c r="AK31" s="58">
        <f>sumifs('Form responses'!AP2:AP53,'Form responses'!$C$2:$C53,"&lt;="&amp;$G$28,'Form responses'!$C$2:$C53,"&gt;="&amp;Date(YEAR(DATE(YEAR($G$28),MONTH($G$28)+(-3),1)),4,1),'Form responses'!$D$2:$D53,$C$28)</f>
        <v>0</v>
      </c>
      <c r="AL31" s="58">
        <f>sumifs('Form responses'!AQ2:AQ53,'Form responses'!$C$2:$C53,"&lt;="&amp;$G$28,'Form responses'!$C$2:$C53,"&gt;="&amp;Date(YEAR(DATE(YEAR($G$28),MONTH($G$28)+(-3),1)),4,1),'Form responses'!$D$2:$D53,$C$28)</f>
        <v>0</v>
      </c>
      <c r="AM31" s="58">
        <f>sumifs('Form responses'!AR2:AR53,'Form responses'!$C$2:$C53,"&lt;="&amp;$G$28,'Form responses'!$C$2:$C53,"&gt;="&amp;Date(YEAR(DATE(YEAR($G$28),MONTH($G$28)+(-3),1)),4,1),'Form responses'!$D$2:$D53,$C$28)</f>
        <v>0</v>
      </c>
      <c r="AN31" s="58">
        <f>sumifs('Form responses'!AS2:AS53,'Form responses'!$C$2:$C53,"&lt;="&amp;$G$28,'Form responses'!$C$2:$C53,"&gt;="&amp;Date(YEAR(DATE(YEAR($G$28),MONTH($G$28)+(-3),1)),4,1),'Form responses'!$D$2:$D53,$C$28)</f>
        <v>0</v>
      </c>
      <c r="AO31" s="58">
        <f>sumifs('Form responses'!AT2:AT53,'Form responses'!$C$2:$C53,"&lt;="&amp;$G$28,'Form responses'!$C$2:$C53,"&gt;="&amp;Date(YEAR(DATE(YEAR($G$28),MONTH($G$28)+(-3),1)),4,1),'Form responses'!$D$2:$D53,$C$28)</f>
        <v>0</v>
      </c>
      <c r="AP31" s="58">
        <f>sumifs('Form responses'!AU2:AU53,'Form responses'!$C$2:$C53,"&lt;="&amp;$G$28,'Form responses'!$C$2:$C53,"&gt;="&amp;Date(YEAR(DATE(YEAR($G$28),MONTH($G$28)+(-3),1)),4,1),'Form responses'!$D$2:$D53,$C$28)</f>
        <v>0</v>
      </c>
      <c r="AQ31" s="58">
        <f>sumifs('Form responses'!AV2:AV53,'Form responses'!$C$2:$C53,"&lt;="&amp;$G$28,'Form responses'!$C$2:$C53,"&gt;="&amp;Date(YEAR(DATE(YEAR($G$28),MONTH($G$28)+(-3),1)),4,1),'Form responses'!$D$2:$D53,$C$28)</f>
        <v>0</v>
      </c>
      <c r="AR31" s="58">
        <f>sumifs('Form responses'!AW2:AW53,'Form responses'!$C$2:$C53,"&lt;="&amp;$G$28,'Form responses'!$C$2:$C53,"&gt;="&amp;Date(YEAR(DATE(YEAR($G$28),MONTH($G$28)+(-3),1)),4,1),'Form responses'!$D$2:$D53,$C$28)</f>
        <v>0</v>
      </c>
      <c r="AS31" s="58">
        <f>sumifs('Form responses'!AX2:AX53,'Form responses'!$C$2:$C53,"&lt;="&amp;$G$28,'Form responses'!$C$2:$C53,"&gt;="&amp;Date(YEAR(DATE(YEAR($G$28),MONTH($G$28)+(-3),1)),4,1),'Form responses'!$D$2:$D53,$C$28)</f>
        <v>0</v>
      </c>
      <c r="AT31" s="58">
        <f>sumifs('Form responses'!AY2:AY53,'Form responses'!$C$2:$C53,"&lt;="&amp;$G$28,'Form responses'!$C$2:$C53,"&gt;="&amp;Date(YEAR(DATE(YEAR($G$28),MONTH($G$28)+(-3),1)),4,1),'Form responses'!$D$2:$D53,$C$28)</f>
        <v>0</v>
      </c>
      <c r="AU31" s="58">
        <f>sumifs('Form responses'!AZ2:AZ53,'Form responses'!$C$2:$C53,"&lt;="&amp;$G$28,'Form responses'!$C$2:$C53,"&gt;="&amp;Date(YEAR(DATE(YEAR($G$28),MONTH($G$28)+(-3),1)),4,1),'Form responses'!$D$2:$D53,$C$28)</f>
        <v>0</v>
      </c>
      <c r="AV31" s="58">
        <f>sumifs('Form responses'!BA2:BA53,'Form responses'!$C$2:$C53,"&lt;="&amp;$G$28,'Form responses'!$C$2:$C53,"&gt;="&amp;Date(YEAR(DATE(YEAR($G$28),MONTH($G$28)+(-3),1)),4,1),'Form responses'!$D$2:$D53,$C$28)</f>
        <v>0</v>
      </c>
      <c r="AW31" s="58">
        <f>sumifs('Form responses'!BB2:BB53,'Form responses'!$C$2:$C53,"&lt;="&amp;$G$28,'Form responses'!$C$2:$C53,"&gt;="&amp;Date(YEAR(DATE(YEAR($G$28),MONTH($G$28)+(-3),1)),4,1),'Form responses'!$D$2:$D53,$C$28)</f>
        <v>0</v>
      </c>
      <c r="AX31" s="58">
        <f>sumifs('Form responses'!BC2:BC53,'Form responses'!$C$2:$C53,"&lt;="&amp;$G$28,'Form responses'!$C$2:$C53,"&gt;="&amp;Date(YEAR(DATE(YEAR($G$28),MONTH($G$28)+(-3),1)),4,1),'Form responses'!$D$2:$D53,$C$28)</f>
        <v>0</v>
      </c>
      <c r="AY31" s="58">
        <f>sumifs('Form responses'!BD2:BD53,'Form responses'!$C$2:$C53,"&lt;="&amp;$G$28,'Form responses'!$C$2:$C53,"&gt;="&amp;Date(YEAR(DATE(YEAR($G$28),MONTH($G$28)+(-3),1)),4,1),'Form responses'!$D$2:$D53,$C$28)</f>
        <v>0</v>
      </c>
      <c r="AZ31" s="58">
        <f>sumifs('Form responses'!BE2:BE53,'Form responses'!$C$2:$C53,"&lt;="&amp;$G$28,'Form responses'!$C$2:$C53,"&gt;="&amp;Date(YEAR(DATE(YEAR($G$28),MONTH($G$28)+(-3),1)),4,1),'Form responses'!$D$2:$D53,$C$28)</f>
        <v>0</v>
      </c>
      <c r="BA31" s="58">
        <f>sumifs('Form responses'!BF2:BF53,'Form responses'!$C$2:$C53,"&lt;="&amp;$G$28,'Form responses'!$C$2:$C53,"&gt;="&amp;Date(YEAR(DATE(YEAR($G$28),MONTH($G$28)+(-3),1)),4,1),'Form responses'!$D$2:$D53,$C$28)</f>
        <v>0</v>
      </c>
      <c r="BB31" s="58">
        <f>sumifs('Form responses'!BG2:BG53,'Form responses'!$C$2:$C53,"&lt;="&amp;$G$28,'Form responses'!$C$2:$C53,"&gt;="&amp;Date(YEAR(DATE(YEAR($G$28),MONTH($G$28)+(-3),1)),4,1),'Form responses'!$D$2:$D53,$C$28)</f>
        <v>0</v>
      </c>
      <c r="BC31" s="58">
        <f>sumifs('Form responses'!BH2:BH53,'Form responses'!$C$2:$C53,"&lt;="&amp;$G$28,'Form responses'!$C$2:$C53,"&gt;="&amp;Date(YEAR(DATE(YEAR($G$28),MONTH($G$28)+(-3),1)),4,1),'Form responses'!$D$2:$D53,$C$28)</f>
        <v>0</v>
      </c>
      <c r="BD31" s="58">
        <f>sumifs('Form responses'!BI2:BI53,'Form responses'!$C$2:$C53,"&lt;="&amp;$G$28,'Form responses'!$C$2:$C53,"&gt;="&amp;Date(YEAR(DATE(YEAR($G$28),MONTH($G$28)+(-3),1)),4,1),'Form responses'!$D$2:$D53,$C$28)</f>
        <v>0</v>
      </c>
      <c r="BE31" s="58">
        <f>sumifs('Form responses'!BJ2:BJ53,'Form responses'!$C$2:$C53,"&lt;="&amp;$G$28,'Form responses'!$C$2:$C53,"&gt;="&amp;Date(YEAR(DATE(YEAR($G$28),MONTH($G$28)+(-3),1)),4,1),'Form responses'!$D$2:$D53,$C$28)</f>
        <v>0</v>
      </c>
      <c r="BF31" s="58">
        <f>sumifs('Form responses'!BK2:BK53,'Form responses'!$C$2:$C53,"&lt;="&amp;$G$28,'Form responses'!$C$2:$C53,"&gt;="&amp;Date(YEAR(DATE(YEAR($G$28),MONTH($G$28)+(-3),1)),4,1),'Form responses'!$D$2:$D53,$C$28)</f>
        <v>0</v>
      </c>
      <c r="BG31" s="58">
        <f>sumifs('Form responses'!BL2:BL53,'Form responses'!$C$2:$C53,"&lt;="&amp;$G$28,'Form responses'!$C$2:$C53,"&gt;="&amp;Date(YEAR(DATE(YEAR($G$28),MONTH($G$28)+(-3),1)),4,1),'Form responses'!$D$2:$D53,$C$28)</f>
        <v>0</v>
      </c>
      <c r="BH31" s="58">
        <f>sumifs('Form responses'!BM2:BM53,'Form responses'!$C$2:$C53,"&lt;="&amp;$G$28,'Form responses'!$C$2:$C53,"&gt;="&amp;Date(YEAR(DATE(YEAR($G$28),MONTH($G$28)+(-3),1)),4,1),'Form responses'!$D$2:$D53,$C$28)</f>
        <v>0</v>
      </c>
      <c r="BI31" s="58">
        <f>sumifs('Form responses'!BN2:BN53,'Form responses'!$C$2:$C53,"&lt;="&amp;$G$28,'Form responses'!$C$2:$C53,"&gt;="&amp;Date(YEAR(DATE(YEAR($G$28),MONTH($G$28)+(-3),1)),4,1),'Form responses'!$D$2:$D53,$C$28)</f>
        <v>0</v>
      </c>
      <c r="BJ31" s="58">
        <f>sumifs('Form responses'!BO2:BO53,'Form responses'!$C$2:$C53,"&lt;="&amp;$G$28,'Form responses'!$C$2:$C53,"&gt;="&amp;Date(YEAR(DATE(YEAR($G$28),MONTH($G$28)+(-3),1)),4,1),'Form responses'!$D$2:$D53,$C$28)</f>
        <v>0</v>
      </c>
      <c r="BK31" s="58">
        <f>sumifs('Form responses'!BP2:BP53,'Form responses'!$C$2:$C53,"&lt;="&amp;$G$28,'Form responses'!$C$2:$C53,"&gt;="&amp;Date(YEAR(DATE(YEAR($G$28),MONTH($G$28)+(-3),1)),4,1),'Form responses'!$D$2:$D53,$C$28)</f>
        <v>0</v>
      </c>
      <c r="BL31" s="58">
        <f>sumifs('Form responses'!BQ2:BQ53,'Form responses'!$C$2:$C53,"&lt;="&amp;$G$28,'Form responses'!$C$2:$C53,"&gt;="&amp;Date(YEAR(DATE(YEAR($G$28),MONTH($G$28)+(-3),1)),4,1),'Form responses'!$D$2:$D53,$C$28)</f>
        <v>0</v>
      </c>
      <c r="BM31" s="58">
        <f>sumifs('Form responses'!BR2:BR53,'Form responses'!$C$2:$C53,"&lt;="&amp;$G$28,'Form responses'!$C$2:$C53,"&gt;="&amp;Date(YEAR(DATE(YEAR($G$28),MONTH($G$28)+(-3),1)),4,1),'Form responses'!$D$2:$D53,$C$28)</f>
        <v>0</v>
      </c>
      <c r="BN31" s="58">
        <f>sumifs('Form responses'!BS2:BS53,'Form responses'!$C$2:$C53,"&lt;="&amp;$G$28,'Form responses'!$C$2:$C53,"&gt;="&amp;Date(YEAR(DATE(YEAR($G$28),MONTH($G$28)+(-3),1)),4,1),'Form responses'!$D$2:$D53,$C$28)</f>
        <v>0</v>
      </c>
      <c r="BO31" s="58">
        <f>sumifs('Form responses'!BT2:BT53,'Form responses'!$C$2:$C53,"&lt;="&amp;$G$28,'Form responses'!$C$2:$C53,"&gt;="&amp;Date(YEAR(DATE(YEAR($G$28),MONTH($G$28)+(-3),1)),4,1),'Form responses'!$D$2:$D53,$C$28)</f>
        <v>0</v>
      </c>
      <c r="BP31" s="58">
        <f>sumifs('Form responses'!BU2:BU53,'Form responses'!$C$2:$C53,"&lt;="&amp;$G$28,'Form responses'!$C$2:$C53,"&gt;="&amp;Date(YEAR(DATE(YEAR($G$28),MONTH($G$28)+(-3),1)),4,1),'Form responses'!$D$2:$D53,$C$28)</f>
        <v>0</v>
      </c>
      <c r="BQ31" s="58">
        <f>sumifs('Form responses'!BV2:BV53,'Form responses'!$C$2:$C53,"&lt;="&amp;$G$28,'Form responses'!$C$2:$C53,"&gt;="&amp;Date(YEAR(DATE(YEAR($G$28),MONTH($G$28)+(-3),1)),4,1),'Form responses'!$D$2:$D53,$C$28)</f>
        <v>0</v>
      </c>
      <c r="BR31" s="58">
        <f>sumifs('Form responses'!BW2:BW53,'Form responses'!$C$2:$C53,"&lt;="&amp;$G$28,'Form responses'!$C$2:$C53,"&gt;="&amp;Date(YEAR(DATE(YEAR($G$28),MONTH($G$28)+(-3),1)),4,1),'Form responses'!$D$2:$D53,$C$28)</f>
        <v>0</v>
      </c>
      <c r="BS31" s="58">
        <f>sumifs('Form responses'!BX2:BX53,'Form responses'!$C$2:$C53,"&lt;="&amp;$G$28,'Form responses'!$C$2:$C53,"&gt;="&amp;Date(YEAR(DATE(YEAR($G$28),MONTH($G$28)+(-3),1)),4,1),'Form responses'!$D$2:$D53,$C$28)</f>
        <v>0</v>
      </c>
      <c r="BT31" s="58">
        <f>sumifs('Form responses'!BY2:BY53,'Form responses'!$C$2:$C53,"&lt;="&amp;$G$28,'Form responses'!$C$2:$C53,"&gt;="&amp;Date(YEAR(DATE(YEAR($G$28),MONTH($G$28)+(-3),1)),4,1),'Form responses'!$D$2:$D53,$C$28)</f>
        <v>0</v>
      </c>
      <c r="BU31" s="58">
        <f>sumifs('Form responses'!BZ2:BZ53,'Form responses'!$C$2:$C53,"&lt;="&amp;$G$28,'Form responses'!$C$2:$C53,"&gt;="&amp;Date(YEAR(DATE(YEAR($G$28),MONTH($G$28)+(-3),1)),4,1),'Form responses'!$D$2:$D53,$C$28)</f>
        <v>0</v>
      </c>
      <c r="BV31" s="58">
        <f>sumifs('Form responses'!CA2:CA53,'Form responses'!$C$2:$C53,"&lt;="&amp;$G$28,'Form responses'!$C$2:$C53,"&gt;="&amp;Date(YEAR(DATE(YEAR($G$28),MONTH($G$28)+(-3),1)),4,1),'Form responses'!$D$2:$D53,$C$28)</f>
        <v>0</v>
      </c>
      <c r="BW31" s="58">
        <f>sumifs('Form responses'!CB2:CB53,'Form responses'!$C$2:$C53,"&lt;="&amp;$G$28,'Form responses'!$C$2:$C53,"&gt;="&amp;Date(YEAR(DATE(YEAR($G$28),MONTH($G$28)+(-3),1)),4,1),'Form responses'!$D$2:$D53,$C$28)</f>
        <v>0</v>
      </c>
      <c r="BX31" s="58">
        <f>sumifs('Form responses'!CC2:CC53,'Form responses'!$C$2:$C53,"&lt;="&amp;$G$28,'Form responses'!$C$2:$C53,"&gt;="&amp;Date(YEAR(DATE(YEAR($G$28),MONTH($G$28)+(-3),1)),4,1),'Form responses'!$D$2:$D53,$C$28)</f>
        <v>0</v>
      </c>
      <c r="BY31" s="58">
        <f>sumifs('Form responses'!CD2:CD53,'Form responses'!$C$2:$C53,"&lt;="&amp;$G$28,'Form responses'!$C$2:$C53,"&gt;="&amp;Date(YEAR(DATE(YEAR($G$28),MONTH($G$28)+(-3),1)),4,1),'Form responses'!$D$2:$D53,$C$28)</f>
        <v>0</v>
      </c>
      <c r="BZ31" s="58">
        <f>sumifs('Form responses'!CE2:CE53,'Form responses'!$C$2:$C53,"&lt;="&amp;$G$28,'Form responses'!$C$2:$C53,"&gt;="&amp;Date(YEAR(DATE(YEAR($G$28),MONTH($G$28)+(-3),1)),4,1),'Form responses'!$D$2:$D53,$C$28)</f>
        <v>0</v>
      </c>
      <c r="CA31" s="58">
        <f>sumifs('Form responses'!CF2:CF53,'Form responses'!$C$2:$C53,"&lt;="&amp;$G$28,'Form responses'!$C$2:$C53,"&gt;="&amp;Date(YEAR(DATE(YEAR($G$28),MONTH($G$28)+(-3),1)),4,1),'Form responses'!$D$2:$D53,$C$28)</f>
        <v>0</v>
      </c>
      <c r="CB31" s="58">
        <f>sumifs('Form responses'!CG2:CG53,'Form responses'!$C$2:$C53,"&lt;="&amp;$G$28,'Form responses'!$C$2:$C53,"&gt;="&amp;Date(YEAR(DATE(YEAR($G$28),MONTH($G$28)+(-3),1)),4,1),'Form responses'!$D$2:$D53,$C$28)</f>
        <v>0</v>
      </c>
      <c r="CC31" s="58">
        <f>sumifs('Form responses'!CH2:CH53,'Form responses'!$C$2:$C53,"&lt;="&amp;$G$28,'Form responses'!$C$2:$C53,"&gt;="&amp;Date(YEAR(DATE(YEAR($G$28),MONTH($G$28)+(-3),1)),4,1),'Form responses'!$D$2:$D53,$C$28)</f>
        <v>0</v>
      </c>
      <c r="CD31" s="58">
        <f>sumifs('Form responses'!CI2:CI53,'Form responses'!$C$2:$C53,"&lt;="&amp;$G$28,'Form responses'!$C$2:$C53,"&gt;="&amp;Date(YEAR(DATE(YEAR($G$28),MONTH($G$28)+(-3),1)),4,1),'Form responses'!$D$2:$D53,$C$28)</f>
        <v>0</v>
      </c>
      <c r="CE31" s="58">
        <f>sumifs('Form responses'!CJ2:CJ53,'Form responses'!$C$2:$C53,"&lt;="&amp;$G$28,'Form responses'!$C$2:$C53,"&gt;="&amp;Date(YEAR(DATE(YEAR($G$28),MONTH($G$28)+(-3),1)),4,1),'Form responses'!$D$2:$D53,$C$28)</f>
        <v>0</v>
      </c>
      <c r="CF31" s="58">
        <f>sumifs('Form responses'!CK2:CK53,'Form responses'!$C$2:$C53,"&lt;="&amp;$G$28,'Form responses'!$C$2:$C53,"&gt;="&amp;Date(YEAR(DATE(YEAR($G$28),MONTH($G$28)+(-3),1)),4,1),'Form responses'!$D$2:$D53,$C$28)</f>
        <v>0</v>
      </c>
      <c r="CG31" s="58">
        <f>sumifs('Form responses'!CL2:CL53,'Form responses'!$C$2:$C53,"&lt;="&amp;$G$28,'Form responses'!$C$2:$C53,"&gt;="&amp;Date(YEAR(DATE(YEAR($G$28),MONTH($G$28)+(-3),1)),4,1),'Form responses'!$D$2:$D53,$C$28)</f>
        <v>0</v>
      </c>
      <c r="CH31" s="58">
        <f>sumifs('Form responses'!CM2:CM53,'Form responses'!$C$2:$C53,"&lt;="&amp;$G$28,'Form responses'!$C$2:$C53,"&gt;="&amp;Date(YEAR(DATE(YEAR($G$28),MONTH($G$28)+(-3),1)),4,1),'Form responses'!$D$2:$D53,$C$28)</f>
        <v>0</v>
      </c>
      <c r="CI31" s="58">
        <f>sumifs('Form responses'!CN2:CN53,'Form responses'!$C$2:$C53,"&lt;="&amp;$G$28,'Form responses'!$C$2:$C53,"&gt;="&amp;Date(YEAR(DATE(YEAR($G$28),MONTH($G$28)+(-3),1)),4,1),'Form responses'!$D$2:$D53,$C$28)</f>
        <v>0</v>
      </c>
      <c r="CJ31" s="58">
        <f>sumifs('Form responses'!CO2:CO53,'Form responses'!$C$2:$C53,"&lt;="&amp;$G$28,'Form responses'!$C$2:$C53,"&gt;="&amp;Date(YEAR(DATE(YEAR($G$28),MONTH($G$28)+(-3),1)),4,1),'Form responses'!$D$2:$D53,$C$28)</f>
        <v>0</v>
      </c>
      <c r="CK31" s="58">
        <f>sumifs('Form responses'!CP2:CP53,'Form responses'!$C$2:$C53,"&lt;="&amp;$G$28,'Form responses'!$C$2:$C53,"&gt;="&amp;Date(YEAR(DATE(YEAR($G$28),MONTH($G$28)+(-3),1)),4,1),'Form responses'!$D$2:$D53,$C$28)</f>
        <v>0</v>
      </c>
      <c r="CL31" s="58">
        <f>sumifs('Form responses'!CQ2:CQ53,'Form responses'!$C$2:$C53,"&lt;="&amp;$G$28,'Form responses'!$C$2:$C53,"&gt;="&amp;Date(YEAR(DATE(YEAR($G$28),MONTH($G$28)+(-3),1)),4,1),'Form responses'!$D$2:$D53,$C$28)</f>
        <v>0</v>
      </c>
      <c r="CM31" s="58">
        <f>sumifs('Form responses'!CR2:CR53,'Form responses'!$C$2:$C53,"&lt;="&amp;$G$28,'Form responses'!$C$2:$C53,"&gt;="&amp;Date(YEAR(DATE(YEAR($G$28),MONTH($G$28)+(-3),1)),4,1),'Form responses'!$D$2:$D53,$C$28)</f>
        <v>0</v>
      </c>
      <c r="CN31" s="58">
        <f>sumifs('Form responses'!CS2:CS53,'Form responses'!$C$2:$C53,"&lt;="&amp;$G$28,'Form responses'!$C$2:$C53,"&gt;="&amp;Date(YEAR(DATE(YEAR($G$28),MONTH($G$28)+(-3),1)),4,1),'Form responses'!$D$2:$D53,$C$28)</f>
        <v>0</v>
      </c>
      <c r="CO31" s="58">
        <f>sumifs('Form responses'!CT2:CT53,'Form responses'!$C$2:$C53,"&lt;="&amp;$G$28,'Form responses'!$C$2:$C53,"&gt;="&amp;Date(YEAR(DATE(YEAR($G$28),MONTH($G$28)+(-3),1)),4,1),'Form responses'!$D$2:$D53,$C$28)</f>
        <v>0</v>
      </c>
      <c r="CP31" s="58">
        <f>sumifs('Form responses'!CU2:CU53,'Form responses'!$C$2:$C53,"&lt;="&amp;$G$28,'Form responses'!$C$2:$C53,"&gt;="&amp;Date(YEAR(DATE(YEAR($G$28),MONTH($G$28)+(-3),1)),4,1),'Form responses'!$D$2:$D53,$C$28)</f>
        <v>0</v>
      </c>
      <c r="CQ31" s="58">
        <f>sumifs('Form responses'!CV2:CV53,'Form responses'!$C$2:$C53,"&lt;="&amp;$G$28,'Form responses'!$C$2:$C53,"&gt;="&amp;Date(YEAR(DATE(YEAR($G$28),MONTH($G$28)+(-3),1)),4,1),'Form responses'!$D$2:$D53,$C$28)</f>
        <v>0</v>
      </c>
      <c r="CR31" s="58">
        <f>sumifs('Form responses'!CW2:CW53,'Form responses'!$C$2:$C53,"&lt;="&amp;$G$28,'Form responses'!$C$2:$C53,"&gt;="&amp;Date(YEAR(DATE(YEAR($G$28),MONTH($G$28)+(-3),1)),4,1),'Form responses'!$D$2:$D53,$C$28)</f>
        <v>0</v>
      </c>
      <c r="CS31" s="58">
        <f>sumifs('Form responses'!CX2:CX53,'Form responses'!$C$2:$C53,"&lt;="&amp;$G$28,'Form responses'!$C$2:$C53,"&gt;="&amp;Date(YEAR(DATE(YEAR($G$28),MONTH($G$28)+(-3),1)),4,1),'Form responses'!$D$2:$D53,$C$28)</f>
        <v>0</v>
      </c>
      <c r="CT31" s="58">
        <f>sumifs('Form responses'!CY2:CY53,'Form responses'!$C$2:$C53,"&lt;="&amp;$G$28,'Form responses'!$C$2:$C53,"&gt;="&amp;Date(YEAR(DATE(YEAR($G$28),MONTH($G$28)+(-3),1)),4,1),'Form responses'!$D$2:$D53,$C$28)</f>
        <v>0</v>
      </c>
      <c r="CU31" s="58">
        <f>sumifs('Form responses'!CZ2:CZ53,'Form responses'!$C$2:$C53,"&lt;="&amp;$G$28,'Form responses'!$C$2:$C53,"&gt;="&amp;Date(YEAR(DATE(YEAR($G$28),MONTH($G$28)+(-3),1)),4,1),'Form responses'!$D$2:$D53,$C$28)</f>
        <v>0</v>
      </c>
      <c r="CV31" s="58">
        <f>sumifs('Form responses'!DA2:DA53,'Form responses'!$C$2:$C53,"&lt;="&amp;$G$28,'Form responses'!$C$2:$C53,"&gt;="&amp;Date(YEAR(DATE(YEAR($G$28),MONTH($G$28)+(-3),1)),4,1),'Form responses'!$D$2:$D53,$C$28)</f>
        <v>0</v>
      </c>
      <c r="CW31" s="58">
        <f>sumifs('Form responses'!DB2:DB53,'Form responses'!$C$2:$C53,"&lt;="&amp;$G$28,'Form responses'!$C$2:$C53,"&gt;="&amp;Date(YEAR(DATE(YEAR($G$28),MONTH($G$28)+(-3),1)),4,1),'Form responses'!$D$2:$D53,$C$28)</f>
        <v>0</v>
      </c>
      <c r="CX31" s="58">
        <f>sumifs('Form responses'!DC2:DC53,'Form responses'!$C$2:$C53,"&lt;="&amp;$G$28,'Form responses'!$C$2:$C53,"&gt;="&amp;Date(YEAR(DATE(YEAR($G$28),MONTH($G$28)+(-3),1)),4,1),'Form responses'!$D$2:$D53,$C$28)</f>
        <v>0</v>
      </c>
      <c r="CY31" s="58">
        <f>sumifs('Form responses'!DD2:DD53,'Form responses'!$C$2:$C53,"&lt;="&amp;$G$28,'Form responses'!$C$2:$C53,"&gt;="&amp;Date(YEAR(DATE(YEAR($G$28),MONTH($G$28)+(-3),1)),4,1),'Form responses'!$D$2:$D53,$C$28)</f>
        <v>0</v>
      </c>
      <c r="CZ31" s="58">
        <f>sumifs('Form responses'!DE2:DE53,'Form responses'!$C$2:$C53,"&lt;="&amp;$G$28,'Form responses'!$C$2:$C53,"&gt;="&amp;Date(YEAR(DATE(YEAR($G$28),MONTH($G$28)+(-3),1)),4,1),'Form responses'!$D$2:$D53,$C$28)</f>
        <v>0</v>
      </c>
      <c r="DA31" s="58">
        <f>sumifs('Form responses'!DF2:DF53,'Form responses'!$C$2:$C53,"&lt;="&amp;$G$28,'Form responses'!$C$2:$C53,"&gt;="&amp;Date(YEAR(DATE(YEAR($G$28),MONTH($G$28)+(-3),1)),4,1),'Form responses'!$D$2:$D53,$C$28)</f>
        <v>0</v>
      </c>
      <c r="DB31" s="58">
        <f>sumifs('Form responses'!DG2:DG53,'Form responses'!$C$2:$C53,"&lt;="&amp;$G$28,'Form responses'!$C$2:$C53,"&gt;="&amp;Date(YEAR(DATE(YEAR($G$28),MONTH($G$28)+(-3),1)),4,1),'Form responses'!$D$2:$D53,$C$28)</f>
        <v>0</v>
      </c>
      <c r="DC31" s="58">
        <f>sumifs('Form responses'!DH2:DH53,'Form responses'!$C$2:$C53,"&lt;="&amp;$G$28,'Form responses'!$C$2:$C53,"&gt;="&amp;Date(YEAR(DATE(YEAR($G$28),MONTH($G$28)+(-3),1)),4,1),'Form responses'!$D$2:$D53,$C$28)</f>
        <v>0</v>
      </c>
      <c r="DD31" s="58">
        <f>sumifs('Form responses'!DI2:DI53,'Form responses'!$C$2:$C53,"&lt;="&amp;$G$28,'Form responses'!$C$2:$C53,"&gt;="&amp;Date(YEAR(DATE(YEAR($G$28),MONTH($G$28)+(-3),1)),4,1),'Form responses'!$D$2:$D53,$C$28)</f>
        <v>0</v>
      </c>
      <c r="DE31" s="58">
        <f>sumifs('Form responses'!DJ2:DJ53,'Form responses'!$C$2:$C53,"&lt;="&amp;$G$28,'Form responses'!$C$2:$C53,"&gt;="&amp;Date(YEAR(DATE(YEAR($G$28),MONTH($G$28)+(-3),1)),4,1),'Form responses'!$D$2:$D53,$C$28)</f>
        <v>0</v>
      </c>
      <c r="DF31" s="58">
        <f>sumifs('Form responses'!DK2:DK53,'Form responses'!$C$2:$C53,"&lt;="&amp;$G$28,'Form responses'!$C$2:$C53,"&gt;="&amp;Date(YEAR(DATE(YEAR($G$28),MONTH($G$28)+(-3),1)),4,1),'Form responses'!$D$2:$D53,$C$28)</f>
        <v>0</v>
      </c>
      <c r="DG31" s="58">
        <f>sumifs('Form responses'!DL2:DL53,'Form responses'!$C$2:$C53,"&lt;="&amp;$G$28,'Form responses'!$C$2:$C53,"&gt;="&amp;Date(YEAR(DATE(YEAR($G$28),MONTH($G$28)+(-3),1)),4,1),'Form responses'!$D$2:$D53,$C$28)</f>
        <v>0</v>
      </c>
      <c r="DH31" s="58">
        <f>sumifs('Form responses'!DM2:DM53,'Form responses'!$C$2:$C53,"&lt;="&amp;$G$28,'Form responses'!$C$2:$C53,"&gt;="&amp;Date(YEAR(DATE(YEAR($G$28),MONTH($G$28)+(-3),1)),4,1),'Form responses'!$D$2:$D53,$C$28)</f>
        <v>0</v>
      </c>
      <c r="DI31" s="58">
        <f>sumifs('Form responses'!DN2:DN53,'Form responses'!$C$2:$C53,"&lt;="&amp;$G$28,'Form responses'!$C$2:$C53,"&gt;="&amp;Date(YEAR(DATE(YEAR($G$28),MONTH($G$28)+(-3),1)),4,1),'Form responses'!$D$2:$D53,$C$28)</f>
        <v>0</v>
      </c>
      <c r="DJ31" s="58">
        <f>sumifs('Form responses'!DO2:DO53,'Form responses'!$C$2:$C53,"&lt;="&amp;$G$28,'Form responses'!$C$2:$C53,"&gt;="&amp;Date(YEAR(DATE(YEAR($G$28),MONTH($G$28)+(-3),1)),4,1),'Form responses'!$D$2:$D53,$C$28)</f>
        <v>0</v>
      </c>
      <c r="DK31" s="58">
        <f>sumifs('Form responses'!DP2:DP53,'Form responses'!$C$2:$C53,"&lt;="&amp;$G$28,'Form responses'!$C$2:$C53,"&gt;="&amp;Date(YEAR(DATE(YEAR($G$28),MONTH($G$28)+(-3),1)),4,1),'Form responses'!$D$2:$D53,$C$28)</f>
        <v>0</v>
      </c>
      <c r="DL31" s="58">
        <f>sumifs('Form responses'!DQ2:DQ53,'Form responses'!$C$2:$C53,"&lt;="&amp;$G$28,'Form responses'!$C$2:$C53,"&gt;="&amp;Date(YEAR(DATE(YEAR($G$28),MONTH($G$28)+(-3),1)),4,1),'Form responses'!$D$2:$D53,$C$28)</f>
        <v>0</v>
      </c>
      <c r="DM31" s="58">
        <f>sumifs('Form responses'!DR2:DR53,'Form responses'!$C$2:$C53,"&lt;="&amp;$G$28,'Form responses'!$C$2:$C53,"&gt;="&amp;Date(YEAR(DATE(YEAR($G$28),MONTH($G$28)+(-3),1)),4,1),'Form responses'!$D$2:$D53,$C$28)</f>
        <v>0</v>
      </c>
      <c r="DN31" s="58">
        <f>sumifs('Form responses'!DS2:DS53,'Form responses'!$C$2:$C53,"&lt;="&amp;$G$28,'Form responses'!$C$2:$C53,"&gt;="&amp;Date(YEAR(DATE(YEAR($G$28),MONTH($G$28)+(-3),1)),4,1),'Form responses'!$D$2:$D53,$C$28)</f>
        <v>0</v>
      </c>
      <c r="DO31" s="58">
        <f>sumifs('Form responses'!DT2:DT53,'Form responses'!$C$2:$C53,"&lt;="&amp;$G$28,'Form responses'!$C$2:$C53,"&gt;="&amp;Date(YEAR(DATE(YEAR($G$28),MONTH($G$28)+(-3),1)),4,1),'Form responses'!$D$2:$D53,$C$28)</f>
        <v>0</v>
      </c>
      <c r="DP31" s="58">
        <f>sumifs('Form responses'!DU2:DU53,'Form responses'!$C$2:$C53,"&lt;="&amp;$G$28,'Form responses'!$C$2:$C53,"&gt;="&amp;Date(YEAR(DATE(YEAR($G$28),MONTH($G$28)+(-3),1)),4,1),'Form responses'!$D$2:$D53,$C$28)</f>
        <v>0</v>
      </c>
      <c r="DQ31" s="58">
        <f>sumifs('Form responses'!DV2:DV53,'Form responses'!$C$2:$C53,"&lt;="&amp;$G$28,'Form responses'!$C$2:$C53,"&gt;="&amp;Date(YEAR(DATE(YEAR($G$28),MONTH($G$28)+(-3),1)),4,1),'Form responses'!$D$2:$D53,$C$28)</f>
        <v>0</v>
      </c>
      <c r="DR31" s="58">
        <f>sumifs('Form responses'!DW2:DW53,'Form responses'!$C$2:$C53,"&lt;="&amp;$G$28,'Form responses'!$C$2:$C53,"&gt;="&amp;Date(YEAR(DATE(YEAR($G$28),MONTH($G$28)+(-3),1)),4,1),'Form responses'!$D$2:$D53,$C$28)</f>
        <v>0</v>
      </c>
      <c r="DS31" s="58">
        <f>sumifs('Form responses'!DX2:DX53,'Form responses'!$C$2:$C53,"&lt;="&amp;$G$28,'Form responses'!$C$2:$C53,"&gt;="&amp;Date(YEAR(DATE(YEAR($G$28),MONTH($G$28)+(-3),1)),4,1),'Form responses'!$D$2:$D53,$C$28)</f>
        <v>0</v>
      </c>
      <c r="DT31" s="58">
        <f>sumifs('Form responses'!DY2:DY53,'Form responses'!$C$2:$C53,"&lt;="&amp;$G$28,'Form responses'!$C$2:$C53,"&gt;="&amp;Date(YEAR(DATE(YEAR($G$28),MONTH($G$28)+(-3),1)),4,1),'Form responses'!$D$2:$D53,$C$28)</f>
        <v>0</v>
      </c>
      <c r="DU31" s="58">
        <f>sumifs('Form responses'!DZ2:DZ53,'Form responses'!$C$2:$C53,"&lt;="&amp;$G$28,'Form responses'!$C$2:$C53,"&gt;="&amp;Date(YEAR(DATE(YEAR($G$28),MONTH($G$28)+(-3),1)),4,1),'Form responses'!$D$2:$D53,$C$28)</f>
        <v>0</v>
      </c>
      <c r="DV31" s="58">
        <f>sumifs('Form responses'!EA2:EA53,'Form responses'!$C$2:$C53,"&lt;="&amp;$G$28,'Form responses'!$C$2:$C53,"&gt;="&amp;Date(YEAR(DATE(YEAR($G$28),MONTH($G$28)+(-3),1)),4,1),'Form responses'!$D$2:$D53,$C$28)</f>
        <v>0</v>
      </c>
      <c r="DW31" s="58">
        <f>sumifs('Form responses'!EB2:EB53,'Form responses'!$C$2:$C53,"&lt;="&amp;$G$28,'Form responses'!$C$2:$C53,"&gt;="&amp;Date(YEAR(DATE(YEAR($G$28),MONTH($G$28)+(-3),1)),4,1),'Form responses'!$D$2:$D53,$C$28)</f>
        <v>0</v>
      </c>
      <c r="DX31" s="58">
        <f>sumifs('Form responses'!EC2:EC53,'Form responses'!$C$2:$C53,"&lt;="&amp;$G$28,'Form responses'!$C$2:$C53,"&gt;="&amp;Date(YEAR(DATE(YEAR($G$28),MONTH($G$28)+(-3),1)),4,1),'Form responses'!$D$2:$D53,$C$28)</f>
        <v>0</v>
      </c>
      <c r="DY31" s="58">
        <f>sumifs('Form responses'!ED2:ED53,'Form responses'!$C$2:$C53,"&lt;="&amp;$G$28,'Form responses'!$C$2:$C53,"&gt;="&amp;Date(YEAR(DATE(YEAR($G$28),MONTH($G$28)+(-3),1)),4,1),'Form responses'!$D$2:$D53,$C$28)</f>
        <v>0</v>
      </c>
      <c r="DZ31" s="58">
        <f>sumifs('Form responses'!EE2:EE53,'Form responses'!$C$2:$C53,"&lt;="&amp;$G$28,'Form responses'!$C$2:$C53,"&gt;="&amp;Date(YEAR(DATE(YEAR($G$28),MONTH($G$28)+(-3),1)),4,1),'Form responses'!$D$2:$D53,$C$28)</f>
        <v>0</v>
      </c>
      <c r="EA31" s="58">
        <f>sumifs('Form responses'!EF2:EF53,'Form responses'!$C$2:$C53,"&lt;="&amp;$G$28,'Form responses'!$C$2:$C53,"&gt;="&amp;Date(YEAR(DATE(YEAR($G$28),MONTH($G$28)+(-3),1)),4,1),'Form responses'!$D$2:$D53,$C$28)</f>
        <v>0</v>
      </c>
      <c r="EB31" s="58">
        <f>sumifs('Form responses'!EG2:EG53,'Form responses'!$C$2:$C53,"&lt;="&amp;$G$28,'Form responses'!$C$2:$C53,"&gt;="&amp;Date(YEAR(DATE(YEAR($G$28),MONTH($G$28)+(-3),1)),4,1),'Form responses'!$D$2:$D53,$C$28)</f>
        <v>0</v>
      </c>
      <c r="EC31" s="58">
        <f>sumifs('Form responses'!EH2:EH53,'Form responses'!$C$2:$C53,"&lt;="&amp;$G$28,'Form responses'!$C$2:$C53,"&gt;="&amp;Date(YEAR(DATE(YEAR($G$28),MONTH($G$28)+(-3),1)),4,1),'Form responses'!$D$2:$D53,$C$28)</f>
        <v>0</v>
      </c>
      <c r="ED31" s="58">
        <f>sumifs('Form responses'!EI2:EI53,'Form responses'!$C$2:$C53,"&lt;="&amp;$G$28,'Form responses'!$C$2:$C53,"&gt;="&amp;Date(YEAR(DATE(YEAR($G$28),MONTH($G$28)+(-3),1)),4,1),'Form responses'!$D$2:$D53,$C$28)</f>
        <v>0</v>
      </c>
      <c r="EE31" s="58">
        <f>sumifs('Form responses'!EJ2:EJ53,'Form responses'!$C$2:$C53,"&lt;="&amp;$G$28,'Form responses'!$C$2:$C53,"&gt;="&amp;Date(YEAR(DATE(YEAR($G$28),MONTH($G$28)+(-3),1)),4,1),'Form responses'!$D$2:$D53,$C$28)</f>
        <v>0</v>
      </c>
      <c r="EF31" s="58">
        <f>sumifs('Form responses'!EK2:EK53,'Form responses'!$C$2:$C53,"&lt;="&amp;$G$28,'Form responses'!$C$2:$C53,"&gt;="&amp;Date(YEAR(DATE(YEAR($G$28),MONTH($G$28)+(-3),1)),4,1),'Form responses'!$D$2:$D53,$C$28)</f>
        <v>0</v>
      </c>
      <c r="EG31" s="58">
        <f>sumifs('Form responses'!EL2:EL53,'Form responses'!$C$2:$C53,"&lt;="&amp;$G$28,'Form responses'!$C$2:$C53,"&gt;="&amp;Date(YEAR(DATE(YEAR($G$28),MONTH($G$28)+(-3),1)),4,1),'Form responses'!$D$2:$D53,$C$28)</f>
        <v>0</v>
      </c>
      <c r="EH31" s="58">
        <f>sumifs('Form responses'!EM2:EM53,'Form responses'!$C$2:$C53,"&lt;="&amp;$G$28,'Form responses'!$C$2:$C53,"&gt;="&amp;Date(YEAR(DATE(YEAR($G$28),MONTH($G$28)+(-3),1)),4,1),'Form responses'!$D$2:$D53,$C$28)</f>
        <v>0</v>
      </c>
      <c r="EI31" s="58">
        <f>sumifs('Form responses'!EN2:EN53,'Form responses'!$C$2:$C53,"&lt;="&amp;$G$28,'Form responses'!$C$2:$C53,"&gt;="&amp;Date(YEAR(DATE(YEAR($G$28),MONTH($G$28)+(-3),1)),4,1),'Form responses'!$D$2:$D53,$C$28)</f>
        <v>0</v>
      </c>
      <c r="EJ31" s="58">
        <f>sumifs('Form responses'!EO2:EO53,'Form responses'!$C$2:$C53,"&lt;="&amp;$G$28,'Form responses'!$C$2:$C53,"&gt;="&amp;Date(YEAR(DATE(YEAR($G$28),MONTH($G$28)+(-3),1)),4,1),'Form responses'!$D$2:$D53,$C$28)</f>
        <v>0</v>
      </c>
      <c r="EK31" s="58">
        <f>sumifs('Form responses'!EP2:EP53,'Form responses'!$C$2:$C53,"&lt;="&amp;$G$28,'Form responses'!$C$2:$C53,"&gt;="&amp;Date(YEAR(DATE(YEAR($G$28),MONTH($G$28)+(-3),1)),4,1),'Form responses'!$D$2:$D53,$C$28)</f>
        <v>0</v>
      </c>
    </row>
    <row r="32" ht="8.25" customHeight="1"/>
    <row r="33">
      <c r="B33" s="66" t="s">
        <v>154</v>
      </c>
      <c r="N33" s="67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</row>
    <row r="34" ht="39.75" customHeight="1">
      <c r="A34" s="52"/>
      <c r="B34" s="69" t="s">
        <v>155</v>
      </c>
      <c r="C34" s="70" t="s">
        <v>156</v>
      </c>
      <c r="D34" s="70" t="s">
        <v>157</v>
      </c>
      <c r="E34" s="70" t="s">
        <v>158</v>
      </c>
      <c r="F34" s="70" t="s">
        <v>159</v>
      </c>
      <c r="G34" s="70" t="s">
        <v>160</v>
      </c>
      <c r="H34" s="70" t="s">
        <v>161</v>
      </c>
      <c r="I34" s="70" t="s">
        <v>162</v>
      </c>
      <c r="J34" s="70" t="s">
        <v>163</v>
      </c>
      <c r="K34" s="70" t="s">
        <v>164</v>
      </c>
      <c r="L34" s="70" t="s">
        <v>165</v>
      </c>
      <c r="M34" s="70" t="s">
        <v>166</v>
      </c>
      <c r="N34" s="70" t="s">
        <v>167</v>
      </c>
      <c r="O34" s="70" t="s">
        <v>168</v>
      </c>
      <c r="P34" s="70" t="s">
        <v>169</v>
      </c>
      <c r="Q34" s="70" t="s">
        <v>170</v>
      </c>
      <c r="R34" s="70" t="s">
        <v>171</v>
      </c>
      <c r="S34" s="31" t="s">
        <v>172</v>
      </c>
      <c r="T34" s="71" t="s">
        <v>173</v>
      </c>
      <c r="U34" s="72" t="s">
        <v>174</v>
      </c>
      <c r="V34" s="29" t="s">
        <v>175</v>
      </c>
      <c r="W34" s="29" t="s">
        <v>176</v>
      </c>
      <c r="X34" s="29" t="s">
        <v>177</v>
      </c>
      <c r="Y34" s="30" t="s">
        <v>178</v>
      </c>
      <c r="Z34" s="31" t="s">
        <v>179</v>
      </c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</row>
    <row r="35" ht="18.75" customHeight="1">
      <c r="A35" s="56" t="s">
        <v>190</v>
      </c>
      <c r="B35" s="58">
        <f>sumifs(fees!C$2:C53,fees!$B$2:$B53,"&gt;="&amp;$E$28,fees!$B$2:$B53,"&lt;="&amp;$G$28)</f>
        <v>10</v>
      </c>
      <c r="C35" s="73">
        <f>sumifs(fees!D$2:D53,fees!$B$2:$B53,"&gt;="&amp;$E$28,fees!$B$2:$B53,"&lt;="&amp;$G$28)</f>
        <v>50</v>
      </c>
      <c r="D35" s="73">
        <f>sumifs(fees!E$2:E53,fees!$B$2:$B53,"&gt;="&amp;$E$28,fees!$B$2:$B53,"&lt;="&amp;$G$28)</f>
        <v>25</v>
      </c>
      <c r="E35" s="73">
        <f>sumifs(fees!F$2:F53,fees!$B$2:$B53,"&gt;="&amp;$E$28,fees!$B$2:$B53,"&lt;="&amp;$G$28)</f>
        <v>50</v>
      </c>
      <c r="F35" s="73">
        <f>sumifs(fees!G$2:G53,fees!$B$2:$B53,"&gt;="&amp;$E$28,fees!$B$2:$B53,"&lt;="&amp;$G$28)</f>
        <v>50</v>
      </c>
      <c r="G35" s="73">
        <f>sumifs(fees!H$2:H53,fees!$B$2:$B53,"&gt;="&amp;$E$28,fees!$B$2:$B53,"&lt;="&amp;$G$28)</f>
        <v>100</v>
      </c>
      <c r="H35" s="73">
        <f>sumifs(fees!I$2:I53,fees!$B$2:$B53,"&gt;="&amp;$E$28,fees!$B$2:$B53,"&lt;="&amp;$G$28)</f>
        <v>20</v>
      </c>
      <c r="I35" s="73">
        <f>sumifs(fees!J$2:J53,fees!$B$2:$B53,"&gt;="&amp;$E$28,fees!$B$2:$B53,"&lt;="&amp;$G$28)</f>
        <v>100</v>
      </c>
      <c r="J35" s="73">
        <f>sumifs(fees!K$2:K53,fees!$B$2:$B53,"&gt;="&amp;$E$28,fees!$B$2:$B53,"&lt;="&amp;$G$28)</f>
        <v>5</v>
      </c>
      <c r="K35" s="73">
        <f>sumifs(fees!L$2:L53,fees!$B$2:$B53,"&gt;="&amp;$E$28,fees!$B$2:$B53,"&lt;="&amp;$G$28)</f>
        <v>0</v>
      </c>
      <c r="L35" s="73">
        <f>sumifs(fees!M$2:M53,fees!$B$2:$B53,"&gt;="&amp;$E$28,fees!$B$2:$B53,"&lt;="&amp;$G$28)</f>
        <v>0</v>
      </c>
      <c r="M35" s="73">
        <f>sumifs(fees!N$2:N53,fees!$B$2:$B53,"&gt;="&amp;$E$28,fees!$B$2:$B53,"&lt;="&amp;$G$28)</f>
        <v>0</v>
      </c>
      <c r="N35" s="73">
        <f>sumifs(fees!O$2:O53,fees!$B$2:$B53,"&gt;="&amp;$E$28,fees!$B$2:$B53,"&lt;="&amp;$G$28)</f>
        <v>0</v>
      </c>
      <c r="O35" s="73">
        <f>sumifs(fees!P$2:P53,fees!$B$2:$B53,"&gt;="&amp;$E$28,fees!$B$2:$B53,"&lt;="&amp;$G$28)</f>
        <v>0</v>
      </c>
      <c r="P35" s="73">
        <f>sumifs(fees!Q$2:Q53,fees!$B$2:$B53,"&gt;="&amp;$E$28,fees!$B$2:$B53,"&lt;="&amp;$G$28)</f>
        <v>0</v>
      </c>
      <c r="Q35" s="73">
        <f>sumifs(fees!R$2:R53,fees!$B$2:$B53,"&gt;="&amp;$E$28,fees!$B$2:$B53,"&lt;="&amp;$G$28)</f>
        <v>25</v>
      </c>
      <c r="R35" s="73">
        <f>sumifs(fees!S$2:S53,fees!$B$2:$B53,"&gt;="&amp;$E$28,fees!$B$2:$B53,"&lt;="&amp;$G$28)</f>
        <v>35</v>
      </c>
      <c r="S35" s="73">
        <f>sumifs(fees!T$2:T53,fees!$B$2:$B53,"&gt;="&amp;$E$28,fees!$B$2:$B53,"&lt;="&amp;$G$28)</f>
        <v>50</v>
      </c>
      <c r="T35" s="74">
        <f>sumifs(fees!U$2:U53,fees!$B$2:$B53,"&gt;="&amp;$E$28,fees!$B$2:$B53,"&lt;="&amp;$G$28)</f>
        <v>50</v>
      </c>
      <c r="U35" s="75">
        <f>sumifs(fees!V$2:V53,fees!$B$2:$B53,"&gt;="&amp;$E$28,fees!$B$2:$B53,"&lt;="&amp;$G$28)</f>
        <v>25</v>
      </c>
      <c r="V35" s="76">
        <f>sumifs(fees!W$2:W53,fees!$B$2:$B53,"&gt;="&amp;$E$28,fees!$B$2:$B53,"&lt;="&amp;$G$28)</f>
        <v>40</v>
      </c>
      <c r="W35" s="76">
        <f>sumifs(fees!X$2:X53,fees!$B$2:$B53,"&gt;="&amp;$E$28,fees!$B$2:$B53,"&lt;="&amp;$G$28)</f>
        <v>40</v>
      </c>
      <c r="X35" s="76">
        <f>sumifs(fees!Y$2:Y53,fees!$B$2:$B53,"&gt;="&amp;$E$28,fees!$B$2:$B53,"&lt;="&amp;$G$28)</f>
        <v>2</v>
      </c>
      <c r="Y35" s="77">
        <f>sumifs(fees!Z$2:Z53,fees!$B$2:$B53,"&gt;="&amp;$E$28,fees!$B$2:$B53,"&lt;="&amp;$G$28)</f>
        <v>2</v>
      </c>
      <c r="Z35" s="77">
        <f>sumifs(fees!AA$2:AA53,fees!$B$2:$B53,"&gt;="&amp;$E$28,fees!$B$2:$B53,"&lt;="&amp;$G$28)</f>
        <v>200</v>
      </c>
    </row>
    <row r="36" ht="10.5" customHeight="1"/>
    <row r="37" ht="19.5" customHeight="1">
      <c r="A37" s="68"/>
      <c r="B37" s="66" t="s">
        <v>191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</row>
    <row r="38" ht="67.5" customHeight="1">
      <c r="A38" s="78"/>
      <c r="B38" s="79" t="s">
        <v>57</v>
      </c>
      <c r="C38" s="80" t="s">
        <v>58</v>
      </c>
      <c r="D38" s="80" t="s">
        <v>59</v>
      </c>
      <c r="E38" s="80" t="s">
        <v>60</v>
      </c>
      <c r="F38" s="80" t="s">
        <v>65</v>
      </c>
      <c r="G38" s="80" t="s">
        <v>66</v>
      </c>
      <c r="H38" s="81" t="s">
        <v>67</v>
      </c>
      <c r="I38" s="80" t="s">
        <v>68</v>
      </c>
      <c r="J38" s="80" t="s">
        <v>70</v>
      </c>
      <c r="K38" s="80" t="s">
        <v>73</v>
      </c>
      <c r="L38" s="82" t="s">
        <v>74</v>
      </c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</row>
    <row r="39" ht="18.0" customHeight="1">
      <c r="A39" s="56" t="s">
        <v>192</v>
      </c>
      <c r="B39" s="83">
        <f>sumifs('Form responses'!AZ2:AZ53,'Form responses'!$C$2:$C53,"&gt;="&amp;edate($E$28,-3),'Form responses'!$C$2:$C53,"&lt;="&amp;edate($G$28,-3),'Form responses'!$D$2:$D53,$C$28)</f>
        <v>0</v>
      </c>
      <c r="C39" s="83">
        <f>sumifs('Form responses'!BA2:BA53,'Form responses'!$C$2:$C53,"&gt;="&amp;edate($E$28,-3),'Form responses'!$C$2:$C53,"&lt;="&amp;edate($G$28,-3),'Form responses'!$D$2:$D53,$C$28)</f>
        <v>0</v>
      </c>
      <c r="D39" s="83">
        <f>sumifs('Form responses'!BB2:BB53,'Form responses'!$C$2:$C53,"&gt;="&amp;edate($E$28,-3),'Form responses'!$C$2:$C53,"&lt;="&amp;edate($G$28,-3),'Form responses'!$D$2:$D53,$C$28)</f>
        <v>0</v>
      </c>
      <c r="E39" s="83">
        <f>sumifs('Form responses'!BC2:BC53,'Form responses'!$C$2:$C53,"&gt;="&amp;edate($E$28,-3),'Form responses'!$C$2:$C53,"&lt;="&amp;edate($G$28,-3),'Form responses'!$D$2:$D53,$C$28)</f>
        <v>0</v>
      </c>
      <c r="F39" s="84">
        <f>sumifs('Form responses'!BH2:BH53,'Form responses'!$C$2:$C53,"&gt;="&amp;edate($E$28,-3),'Form responses'!$C$2:$C53,"&lt;="&amp;edate($G$28,-3),'Form responses'!$D$2:$D53,$C$28)</f>
        <v>0</v>
      </c>
      <c r="G39" s="84">
        <f>sumifs('Form responses'!BI2:BI53,'Form responses'!$C$2:$C53,"&gt;="&amp;edate($E$28,-3),'Form responses'!$C$2:$C53,"&lt;="&amp;edate($G$28,-3),'Form responses'!$D$2:$D53,$C$28)</f>
        <v>0</v>
      </c>
      <c r="H39" s="84">
        <f>sumifs('Form responses'!BJ2:BJ53,'Form responses'!$C$2:$C53,"&gt;="&amp;edate($E$28,-3),'Form responses'!$C$2:$C53,"&lt;="&amp;edate($G$28,-3),'Form responses'!$D$2:$D53,$C$28)</f>
        <v>0</v>
      </c>
      <c r="I39" s="84">
        <f>sumifs('Form responses'!BK2:BK53,'Form responses'!$C$2:$C53,"&gt;="&amp;edate($E$28,-3),'Form responses'!$C$2:$C53,"&lt;="&amp;edate($G$28,-3),'Form responses'!$D$2:$D53,$C$28)</f>
        <v>0</v>
      </c>
      <c r="J39" s="84">
        <f>sumifs('Form responses'!BM2:BM53,'Form responses'!$C$2:$C53,"&gt;="&amp;edate($E$28,-3),'Form responses'!$C$2:$C53,"&lt;="&amp;edate($G$28,-3),'Form responses'!$D$2:$D53,$C$28)</f>
        <v>0</v>
      </c>
      <c r="K39" s="84">
        <f>sumifs('Form responses'!BP2:BP53,'Form responses'!$C$2:$C53,"&gt;="&amp;edate($E$28,-3),'Form responses'!$C$2:$C53,"&lt;="&amp;edate($G$28,-3),'Form responses'!$D$2:$D53,$C$28)</f>
        <v>0</v>
      </c>
      <c r="L39" s="84">
        <f>sumifs('Form responses'!BQ2:BQ53,'Form responses'!$C$2:$C53,"&gt;="&amp;edate($E$28,-3),'Form responses'!$C$2:$C53,"&lt;="&amp;edate($G$28,-3),'Form responses'!$D$2:$D53,$C$28)</f>
        <v>0</v>
      </c>
    </row>
    <row r="40" ht="11.25" customHeight="1"/>
    <row r="41" ht="20.25" customHeight="1">
      <c r="B41" s="66" t="s">
        <v>193</v>
      </c>
    </row>
    <row r="42" ht="60.0" customHeight="1">
      <c r="B42" s="79" t="s">
        <v>57</v>
      </c>
      <c r="C42" s="80" t="s">
        <v>58</v>
      </c>
      <c r="D42" s="80" t="s">
        <v>59</v>
      </c>
      <c r="E42" s="80" t="s">
        <v>60</v>
      </c>
      <c r="F42" s="80" t="s">
        <v>65</v>
      </c>
      <c r="G42" s="80" t="s">
        <v>66</v>
      </c>
      <c r="H42" s="81" t="s">
        <v>67</v>
      </c>
      <c r="I42" s="80" t="s">
        <v>68</v>
      </c>
      <c r="J42" s="80" t="s">
        <v>70</v>
      </c>
      <c r="K42" s="80" t="s">
        <v>73</v>
      </c>
      <c r="L42" s="82" t="s">
        <v>74</v>
      </c>
    </row>
    <row r="43" ht="18.0" customHeight="1">
      <c r="A43" s="85" t="s">
        <v>192</v>
      </c>
      <c r="B43" s="83">
        <f>sumifs('Form responses'!AZ2:AZ53,'Form responses'!$C$2:$C53,"&gt;="&amp;edate($E$28,-9),'Form responses'!$C$2:$C53,"&lt;="&amp;edate($G$28,-9),'Form responses'!$D$2:$D53,$C$28)</f>
        <v>0</v>
      </c>
      <c r="C43" s="84">
        <f>sumifs('Form responses'!BA2:BA53,'Form responses'!$C$2:$C53,"&gt;="&amp;edate($E$28,-9),'Form responses'!$C$2:$C53,"&lt;="&amp;edate($G$28,-9),'Form responses'!$D$2:$D53,$C$28)</f>
        <v>0</v>
      </c>
      <c r="D43" s="84">
        <f>sumifs('Form responses'!BB2:BB53,'Form responses'!$C$2:$C53,"&gt;="&amp;edate($E$28,-9),'Form responses'!$C$2:$C53,"&lt;="&amp;edate($G$28,-9),'Form responses'!$D$2:$D53,$C$28)</f>
        <v>0</v>
      </c>
      <c r="E43" s="84">
        <f>sumifs('Form responses'!BC2:BC53,'Form responses'!$C$2:$C53,"&gt;="&amp;edate($E$28,-9),'Form responses'!$C$2:$C53,"&lt;="&amp;edate($G$28,-9),'Form responses'!$D$2:$D53,$C$28)</f>
        <v>0</v>
      </c>
      <c r="F43" s="84">
        <f>sumifs('Form responses'!BH2:BH53,'Form responses'!$C$2:$C53,"&gt;="&amp;edate($E$28,-9),'Form responses'!$C$2:$C53,"&lt;="&amp;edate($G$28,-9),'Form responses'!$D$2:$D53,$C$28)</f>
        <v>0</v>
      </c>
      <c r="G43" s="84">
        <f>sumifs('Form responses'!BI2:BI53,'Form responses'!$C$2:$C53,"&gt;="&amp;edate($E$28,-9),'Form responses'!$C$2:$C53,"&lt;="&amp;edate($G$28,-9),'Form responses'!$D$2:$D53,$C$28)</f>
        <v>0</v>
      </c>
      <c r="H43" s="84">
        <f>sumifs('Form responses'!BJ2:BJ53,'Form responses'!$C$2:$C53,"&gt;="&amp;edate($E$28,-9),'Form responses'!$C$2:$C53,"&lt;="&amp;edate($G$28,-9),'Form responses'!$D$2:$D53,$C$28)</f>
        <v>0</v>
      </c>
      <c r="I43" s="84">
        <f>sumifs('Form responses'!BK2:BK53,'Form responses'!$C$2:$C53,"&gt;="&amp;edate($E$28,-9),'Form responses'!$C$2:$C53,"&lt;="&amp;edate($G$28,-9),'Form responses'!$D$2:$D53,$C$28)</f>
        <v>0</v>
      </c>
      <c r="J43" s="84">
        <f>sumifs('Form responses'!BM2:BM53,'Form responses'!$C$2:$C53,"&gt;="&amp;edate($E$28,-9),'Form responses'!$C$2:$C53,"&lt;="&amp;edate($G$28,-9),'Form responses'!$D$2:$D53,$C$28)</f>
        <v>0</v>
      </c>
      <c r="K43" s="84">
        <f>sumifs('Form responses'!BP2:BP53,'Form responses'!$C$2:$C53,"&gt;="&amp;edate($E$28,-10),'Form responses'!$C$2:$C53,"&lt;="&amp;edate($G$28,-10),'Form responses'!$D$2:$D53,$C$28)</f>
        <v>0</v>
      </c>
      <c r="L43" s="86">
        <f>sumifs('Form responses'!BQ2:BQ53,'Form responses'!$C$2:$C53,"&gt;="&amp;edate($E$28,-10),'Form responses'!$C$2:$C53,"&lt;="&amp;edate($G$28,-10),'Form responses'!$D$2:$D53,$C$28)</f>
        <v>0</v>
      </c>
    </row>
    <row r="44" ht="9.75" customHeight="1"/>
    <row r="45" ht="15.75" customHeight="1">
      <c r="B45" s="66" t="s">
        <v>194</v>
      </c>
    </row>
    <row r="46">
      <c r="B46" s="87" t="s">
        <v>180</v>
      </c>
      <c r="C46" s="88" t="s">
        <v>181</v>
      </c>
      <c r="D46" s="88" t="s">
        <v>182</v>
      </c>
      <c r="E46" s="88" t="s">
        <v>181</v>
      </c>
      <c r="F46" s="88" t="s">
        <v>183</v>
      </c>
      <c r="G46" s="88" t="s">
        <v>181</v>
      </c>
      <c r="H46" s="88" t="s">
        <v>184</v>
      </c>
      <c r="I46" s="88" t="s">
        <v>181</v>
      </c>
      <c r="J46" s="89" t="s">
        <v>185</v>
      </c>
    </row>
    <row r="47">
      <c r="A47" s="56" t="s">
        <v>152</v>
      </c>
      <c r="B47" s="90">
        <f>sumifs('Form responses'!EQ2:EQ53,'Form responses'!$B$2:$B53,"&gt;="&amp;$E$28,'Form responses'!$C$2:$C53,"&lt;="&amp;$G$28,'Form responses'!$D$2:$D53,$C$28)</f>
        <v>0</v>
      </c>
      <c r="C47" s="91">
        <f t="shared" ref="C47:C48" si="5">B47*$V$35</f>
        <v>0</v>
      </c>
      <c r="D47" s="91">
        <f>sumifs('Form responses'!ER2:ER53,'Form responses'!$B$2:$B53,"&gt;="&amp;$E$28,'Form responses'!$C$2:$C53,"&lt;="&amp;$G$28,'Form responses'!$D$2:$D53,$C$28)</f>
        <v>0</v>
      </c>
      <c r="E47" s="91">
        <f t="shared" ref="E47:E48" si="6">D47*$W$35</f>
        <v>0</v>
      </c>
      <c r="F47" s="91">
        <f>sumifs('Form responses'!ES2:ES53,'Form responses'!$B$2:$B53,"&gt;="&amp;$E$28,'Form responses'!$C$2:$C53,"&lt;="&amp;$G$28,'Form responses'!$D$2:$D53,$C$28)</f>
        <v>0</v>
      </c>
      <c r="G47" s="91">
        <f t="shared" ref="G47:G48" si="7">F47*$X$35</f>
        <v>0</v>
      </c>
      <c r="H47" s="91">
        <f>sumifs('Form responses'!ET2:ET53,'Form responses'!$B$2:$B53,"&gt;="&amp;$E$28,'Form responses'!$C$2:$C53,"&lt;="&amp;$G$28,'Form responses'!$D$2:$D53,$C$28)</f>
        <v>0</v>
      </c>
      <c r="I47" s="91">
        <f t="shared" ref="I47:I48" si="8">H47*$Y$35</f>
        <v>0</v>
      </c>
      <c r="J47" s="92">
        <f t="shared" ref="J47:J48" si="9">C47+E47+G47+I47</f>
        <v>0</v>
      </c>
    </row>
    <row r="48">
      <c r="A48" s="56" t="s">
        <v>153</v>
      </c>
      <c r="B48" s="93">
        <f>sumifs('Form responses'!EQ2:EQ53,'Form responses'!$B$2:$B53,"&gt;="&amp;Date(YEAR(DATE(YEAR($G$28),MONTH($G$28)+(-3),1)),4,1),'Form responses'!$C$2:$C53,"&lt;="&amp;$G$28,'Form responses'!$D$2:$D53,$C$28)</f>
        <v>0</v>
      </c>
      <c r="C48" s="94">
        <f t="shared" si="5"/>
        <v>0</v>
      </c>
      <c r="D48" s="94">
        <f>sumifs('Form responses'!ER2:ER53,'Form responses'!$B$2:$B53,"&gt;="&amp;Date(YEAR(DATE(YEAR($G$28),MONTH($G$28)+(-3),1)),4,1),'Form responses'!$C$2:$C53,"&lt;="&amp;$G$28,'Form responses'!$D$2:$D53,$C$28)</f>
        <v>0</v>
      </c>
      <c r="E48" s="94">
        <f t="shared" si="6"/>
        <v>0</v>
      </c>
      <c r="F48" s="94">
        <f>sumifs('Form responses'!ES2:ES53,'Form responses'!$B$2:$B53,"&gt;="&amp;Date(YEAR(DATE(YEAR($G$28),MONTH($G$28)+(-3),1)),4,1),'Form responses'!$C$2:$C53,"&lt;="&amp;$G$28,'Form responses'!$D$2:$D53,$C$28)</f>
        <v>0</v>
      </c>
      <c r="G48" s="94">
        <f t="shared" si="7"/>
        <v>0</v>
      </c>
      <c r="H48" s="94">
        <f>sumifs('Form responses'!ET2:ET53,'Form responses'!$B$2:$B53,"&gt;="&amp;Date(YEAR(DATE(YEAR($G$28),MONTH($G$28)+(-3),1)),4,1),'Form responses'!$C$2:$C53,"&lt;="&amp;$G$28,'Form responses'!$D$2:$D53,$C$28)</f>
        <v>0</v>
      </c>
      <c r="I48" s="94">
        <f t="shared" si="8"/>
        <v>0</v>
      </c>
      <c r="J48" s="95">
        <f t="shared" si="9"/>
        <v>0</v>
      </c>
    </row>
    <row r="52">
      <c r="A52" s="96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  <c r="DY52" s="97"/>
      <c r="DZ52" s="97"/>
      <c r="EA52" s="97"/>
      <c r="EB52" s="97"/>
      <c r="EC52" s="97"/>
      <c r="ED52" s="97"/>
      <c r="EE52" s="97"/>
      <c r="EF52" s="97"/>
      <c r="EG52" s="97"/>
      <c r="EH52" s="97"/>
      <c r="EI52" s="97"/>
      <c r="EJ52" s="98"/>
    </row>
  </sheetData>
  <mergeCells count="9">
    <mergeCell ref="B41:G41"/>
    <mergeCell ref="B45:E45"/>
    <mergeCell ref="B2:D2"/>
    <mergeCell ref="B7:D7"/>
    <mergeCell ref="B16:D16"/>
    <mergeCell ref="B22:D22"/>
    <mergeCell ref="C28:D28"/>
    <mergeCell ref="B33:D33"/>
    <mergeCell ref="B37:E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2.0"/>
    <col customWidth="1" min="3" max="3" width="19.5"/>
    <col customWidth="1" min="4" max="4" width="32.25"/>
    <col customWidth="1" min="5" max="5" width="17.75"/>
    <col customWidth="1" min="6" max="6" width="17.5"/>
    <col customWidth="1" min="7" max="7" width="11.5"/>
    <col customWidth="1" min="8" max="8" width="24.63"/>
    <col customWidth="1" min="9" max="16" width="12.88"/>
    <col customWidth="1" min="17" max="17" width="12.0"/>
    <col customWidth="1" min="18" max="18" width="12.38"/>
    <col customWidth="1" min="19" max="19" width="15.13"/>
    <col customWidth="1" min="20" max="20" width="6.0"/>
    <col customWidth="1" min="21" max="21" width="11.0"/>
    <col customWidth="1" min="22" max="22" width="15.75"/>
    <col customWidth="1" min="23" max="23" width="12.75"/>
  </cols>
  <sheetData>
    <row r="1">
      <c r="A1" s="99" t="s">
        <v>195</v>
      </c>
      <c r="B1" s="99" t="s">
        <v>196</v>
      </c>
      <c r="C1" s="100" t="s">
        <v>0</v>
      </c>
      <c r="D1" s="99" t="s">
        <v>1</v>
      </c>
      <c r="E1" s="99" t="s">
        <v>2</v>
      </c>
      <c r="F1" s="99" t="s">
        <v>3</v>
      </c>
      <c r="G1" s="99" t="s">
        <v>4</v>
      </c>
      <c r="H1" s="99" t="s">
        <v>5</v>
      </c>
      <c r="I1" s="101" t="s">
        <v>197</v>
      </c>
      <c r="J1" s="99" t="s">
        <v>198</v>
      </c>
      <c r="K1" s="99" t="s">
        <v>199</v>
      </c>
      <c r="L1" s="99" t="s">
        <v>200</v>
      </c>
      <c r="M1" s="99" t="s">
        <v>201</v>
      </c>
      <c r="N1" s="99" t="s">
        <v>202</v>
      </c>
      <c r="O1" s="99" t="s">
        <v>203</v>
      </c>
      <c r="P1" s="99" t="s">
        <v>204</v>
      </c>
      <c r="Q1" s="102" t="s">
        <v>205</v>
      </c>
      <c r="R1" s="99" t="s">
        <v>206</v>
      </c>
      <c r="S1" s="99" t="s">
        <v>207</v>
      </c>
      <c r="T1" s="99" t="s">
        <v>208</v>
      </c>
      <c r="U1" s="99" t="s">
        <v>6</v>
      </c>
      <c r="V1" s="103" t="s">
        <v>209</v>
      </c>
      <c r="W1" s="103" t="s">
        <v>210</v>
      </c>
    </row>
    <row r="2">
      <c r="A2" s="104" t="s">
        <v>211</v>
      </c>
      <c r="B2" s="104" t="s">
        <v>211</v>
      </c>
      <c r="C2" s="105" t="s">
        <v>212</v>
      </c>
      <c r="D2" s="104" t="s">
        <v>213</v>
      </c>
      <c r="E2" s="106" t="s">
        <v>2</v>
      </c>
      <c r="F2" s="106" t="s">
        <v>214</v>
      </c>
      <c r="G2" s="107">
        <v>9.41761172E9</v>
      </c>
      <c r="H2" s="106" t="s">
        <v>215</v>
      </c>
      <c r="I2" s="108"/>
      <c r="J2" s="105"/>
      <c r="K2" s="105"/>
      <c r="L2" s="105"/>
      <c r="M2" s="105"/>
      <c r="N2" s="105"/>
      <c r="Q2" s="109" t="s">
        <v>216</v>
      </c>
      <c r="R2" s="104">
        <v>0.0</v>
      </c>
      <c r="S2" s="110" t="s">
        <v>217</v>
      </c>
      <c r="T2" s="104">
        <v>0.0</v>
      </c>
      <c r="U2" s="104">
        <v>2.0</v>
      </c>
      <c r="V2" s="106" t="s">
        <v>211</v>
      </c>
      <c r="W2" s="106" t="s">
        <v>211</v>
      </c>
    </row>
    <row r="3">
      <c r="A3" s="111" t="s">
        <v>218</v>
      </c>
      <c r="B3" s="112" t="s">
        <v>219</v>
      </c>
      <c r="C3" s="113" t="s">
        <v>220</v>
      </c>
      <c r="D3" s="112" t="s">
        <v>221</v>
      </c>
      <c r="E3" s="114" t="s">
        <v>222</v>
      </c>
      <c r="F3" s="114" t="s">
        <v>223</v>
      </c>
      <c r="G3" s="115">
        <v>9.417159086E9</v>
      </c>
      <c r="H3" s="114" t="s">
        <v>224</v>
      </c>
      <c r="I3" s="116"/>
      <c r="J3" s="113"/>
      <c r="K3" s="113"/>
      <c r="L3" s="113"/>
      <c r="M3" s="113"/>
      <c r="N3" s="113"/>
      <c r="Q3" s="117" t="s">
        <v>225</v>
      </c>
      <c r="R3" s="112">
        <v>0.0</v>
      </c>
      <c r="S3" s="118" t="s">
        <v>217</v>
      </c>
      <c r="T3" s="112">
        <v>0.0</v>
      </c>
      <c r="U3" s="112">
        <v>3.0</v>
      </c>
      <c r="V3" s="106" t="s">
        <v>226</v>
      </c>
      <c r="W3" s="106" t="s">
        <v>227</v>
      </c>
    </row>
    <row r="4">
      <c r="A4" s="119" t="s">
        <v>228</v>
      </c>
      <c r="B4" s="104" t="s">
        <v>229</v>
      </c>
      <c r="C4" s="105" t="s">
        <v>230</v>
      </c>
      <c r="D4" s="104" t="s">
        <v>231</v>
      </c>
      <c r="E4" s="120" t="s">
        <v>232</v>
      </c>
      <c r="F4" s="104" t="s">
        <v>223</v>
      </c>
      <c r="G4" s="104">
        <v>8.26432832E9</v>
      </c>
      <c r="H4" s="106" t="s">
        <v>233</v>
      </c>
      <c r="K4" s="121"/>
      <c r="L4" s="122"/>
      <c r="M4" s="122"/>
      <c r="N4" s="122"/>
      <c r="O4" s="122"/>
      <c r="P4" s="122"/>
      <c r="Q4" s="109" t="s">
        <v>234</v>
      </c>
      <c r="R4" s="104">
        <v>0.0</v>
      </c>
      <c r="S4" s="110" t="s">
        <v>217</v>
      </c>
      <c r="T4" s="104">
        <v>0.0</v>
      </c>
      <c r="U4" s="104">
        <v>3.0</v>
      </c>
      <c r="V4" s="106" t="s">
        <v>226</v>
      </c>
      <c r="W4" s="106" t="s">
        <v>226</v>
      </c>
    </row>
    <row r="5">
      <c r="A5" s="111" t="s">
        <v>235</v>
      </c>
      <c r="B5" s="112" t="s">
        <v>236</v>
      </c>
      <c r="C5" s="113" t="s">
        <v>237</v>
      </c>
      <c r="D5" s="112" t="s">
        <v>238</v>
      </c>
      <c r="E5" s="112" t="s">
        <v>239</v>
      </c>
      <c r="F5" s="112" t="s">
        <v>223</v>
      </c>
      <c r="G5" s="123">
        <v>9.876334873E9</v>
      </c>
      <c r="H5" s="112" t="s">
        <v>240</v>
      </c>
      <c r="I5" s="123"/>
      <c r="J5" s="113"/>
      <c r="K5" s="124"/>
      <c r="L5" s="124"/>
      <c r="M5" s="124"/>
      <c r="N5" s="124"/>
      <c r="O5" s="124"/>
      <c r="P5" s="124"/>
      <c r="Q5" s="117" t="s">
        <v>241</v>
      </c>
      <c r="R5" s="112">
        <v>0.0</v>
      </c>
      <c r="S5" s="118" t="s">
        <v>217</v>
      </c>
      <c r="T5" s="112">
        <v>2.0</v>
      </c>
      <c r="U5" s="112">
        <v>3.0</v>
      </c>
      <c r="V5" s="106" t="s">
        <v>226</v>
      </c>
      <c r="W5" s="106" t="s">
        <v>226</v>
      </c>
    </row>
    <row r="6">
      <c r="A6" s="119" t="s">
        <v>242</v>
      </c>
      <c r="B6" s="104" t="s">
        <v>243</v>
      </c>
      <c r="C6" s="105" t="s">
        <v>244</v>
      </c>
      <c r="D6" s="104" t="s">
        <v>245</v>
      </c>
      <c r="E6" s="120" t="s">
        <v>245</v>
      </c>
      <c r="F6" s="104" t="s">
        <v>223</v>
      </c>
      <c r="G6" s="125">
        <v>9.855917155E9</v>
      </c>
      <c r="H6" s="104" t="s">
        <v>246</v>
      </c>
      <c r="I6" s="126"/>
      <c r="J6" s="125"/>
      <c r="K6" s="122"/>
      <c r="L6" s="122"/>
      <c r="M6" s="122"/>
      <c r="N6" s="122"/>
      <c r="O6" s="122"/>
      <c r="P6" s="122"/>
      <c r="Q6" s="109" t="s">
        <v>247</v>
      </c>
      <c r="R6" s="104">
        <v>1.0</v>
      </c>
      <c r="S6" s="110" t="s">
        <v>217</v>
      </c>
      <c r="T6" s="104">
        <v>0.0</v>
      </c>
      <c r="U6" s="104">
        <v>3.0</v>
      </c>
      <c r="V6" s="106" t="s">
        <v>226</v>
      </c>
      <c r="W6" s="106" t="s">
        <v>226</v>
      </c>
    </row>
    <row r="7">
      <c r="A7" s="111" t="s">
        <v>248</v>
      </c>
      <c r="B7" s="112" t="s">
        <v>249</v>
      </c>
      <c r="C7" s="113" t="s">
        <v>250</v>
      </c>
      <c r="D7" s="112" t="s">
        <v>250</v>
      </c>
      <c r="E7" s="114" t="s">
        <v>245</v>
      </c>
      <c r="F7" s="114" t="s">
        <v>223</v>
      </c>
      <c r="G7" s="115">
        <v>9.855917155E9</v>
      </c>
      <c r="H7" s="114" t="s">
        <v>251</v>
      </c>
      <c r="I7" s="116"/>
      <c r="J7" s="124"/>
      <c r="K7" s="124"/>
      <c r="L7" s="124"/>
      <c r="M7" s="124"/>
      <c r="N7" s="124"/>
      <c r="O7" s="124"/>
      <c r="P7" s="124"/>
      <c r="Q7" s="117"/>
      <c r="R7" s="112">
        <v>1.0</v>
      </c>
      <c r="S7" s="118" t="s">
        <v>217</v>
      </c>
      <c r="T7" s="112">
        <v>0.0</v>
      </c>
      <c r="U7" s="112">
        <v>3.0</v>
      </c>
      <c r="V7" s="106" t="s">
        <v>226</v>
      </c>
      <c r="W7" s="106" t="s">
        <v>226</v>
      </c>
    </row>
    <row r="8">
      <c r="A8" s="119" t="s">
        <v>252</v>
      </c>
      <c r="B8" s="104" t="s">
        <v>253</v>
      </c>
      <c r="C8" s="105" t="s">
        <v>254</v>
      </c>
      <c r="D8" s="104" t="s">
        <v>255</v>
      </c>
      <c r="E8" s="106" t="s">
        <v>256</v>
      </c>
      <c r="F8" s="106" t="s">
        <v>223</v>
      </c>
      <c r="G8" s="107">
        <v>8.054051144E9</v>
      </c>
      <c r="H8" s="106" t="s">
        <v>257</v>
      </c>
      <c r="I8" s="108"/>
      <c r="J8" s="105"/>
      <c r="K8" s="122"/>
      <c r="L8" s="122"/>
      <c r="M8" s="122"/>
      <c r="N8" s="122"/>
      <c r="O8" s="122"/>
      <c r="P8" s="122"/>
      <c r="Q8" s="109" t="s">
        <v>258</v>
      </c>
      <c r="R8" s="104">
        <v>1.0</v>
      </c>
      <c r="S8" s="110" t="s">
        <v>217</v>
      </c>
      <c r="T8" s="104">
        <v>0.0</v>
      </c>
      <c r="U8" s="104">
        <v>3.0</v>
      </c>
      <c r="V8" s="106" t="s">
        <v>226</v>
      </c>
      <c r="W8" s="106" t="s">
        <v>226</v>
      </c>
    </row>
    <row r="9">
      <c r="A9" s="111" t="s">
        <v>259</v>
      </c>
      <c r="B9" s="112" t="s">
        <v>260</v>
      </c>
      <c r="C9" s="113" t="s">
        <v>261</v>
      </c>
      <c r="D9" s="112" t="s">
        <v>262</v>
      </c>
      <c r="E9" s="112" t="s">
        <v>263</v>
      </c>
      <c r="F9" s="112" t="s">
        <v>223</v>
      </c>
      <c r="G9" s="112">
        <v>9.463268157E9</v>
      </c>
      <c r="H9" s="114" t="s">
        <v>264</v>
      </c>
      <c r="I9" s="127"/>
      <c r="J9" s="124"/>
      <c r="K9" s="124"/>
      <c r="L9" s="124"/>
      <c r="M9" s="124"/>
      <c r="N9" s="124"/>
      <c r="O9" s="124"/>
      <c r="P9" s="124"/>
      <c r="Q9" s="117" t="s">
        <v>265</v>
      </c>
      <c r="R9" s="112">
        <v>1.0</v>
      </c>
      <c r="S9" s="118" t="s">
        <v>217</v>
      </c>
      <c r="T9" s="112">
        <v>0.0</v>
      </c>
      <c r="U9" s="112">
        <v>3.0</v>
      </c>
      <c r="V9" s="106" t="s">
        <v>226</v>
      </c>
      <c r="W9" s="106" t="s">
        <v>226</v>
      </c>
    </row>
    <row r="10">
      <c r="A10" s="119" t="s">
        <v>266</v>
      </c>
      <c r="B10" s="104" t="s">
        <v>267</v>
      </c>
      <c r="C10" s="105" t="s">
        <v>268</v>
      </c>
      <c r="D10" s="104" t="s">
        <v>269</v>
      </c>
      <c r="E10" s="106" t="s">
        <v>270</v>
      </c>
      <c r="F10" s="106" t="s">
        <v>223</v>
      </c>
      <c r="G10" s="107">
        <v>9.814642975E9</v>
      </c>
      <c r="H10" s="106" t="s">
        <v>271</v>
      </c>
      <c r="I10" s="108"/>
      <c r="J10" s="105"/>
      <c r="K10" s="105"/>
      <c r="L10" s="105"/>
      <c r="M10" s="105"/>
      <c r="N10" s="122"/>
      <c r="O10" s="122"/>
      <c r="P10" s="122"/>
      <c r="Q10" s="109" t="s">
        <v>272</v>
      </c>
      <c r="R10" s="104">
        <v>1.0</v>
      </c>
      <c r="S10" s="110" t="s">
        <v>217</v>
      </c>
      <c r="T10" s="104">
        <v>0.0</v>
      </c>
      <c r="U10" s="104">
        <v>3.0</v>
      </c>
      <c r="V10" s="106" t="s">
        <v>226</v>
      </c>
      <c r="W10" s="106" t="s">
        <v>226</v>
      </c>
    </row>
    <row r="11">
      <c r="A11" s="111" t="s">
        <v>273</v>
      </c>
      <c r="B11" s="112" t="s">
        <v>274</v>
      </c>
      <c r="C11" s="113" t="s">
        <v>275</v>
      </c>
      <c r="D11" s="112" t="s">
        <v>276</v>
      </c>
      <c r="E11" s="112" t="s">
        <v>277</v>
      </c>
      <c r="F11" s="112" t="s">
        <v>223</v>
      </c>
      <c r="G11" s="112">
        <v>8.14624453E9</v>
      </c>
      <c r="H11" s="114" t="s">
        <v>278</v>
      </c>
      <c r="I11" s="127"/>
      <c r="J11" s="124"/>
      <c r="K11" s="124"/>
      <c r="L11" s="124"/>
      <c r="M11" s="124"/>
      <c r="N11" s="124"/>
      <c r="O11" s="124"/>
      <c r="P11" s="124"/>
      <c r="Q11" s="117" t="s">
        <v>279</v>
      </c>
      <c r="R11" s="112">
        <v>0.0</v>
      </c>
      <c r="S11" s="118" t="s">
        <v>217</v>
      </c>
      <c r="T11" s="112">
        <v>0.0</v>
      </c>
      <c r="U11" s="112">
        <v>3.0</v>
      </c>
      <c r="V11" s="106" t="s">
        <v>226</v>
      </c>
      <c r="W11" s="106" t="s">
        <v>226</v>
      </c>
    </row>
    <row r="12">
      <c r="A12" s="119" t="s">
        <v>280</v>
      </c>
      <c r="B12" s="104" t="s">
        <v>281</v>
      </c>
      <c r="C12" s="105" t="s">
        <v>282</v>
      </c>
      <c r="D12" s="104" t="s">
        <v>255</v>
      </c>
      <c r="E12" s="106" t="s">
        <v>283</v>
      </c>
      <c r="F12" s="106" t="s">
        <v>223</v>
      </c>
      <c r="G12" s="107">
        <v>9.872205826E9</v>
      </c>
      <c r="H12" s="106" t="s">
        <v>284</v>
      </c>
      <c r="I12" s="108"/>
      <c r="J12" s="105"/>
      <c r="K12" s="122"/>
      <c r="L12" s="122"/>
      <c r="M12" s="122"/>
      <c r="N12" s="122"/>
      <c r="O12" s="122"/>
      <c r="P12" s="122"/>
      <c r="Q12" s="109"/>
      <c r="R12" s="104">
        <v>1.0</v>
      </c>
      <c r="S12" s="110" t="s">
        <v>217</v>
      </c>
      <c r="T12" s="104">
        <v>0.0</v>
      </c>
      <c r="U12" s="104">
        <v>3.0</v>
      </c>
      <c r="V12" s="106" t="s">
        <v>226</v>
      </c>
      <c r="W12" s="106" t="s">
        <v>226</v>
      </c>
    </row>
    <row r="13">
      <c r="A13" s="111" t="s">
        <v>285</v>
      </c>
      <c r="B13" s="112" t="s">
        <v>286</v>
      </c>
      <c r="C13" s="113" t="s">
        <v>287</v>
      </c>
      <c r="D13" s="112" t="s">
        <v>288</v>
      </c>
      <c r="E13" s="114" t="s">
        <v>289</v>
      </c>
      <c r="F13" s="114" t="s">
        <v>223</v>
      </c>
      <c r="G13" s="115">
        <v>9.85551877E9</v>
      </c>
      <c r="H13" s="114" t="s">
        <v>290</v>
      </c>
      <c r="I13" s="116"/>
      <c r="J13" s="113"/>
      <c r="K13" s="124"/>
      <c r="L13" s="124"/>
      <c r="M13" s="124"/>
      <c r="N13" s="124"/>
      <c r="O13" s="124"/>
      <c r="P13" s="124"/>
      <c r="Q13" s="117" t="s">
        <v>291</v>
      </c>
      <c r="R13" s="112">
        <v>0.0</v>
      </c>
      <c r="S13" s="118" t="s">
        <v>217</v>
      </c>
      <c r="T13" s="112">
        <v>2.0</v>
      </c>
      <c r="U13" s="112">
        <v>3.0</v>
      </c>
      <c r="V13" s="106" t="s">
        <v>226</v>
      </c>
      <c r="W13" s="106" t="s">
        <v>226</v>
      </c>
    </row>
    <row r="14">
      <c r="A14" s="119" t="s">
        <v>292</v>
      </c>
      <c r="B14" s="104" t="s">
        <v>293</v>
      </c>
      <c r="C14" s="105" t="s">
        <v>294</v>
      </c>
      <c r="D14" s="106" t="s">
        <v>295</v>
      </c>
      <c r="E14" s="128" t="s">
        <v>296</v>
      </c>
      <c r="F14" s="104" t="s">
        <v>223</v>
      </c>
      <c r="G14" s="104">
        <v>9.877136065E9</v>
      </c>
      <c r="H14" s="106" t="s">
        <v>297</v>
      </c>
      <c r="I14" s="126"/>
      <c r="J14" s="122"/>
      <c r="K14" s="122"/>
      <c r="L14" s="122"/>
      <c r="M14" s="122"/>
      <c r="N14" s="122"/>
      <c r="O14" s="122"/>
      <c r="P14" s="122"/>
      <c r="Q14" s="109" t="s">
        <v>298</v>
      </c>
      <c r="R14" s="104">
        <v>1.0</v>
      </c>
      <c r="S14" s="110" t="s">
        <v>217</v>
      </c>
      <c r="T14" s="104">
        <v>0.0</v>
      </c>
      <c r="U14" s="104">
        <v>3.0</v>
      </c>
      <c r="V14" s="106" t="s">
        <v>226</v>
      </c>
      <c r="W14" s="106" t="s">
        <v>226</v>
      </c>
    </row>
    <row r="15">
      <c r="A15" s="111" t="s">
        <v>299</v>
      </c>
      <c r="B15" s="112" t="s">
        <v>300</v>
      </c>
      <c r="C15" s="113" t="s">
        <v>301</v>
      </c>
      <c r="D15" s="112" t="s">
        <v>302</v>
      </c>
      <c r="E15" s="112" t="s">
        <v>303</v>
      </c>
      <c r="F15" s="112" t="s">
        <v>223</v>
      </c>
      <c r="G15" s="123">
        <v>8.69964918E9</v>
      </c>
      <c r="H15" s="114" t="s">
        <v>304</v>
      </c>
      <c r="I15" s="127"/>
      <c r="J15" s="113"/>
      <c r="K15" s="113"/>
      <c r="L15" s="113"/>
      <c r="N15" s="124"/>
      <c r="O15" s="124"/>
      <c r="P15" s="124"/>
      <c r="Q15" s="117" t="s">
        <v>305</v>
      </c>
      <c r="R15" s="112">
        <v>1.0</v>
      </c>
      <c r="S15" s="118" t="s">
        <v>217</v>
      </c>
      <c r="T15" s="112">
        <v>0.0</v>
      </c>
      <c r="U15" s="112">
        <v>3.0</v>
      </c>
      <c r="V15" s="106" t="s">
        <v>226</v>
      </c>
      <c r="W15" s="106" t="s">
        <v>226</v>
      </c>
    </row>
    <row r="16">
      <c r="A16" s="119" t="s">
        <v>306</v>
      </c>
      <c r="B16" s="104" t="s">
        <v>307</v>
      </c>
      <c r="C16" s="105" t="s">
        <v>308</v>
      </c>
      <c r="D16" s="104" t="s">
        <v>309</v>
      </c>
      <c r="E16" s="106" t="s">
        <v>310</v>
      </c>
      <c r="F16" s="106" t="s">
        <v>311</v>
      </c>
      <c r="G16" s="107">
        <v>9.417380115E9</v>
      </c>
      <c r="H16" s="106" t="s">
        <v>312</v>
      </c>
      <c r="I16" s="108"/>
      <c r="J16" s="105"/>
      <c r="K16" s="122"/>
      <c r="L16" s="122"/>
      <c r="M16" s="122"/>
      <c r="N16" s="122"/>
      <c r="O16" s="122"/>
      <c r="P16" s="122"/>
      <c r="Q16" s="109"/>
      <c r="R16" s="104">
        <v>1.0</v>
      </c>
      <c r="S16" s="110" t="s">
        <v>217</v>
      </c>
      <c r="T16" s="104">
        <v>0.0</v>
      </c>
      <c r="U16" s="104">
        <v>3.0</v>
      </c>
      <c r="V16" s="106" t="s">
        <v>226</v>
      </c>
      <c r="W16" s="106" t="s">
        <v>226</v>
      </c>
    </row>
    <row r="17">
      <c r="A17" s="111" t="s">
        <v>313</v>
      </c>
      <c r="B17" s="112">
        <v>5416.0</v>
      </c>
      <c r="C17" s="113" t="s">
        <v>314</v>
      </c>
      <c r="D17" s="112" t="s">
        <v>315</v>
      </c>
      <c r="E17" s="112" t="s">
        <v>316</v>
      </c>
      <c r="F17" s="112" t="s">
        <v>223</v>
      </c>
      <c r="G17" s="112">
        <v>9.417326027E9</v>
      </c>
      <c r="H17" s="114" t="s">
        <v>317</v>
      </c>
      <c r="I17" s="127"/>
      <c r="J17" s="124"/>
      <c r="K17" s="124"/>
      <c r="L17" s="124"/>
      <c r="M17" s="124"/>
      <c r="N17" s="124"/>
      <c r="O17" s="124"/>
      <c r="P17" s="124"/>
      <c r="Q17" s="117" t="s">
        <v>318</v>
      </c>
      <c r="R17" s="112">
        <v>0.0</v>
      </c>
      <c r="S17" s="118" t="s">
        <v>217</v>
      </c>
      <c r="T17" s="112">
        <v>2.0</v>
      </c>
      <c r="U17" s="112">
        <v>3.0</v>
      </c>
      <c r="V17" s="106" t="s">
        <v>226</v>
      </c>
      <c r="W17" s="106" t="s">
        <v>226</v>
      </c>
    </row>
    <row r="18">
      <c r="A18" s="119" t="s">
        <v>319</v>
      </c>
      <c r="B18" s="104" t="s">
        <v>320</v>
      </c>
      <c r="C18" s="105" t="s">
        <v>321</v>
      </c>
      <c r="D18" s="104" t="s">
        <v>322</v>
      </c>
      <c r="E18" s="104" t="s">
        <v>322</v>
      </c>
      <c r="F18" s="104" t="s">
        <v>223</v>
      </c>
      <c r="G18" s="104">
        <v>9.463425764E9</v>
      </c>
      <c r="H18" s="106" t="s">
        <v>323</v>
      </c>
      <c r="I18" s="126"/>
      <c r="J18" s="122"/>
      <c r="K18" s="122"/>
      <c r="L18" s="122"/>
      <c r="M18" s="122"/>
      <c r="N18" s="122"/>
      <c r="O18" s="122"/>
      <c r="P18" s="122"/>
      <c r="Q18" s="109" t="s">
        <v>324</v>
      </c>
      <c r="R18" s="104">
        <v>0.0</v>
      </c>
      <c r="S18" s="110" t="s">
        <v>217</v>
      </c>
      <c r="T18" s="104">
        <v>2.0</v>
      </c>
      <c r="U18" s="104">
        <v>3.0</v>
      </c>
      <c r="V18" s="106" t="s">
        <v>226</v>
      </c>
      <c r="W18" s="106" t="s">
        <v>226</v>
      </c>
    </row>
    <row r="19">
      <c r="A19" s="111" t="s">
        <v>325</v>
      </c>
      <c r="B19" s="112" t="s">
        <v>326</v>
      </c>
      <c r="C19" s="113" t="s">
        <v>327</v>
      </c>
      <c r="D19" s="112" t="s">
        <v>328</v>
      </c>
      <c r="E19" s="114" t="s">
        <v>329</v>
      </c>
      <c r="F19" s="114" t="s">
        <v>223</v>
      </c>
      <c r="G19" s="115">
        <v>6.239601616E9</v>
      </c>
      <c r="H19" s="114" t="s">
        <v>330</v>
      </c>
      <c r="I19" s="116"/>
      <c r="J19" s="113"/>
      <c r="K19" s="113"/>
      <c r="L19" s="113"/>
      <c r="M19" s="113"/>
      <c r="N19" s="124"/>
      <c r="O19" s="124"/>
      <c r="P19" s="124"/>
      <c r="Q19" s="117" t="s">
        <v>331</v>
      </c>
      <c r="R19" s="112">
        <v>1.0</v>
      </c>
      <c r="S19" s="118" t="s">
        <v>217</v>
      </c>
      <c r="T19" s="112">
        <v>2.0</v>
      </c>
      <c r="U19" s="112">
        <v>3.0</v>
      </c>
      <c r="V19" s="106" t="s">
        <v>226</v>
      </c>
      <c r="W19" s="106" t="s">
        <v>226</v>
      </c>
    </row>
    <row r="20">
      <c r="A20" s="119" t="s">
        <v>332</v>
      </c>
      <c r="B20" s="104" t="s">
        <v>333</v>
      </c>
      <c r="C20" s="105" t="s">
        <v>334</v>
      </c>
      <c r="D20" s="104" t="s">
        <v>335</v>
      </c>
      <c r="E20" s="104" t="s">
        <v>336</v>
      </c>
      <c r="F20" s="104" t="s">
        <v>223</v>
      </c>
      <c r="G20" s="104">
        <v>9.463967789E9</v>
      </c>
      <c r="H20" s="106" t="s">
        <v>337</v>
      </c>
      <c r="I20" s="126"/>
      <c r="J20" s="122"/>
      <c r="K20" s="122"/>
      <c r="L20" s="122"/>
      <c r="M20" s="122"/>
      <c r="N20" s="122"/>
      <c r="O20" s="122"/>
      <c r="P20" s="122"/>
      <c r="Q20" s="109"/>
      <c r="R20" s="104">
        <v>1.0</v>
      </c>
      <c r="S20" s="110" t="s">
        <v>217</v>
      </c>
      <c r="T20" s="104">
        <v>0.0</v>
      </c>
      <c r="U20" s="104">
        <v>3.0</v>
      </c>
      <c r="V20" s="106" t="s">
        <v>226</v>
      </c>
      <c r="W20" s="106" t="s">
        <v>226</v>
      </c>
    </row>
    <row r="21">
      <c r="A21" s="111" t="s">
        <v>338</v>
      </c>
      <c r="B21" s="112">
        <v>1234.0</v>
      </c>
      <c r="C21" s="113" t="s">
        <v>282</v>
      </c>
      <c r="D21" s="112" t="s">
        <v>339</v>
      </c>
      <c r="E21" s="129" t="s">
        <v>283</v>
      </c>
      <c r="F21" s="112" t="s">
        <v>223</v>
      </c>
      <c r="G21" s="112">
        <v>9.872205826E9</v>
      </c>
      <c r="H21" s="114" t="s">
        <v>284</v>
      </c>
      <c r="I21" s="127"/>
      <c r="J21" s="124"/>
      <c r="K21" s="124"/>
      <c r="L21" s="124"/>
      <c r="M21" s="124"/>
      <c r="N21" s="124"/>
      <c r="O21" s="124"/>
      <c r="P21" s="124"/>
      <c r="Q21" s="117" t="s">
        <v>340</v>
      </c>
      <c r="R21" s="112">
        <v>0.0</v>
      </c>
      <c r="S21" s="118" t="s">
        <v>217</v>
      </c>
      <c r="T21" s="112">
        <v>0.0</v>
      </c>
      <c r="U21" s="112">
        <v>3.0</v>
      </c>
      <c r="V21" s="106" t="s">
        <v>226</v>
      </c>
      <c r="W21" s="106" t="s">
        <v>226</v>
      </c>
    </row>
    <row r="22">
      <c r="A22" s="119" t="s">
        <v>341</v>
      </c>
      <c r="B22" s="104" t="s">
        <v>342</v>
      </c>
      <c r="C22" s="105" t="s">
        <v>343</v>
      </c>
      <c r="D22" s="104" t="s">
        <v>344</v>
      </c>
      <c r="E22" s="104" t="s">
        <v>345</v>
      </c>
      <c r="F22" s="104" t="s">
        <v>223</v>
      </c>
      <c r="G22" s="125">
        <v>9.417562733E9</v>
      </c>
      <c r="H22" s="104" t="s">
        <v>346</v>
      </c>
      <c r="I22" s="130"/>
      <c r="J22" s="122"/>
      <c r="K22" s="122"/>
      <c r="L22" s="122"/>
      <c r="M22" s="122"/>
      <c r="N22" s="122"/>
      <c r="O22" s="122"/>
      <c r="P22" s="122"/>
      <c r="Q22" s="109"/>
      <c r="R22" s="104">
        <v>1.0</v>
      </c>
      <c r="S22" s="110" t="s">
        <v>217</v>
      </c>
      <c r="T22" s="104">
        <v>0.0</v>
      </c>
      <c r="U22" s="104">
        <v>3.0</v>
      </c>
      <c r="V22" s="106" t="s">
        <v>226</v>
      </c>
      <c r="W22" s="106" t="s">
        <v>226</v>
      </c>
    </row>
    <row r="23">
      <c r="A23" s="111" t="s">
        <v>347</v>
      </c>
      <c r="B23" s="112" t="s">
        <v>348</v>
      </c>
      <c r="C23" s="113" t="s">
        <v>343</v>
      </c>
      <c r="D23" s="112" t="s">
        <v>349</v>
      </c>
      <c r="E23" s="114" t="s">
        <v>345</v>
      </c>
      <c r="F23" s="114" t="s">
        <v>223</v>
      </c>
      <c r="G23" s="115">
        <v>9.417562733E9</v>
      </c>
      <c r="H23" s="114" t="s">
        <v>346</v>
      </c>
      <c r="I23" s="116"/>
      <c r="J23" s="124"/>
      <c r="K23" s="124"/>
      <c r="L23" s="124"/>
      <c r="M23" s="124"/>
      <c r="N23" s="124"/>
      <c r="O23" s="124"/>
      <c r="P23" s="124"/>
      <c r="Q23" s="117" t="s">
        <v>350</v>
      </c>
      <c r="R23" s="112">
        <v>0.0</v>
      </c>
      <c r="S23" s="118" t="s">
        <v>217</v>
      </c>
      <c r="T23" s="112">
        <v>0.0</v>
      </c>
      <c r="U23" s="112">
        <v>3.0</v>
      </c>
      <c r="V23" s="106" t="s">
        <v>226</v>
      </c>
      <c r="W23" s="106" t="s">
        <v>226</v>
      </c>
    </row>
    <row r="24" ht="17.25" customHeight="1">
      <c r="A24" s="119" t="s">
        <v>351</v>
      </c>
      <c r="B24" s="104" t="s">
        <v>352</v>
      </c>
      <c r="C24" s="105" t="s">
        <v>353</v>
      </c>
      <c r="D24" s="104" t="s">
        <v>354</v>
      </c>
      <c r="E24" s="104" t="s">
        <v>355</v>
      </c>
      <c r="F24" s="104" t="s">
        <v>223</v>
      </c>
      <c r="G24" s="104">
        <v>7.888790564E9</v>
      </c>
      <c r="H24" s="106" t="s">
        <v>356</v>
      </c>
      <c r="I24" s="126"/>
      <c r="J24" s="105"/>
      <c r="K24" s="122"/>
      <c r="L24" s="122"/>
      <c r="M24" s="122"/>
      <c r="N24" s="122"/>
      <c r="O24" s="122"/>
      <c r="P24" s="122"/>
      <c r="Q24" s="109" t="s">
        <v>357</v>
      </c>
      <c r="R24" s="104">
        <v>1.0</v>
      </c>
      <c r="S24" s="110" t="s">
        <v>217</v>
      </c>
      <c r="T24" s="104">
        <v>0.0</v>
      </c>
      <c r="U24" s="104">
        <v>3.0</v>
      </c>
      <c r="V24" s="106" t="s">
        <v>226</v>
      </c>
      <c r="W24" s="106" t="s">
        <v>226</v>
      </c>
    </row>
    <row r="25">
      <c r="A25" s="111" t="s">
        <v>358</v>
      </c>
      <c r="B25" s="112" t="s">
        <v>359</v>
      </c>
      <c r="C25" s="113" t="s">
        <v>360</v>
      </c>
      <c r="D25" s="112" t="s">
        <v>361</v>
      </c>
      <c r="E25" s="120" t="s">
        <v>362</v>
      </c>
      <c r="F25" s="112" t="s">
        <v>223</v>
      </c>
      <c r="G25" s="112">
        <v>9.417139492E9</v>
      </c>
      <c r="H25" s="114" t="s">
        <v>363</v>
      </c>
      <c r="I25" s="127"/>
      <c r="J25" s="124"/>
      <c r="K25" s="124"/>
      <c r="L25" s="124"/>
      <c r="M25" s="124"/>
      <c r="N25" s="124"/>
      <c r="O25" s="124"/>
      <c r="P25" s="124"/>
      <c r="Q25" s="117" t="s">
        <v>364</v>
      </c>
      <c r="R25" s="112">
        <v>1.0</v>
      </c>
      <c r="S25" s="118" t="s">
        <v>217</v>
      </c>
      <c r="T25" s="112">
        <v>0.0</v>
      </c>
      <c r="U25" s="112">
        <v>2.0</v>
      </c>
      <c r="V25" s="106" t="s">
        <v>226</v>
      </c>
      <c r="W25" s="106" t="s">
        <v>226</v>
      </c>
    </row>
    <row r="26">
      <c r="A26" s="119" t="s">
        <v>365</v>
      </c>
      <c r="B26" s="104" t="s">
        <v>366</v>
      </c>
      <c r="C26" s="105" t="s">
        <v>367</v>
      </c>
      <c r="D26" s="104" t="s">
        <v>368</v>
      </c>
      <c r="E26" s="106" t="s">
        <v>369</v>
      </c>
      <c r="F26" s="106" t="s">
        <v>223</v>
      </c>
      <c r="G26" s="107">
        <v>9.877579159E9</v>
      </c>
      <c r="H26" s="106" t="s">
        <v>370</v>
      </c>
      <c r="I26" s="108"/>
      <c r="J26" s="122"/>
      <c r="K26" s="122"/>
      <c r="L26" s="122"/>
      <c r="M26" s="122"/>
      <c r="N26" s="122"/>
      <c r="O26" s="122"/>
      <c r="P26" s="122"/>
      <c r="Q26" s="109"/>
      <c r="R26" s="104">
        <v>1.0</v>
      </c>
      <c r="S26" s="110" t="s">
        <v>217</v>
      </c>
      <c r="T26" s="104">
        <v>0.0</v>
      </c>
      <c r="U26" s="104">
        <v>2.0</v>
      </c>
      <c r="V26" s="106" t="s">
        <v>226</v>
      </c>
      <c r="W26" s="106" t="s">
        <v>226</v>
      </c>
    </row>
    <row r="27">
      <c r="A27" s="111" t="s">
        <v>371</v>
      </c>
      <c r="B27" s="112" t="s">
        <v>372</v>
      </c>
      <c r="C27" s="113" t="s">
        <v>373</v>
      </c>
      <c r="D27" s="112" t="s">
        <v>374</v>
      </c>
      <c r="E27" s="114" t="s">
        <v>283</v>
      </c>
      <c r="F27" s="114" t="s">
        <v>223</v>
      </c>
      <c r="G27" s="115">
        <v>9.464253393E9</v>
      </c>
      <c r="H27" s="114" t="s">
        <v>375</v>
      </c>
      <c r="I27" s="116"/>
      <c r="J27" s="113"/>
      <c r="K27" s="113"/>
      <c r="L27" s="113"/>
      <c r="M27" s="131"/>
      <c r="N27" s="124"/>
      <c r="O27" s="124"/>
      <c r="P27" s="124"/>
      <c r="Q27" s="117" t="s">
        <v>376</v>
      </c>
      <c r="R27" s="112">
        <v>1.0</v>
      </c>
      <c r="S27" s="118" t="s">
        <v>217</v>
      </c>
      <c r="T27" s="112">
        <v>0.0</v>
      </c>
      <c r="U27" s="112">
        <v>2.0</v>
      </c>
      <c r="V27" s="106" t="s">
        <v>226</v>
      </c>
      <c r="W27" s="106" t="s">
        <v>226</v>
      </c>
    </row>
    <row r="28">
      <c r="A28" s="119" t="s">
        <v>377</v>
      </c>
      <c r="B28" s="104" t="s">
        <v>378</v>
      </c>
      <c r="C28" s="105" t="s">
        <v>379</v>
      </c>
      <c r="D28" s="104" t="s">
        <v>335</v>
      </c>
      <c r="E28" s="120" t="s">
        <v>380</v>
      </c>
      <c r="F28" s="104" t="s">
        <v>223</v>
      </c>
      <c r="G28" s="104">
        <v>9.815991636E9</v>
      </c>
      <c r="H28" s="106" t="s">
        <v>381</v>
      </c>
      <c r="I28" s="126"/>
      <c r="J28" s="122"/>
      <c r="K28" s="122"/>
      <c r="L28" s="122"/>
      <c r="M28" s="122"/>
      <c r="N28" s="122"/>
      <c r="O28" s="122"/>
      <c r="P28" s="122"/>
      <c r="Q28" s="109" t="s">
        <v>382</v>
      </c>
      <c r="R28" s="104">
        <v>0.0</v>
      </c>
      <c r="S28" s="110" t="s">
        <v>217</v>
      </c>
      <c r="T28" s="104">
        <v>0.0</v>
      </c>
      <c r="U28" s="104">
        <v>2.0</v>
      </c>
      <c r="V28" s="106" t="s">
        <v>226</v>
      </c>
      <c r="W28" s="106" t="s">
        <v>226</v>
      </c>
    </row>
    <row r="29">
      <c r="A29" s="111" t="s">
        <v>383</v>
      </c>
      <c r="B29" s="112" t="s">
        <v>384</v>
      </c>
      <c r="C29" s="113" t="s">
        <v>385</v>
      </c>
      <c r="D29" s="112" t="s">
        <v>386</v>
      </c>
      <c r="E29" s="114" t="s">
        <v>387</v>
      </c>
      <c r="F29" s="114" t="s">
        <v>311</v>
      </c>
      <c r="G29" s="115">
        <v>9.464302899E9</v>
      </c>
      <c r="H29" s="114" t="s">
        <v>388</v>
      </c>
      <c r="I29" s="116"/>
      <c r="J29" s="124"/>
      <c r="K29" s="124"/>
      <c r="L29" s="124"/>
      <c r="M29" s="124"/>
      <c r="N29" s="124"/>
      <c r="O29" s="124"/>
      <c r="P29" s="124"/>
      <c r="Q29" s="117" t="s">
        <v>389</v>
      </c>
      <c r="R29" s="112">
        <v>0.0</v>
      </c>
      <c r="S29" s="118" t="s">
        <v>217</v>
      </c>
      <c r="T29" s="112">
        <v>0.0</v>
      </c>
      <c r="U29" s="112">
        <v>1.0</v>
      </c>
      <c r="V29" s="106" t="s">
        <v>226</v>
      </c>
      <c r="W29" s="106" t="s">
        <v>226</v>
      </c>
    </row>
    <row r="30">
      <c r="A30" s="119" t="s">
        <v>390</v>
      </c>
      <c r="B30" s="104" t="s">
        <v>391</v>
      </c>
      <c r="C30" s="105" t="s">
        <v>392</v>
      </c>
      <c r="D30" s="104" t="s">
        <v>393</v>
      </c>
      <c r="E30" s="106" t="s">
        <v>394</v>
      </c>
      <c r="F30" s="106" t="s">
        <v>311</v>
      </c>
      <c r="G30" s="107">
        <v>9.653120566E9</v>
      </c>
      <c r="H30" s="106" t="s">
        <v>395</v>
      </c>
      <c r="I30" s="108"/>
      <c r="J30" s="122"/>
      <c r="K30" s="122"/>
      <c r="L30" s="122"/>
      <c r="M30" s="122"/>
      <c r="N30" s="122"/>
      <c r="O30" s="122"/>
      <c r="P30" s="122"/>
      <c r="Q30" s="109" t="s">
        <v>396</v>
      </c>
      <c r="R30" s="104">
        <v>1.0</v>
      </c>
      <c r="S30" s="110" t="s">
        <v>217</v>
      </c>
      <c r="T30" s="104">
        <v>0.0</v>
      </c>
      <c r="U30" s="104">
        <v>1.0</v>
      </c>
      <c r="V30" s="106" t="s">
        <v>226</v>
      </c>
      <c r="W30" s="106" t="s">
        <v>226</v>
      </c>
    </row>
    <row r="31">
      <c r="A31" s="111" t="s">
        <v>397</v>
      </c>
      <c r="B31" s="112" t="s">
        <v>398</v>
      </c>
      <c r="C31" s="113" t="s">
        <v>399</v>
      </c>
      <c r="D31" s="112" t="s">
        <v>400</v>
      </c>
      <c r="E31" s="112" t="s">
        <v>401</v>
      </c>
      <c r="F31" s="112" t="s">
        <v>223</v>
      </c>
      <c r="G31" s="112">
        <v>9.417310109E9</v>
      </c>
      <c r="H31" s="114" t="s">
        <v>402</v>
      </c>
      <c r="I31" s="127"/>
      <c r="J31" s="113"/>
      <c r="K31" s="124"/>
      <c r="L31" s="124"/>
      <c r="M31" s="124"/>
      <c r="N31" s="124"/>
      <c r="O31" s="124"/>
      <c r="P31" s="124"/>
      <c r="Q31" s="117" t="s">
        <v>403</v>
      </c>
      <c r="R31" s="112">
        <v>0.0</v>
      </c>
      <c r="S31" s="118" t="s">
        <v>217</v>
      </c>
      <c r="T31" s="112">
        <v>2.0</v>
      </c>
      <c r="U31" s="112">
        <v>2.0</v>
      </c>
      <c r="V31" s="106" t="s">
        <v>226</v>
      </c>
      <c r="W31" s="106" t="s">
        <v>226</v>
      </c>
    </row>
    <row r="32">
      <c r="A32" s="119" t="s">
        <v>404</v>
      </c>
      <c r="B32" s="104" t="s">
        <v>405</v>
      </c>
      <c r="C32" s="105" t="s">
        <v>406</v>
      </c>
      <c r="D32" s="104" t="s">
        <v>407</v>
      </c>
      <c r="E32" s="132" t="s">
        <v>408</v>
      </c>
      <c r="F32" s="104" t="s">
        <v>311</v>
      </c>
      <c r="G32" s="104">
        <v>9.915395506E9</v>
      </c>
      <c r="H32" s="106" t="s">
        <v>370</v>
      </c>
      <c r="I32" s="126"/>
      <c r="J32" s="122"/>
      <c r="K32" s="122"/>
      <c r="L32" s="122"/>
      <c r="M32" s="122"/>
      <c r="N32" s="122"/>
      <c r="O32" s="122"/>
      <c r="P32" s="122"/>
      <c r="Q32" s="109"/>
      <c r="R32" s="104">
        <v>1.0</v>
      </c>
      <c r="S32" s="110" t="s">
        <v>217</v>
      </c>
      <c r="T32" s="104">
        <v>0.0</v>
      </c>
      <c r="U32" s="104">
        <v>2.0</v>
      </c>
      <c r="V32" s="106" t="s">
        <v>226</v>
      </c>
      <c r="W32" s="106" t="s">
        <v>226</v>
      </c>
    </row>
    <row r="33">
      <c r="A33" s="111" t="s">
        <v>409</v>
      </c>
      <c r="B33" s="112" t="s">
        <v>410</v>
      </c>
      <c r="C33" s="113" t="s">
        <v>411</v>
      </c>
      <c r="D33" s="112" t="s">
        <v>412</v>
      </c>
      <c r="E33" s="112" t="s">
        <v>413</v>
      </c>
      <c r="F33" s="112" t="s">
        <v>223</v>
      </c>
      <c r="G33" s="112">
        <v>9.041020508E9</v>
      </c>
      <c r="H33" s="114" t="s">
        <v>414</v>
      </c>
      <c r="I33" s="127"/>
      <c r="J33" s="124"/>
      <c r="K33" s="124"/>
      <c r="L33" s="124"/>
      <c r="M33" s="124"/>
      <c r="N33" s="124"/>
      <c r="O33" s="124"/>
      <c r="P33" s="124"/>
      <c r="Q33" s="117" t="s">
        <v>415</v>
      </c>
      <c r="R33" s="112">
        <v>0.0</v>
      </c>
      <c r="S33" s="118" t="s">
        <v>217</v>
      </c>
      <c r="T33" s="112">
        <v>0.0</v>
      </c>
      <c r="U33" s="112">
        <v>2.0</v>
      </c>
      <c r="V33" s="106" t="s">
        <v>226</v>
      </c>
      <c r="W33" s="106" t="s">
        <v>226</v>
      </c>
    </row>
    <row r="34">
      <c r="A34" s="119" t="s">
        <v>416</v>
      </c>
      <c r="B34" s="104" t="s">
        <v>417</v>
      </c>
      <c r="C34" s="105" t="s">
        <v>418</v>
      </c>
      <c r="D34" s="104" t="s">
        <v>386</v>
      </c>
      <c r="E34" s="106" t="s">
        <v>419</v>
      </c>
      <c r="F34" s="104" t="s">
        <v>311</v>
      </c>
      <c r="G34" s="107">
        <v>9.855231112E9</v>
      </c>
      <c r="H34" s="106" t="s">
        <v>420</v>
      </c>
      <c r="I34" s="108"/>
      <c r="J34" s="122"/>
      <c r="K34" s="122"/>
      <c r="L34" s="122"/>
      <c r="M34" s="122"/>
      <c r="N34" s="122"/>
      <c r="O34" s="122"/>
      <c r="P34" s="122"/>
      <c r="Q34" s="109" t="s">
        <v>421</v>
      </c>
      <c r="R34" s="104">
        <v>0.0</v>
      </c>
      <c r="S34" s="110" t="s">
        <v>217</v>
      </c>
      <c r="T34" s="104">
        <v>2.0</v>
      </c>
      <c r="U34" s="104">
        <v>2.0</v>
      </c>
      <c r="V34" s="106" t="s">
        <v>226</v>
      </c>
      <c r="W34" s="106" t="s">
        <v>226</v>
      </c>
    </row>
    <row r="35">
      <c r="A35" s="111" t="s">
        <v>422</v>
      </c>
      <c r="B35" s="112" t="s">
        <v>423</v>
      </c>
      <c r="C35" s="113" t="s">
        <v>424</v>
      </c>
      <c r="D35" s="112" t="s">
        <v>425</v>
      </c>
      <c r="E35" s="112" t="s">
        <v>426</v>
      </c>
      <c r="F35" s="112" t="s">
        <v>223</v>
      </c>
      <c r="G35" s="112">
        <v>9.91516272E9</v>
      </c>
      <c r="H35" s="114" t="s">
        <v>427</v>
      </c>
      <c r="I35" s="127"/>
      <c r="J35" s="113"/>
      <c r="K35" s="124"/>
      <c r="L35" s="124"/>
      <c r="M35" s="124"/>
      <c r="N35" s="124"/>
      <c r="O35" s="124"/>
      <c r="P35" s="124"/>
      <c r="Q35" s="117"/>
      <c r="R35" s="112">
        <v>1.0</v>
      </c>
      <c r="S35" s="118" t="s">
        <v>217</v>
      </c>
      <c r="T35" s="112">
        <v>0.0</v>
      </c>
      <c r="U35" s="112">
        <v>3.0</v>
      </c>
      <c r="V35" s="106" t="s">
        <v>226</v>
      </c>
      <c r="W35" s="106" t="s">
        <v>226</v>
      </c>
    </row>
    <row r="36">
      <c r="A36" s="119"/>
      <c r="B36" s="104"/>
      <c r="C36" s="105"/>
      <c r="D36" s="104"/>
      <c r="E36" s="104"/>
      <c r="F36" s="104"/>
      <c r="H36" s="106"/>
      <c r="I36" s="126"/>
      <c r="J36" s="105"/>
      <c r="K36" s="122"/>
      <c r="L36" s="122"/>
      <c r="M36" s="122"/>
      <c r="N36" s="122"/>
      <c r="O36" s="122"/>
      <c r="P36" s="122"/>
      <c r="Q36" s="109"/>
      <c r="S36" s="110"/>
      <c r="V36" s="133"/>
      <c r="W36" s="133"/>
    </row>
    <row r="37">
      <c r="A37" s="111"/>
      <c r="B37" s="112"/>
      <c r="C37" s="113"/>
      <c r="D37" s="112"/>
      <c r="E37" s="129"/>
      <c r="F37" s="112"/>
      <c r="H37" s="114"/>
      <c r="I37" s="127"/>
      <c r="J37" s="124"/>
      <c r="K37" s="124"/>
      <c r="L37" s="124"/>
      <c r="M37" s="124"/>
      <c r="N37" s="124"/>
      <c r="O37" s="124"/>
      <c r="P37" s="124"/>
      <c r="Q37" s="117"/>
      <c r="S37" s="118"/>
      <c r="V37" s="133"/>
      <c r="W37" s="133"/>
    </row>
    <row r="38">
      <c r="A38" s="119"/>
      <c r="B38" s="104"/>
      <c r="C38" s="105"/>
      <c r="D38" s="104"/>
      <c r="E38" s="104"/>
      <c r="F38" s="104"/>
      <c r="H38" s="106"/>
      <c r="I38" s="126"/>
      <c r="J38" s="122"/>
      <c r="K38" s="122"/>
      <c r="L38" s="122"/>
      <c r="M38" s="122"/>
      <c r="N38" s="122"/>
      <c r="O38" s="122"/>
      <c r="P38" s="122"/>
      <c r="Q38" s="109"/>
      <c r="S38" s="110"/>
      <c r="V38" s="133"/>
      <c r="W38" s="133"/>
    </row>
    <row r="39">
      <c r="A39" s="111"/>
      <c r="B39" s="112"/>
      <c r="C39" s="113"/>
      <c r="D39" s="112"/>
      <c r="E39" s="112"/>
      <c r="F39" s="112"/>
      <c r="H39" s="114"/>
      <c r="I39" s="127"/>
      <c r="J39" s="124"/>
      <c r="K39" s="124"/>
      <c r="L39" s="124"/>
      <c r="M39" s="124"/>
      <c r="N39" s="124"/>
      <c r="O39" s="124"/>
      <c r="P39" s="124"/>
      <c r="Q39" s="117"/>
      <c r="S39" s="118"/>
      <c r="V39" s="133"/>
      <c r="W39" s="133"/>
    </row>
    <row r="40">
      <c r="B40" s="104"/>
      <c r="C40" s="105"/>
      <c r="D40" s="104"/>
      <c r="F40" s="104"/>
      <c r="H40" s="106"/>
      <c r="Q40" s="109"/>
      <c r="S40" s="110"/>
      <c r="V40" s="133"/>
      <c r="W40" s="133"/>
    </row>
    <row r="41">
      <c r="A41" s="111"/>
      <c r="B41" s="112"/>
      <c r="C41" s="113"/>
      <c r="D41" s="112"/>
      <c r="E41" s="112"/>
      <c r="F41" s="112"/>
      <c r="H41" s="114"/>
      <c r="I41" s="127"/>
      <c r="J41" s="124"/>
      <c r="K41" s="124"/>
      <c r="L41" s="124"/>
      <c r="M41" s="124"/>
      <c r="N41" s="124"/>
      <c r="O41" s="124"/>
      <c r="P41" s="124"/>
      <c r="Q41" s="117"/>
      <c r="S41" s="118"/>
      <c r="V41" s="133"/>
      <c r="W41" s="133"/>
    </row>
    <row r="42">
      <c r="A42" s="134"/>
      <c r="B42" s="135"/>
      <c r="C42" s="136"/>
      <c r="D42" s="135"/>
      <c r="E42" s="114"/>
      <c r="F42" s="114"/>
      <c r="G42" s="115"/>
      <c r="H42" s="114"/>
      <c r="I42" s="116"/>
      <c r="J42" s="137"/>
      <c r="K42" s="137"/>
      <c r="L42" s="137"/>
      <c r="M42" s="137"/>
      <c r="N42" s="137"/>
      <c r="O42" s="137"/>
      <c r="P42" s="137"/>
      <c r="Q42" s="109"/>
      <c r="R42" s="138"/>
      <c r="S42" s="110"/>
      <c r="U42" s="138"/>
      <c r="V42" s="133"/>
      <c r="W42" s="133"/>
    </row>
    <row r="43">
      <c r="A43" s="139"/>
      <c r="B43" s="140"/>
      <c r="C43" s="141"/>
      <c r="D43" s="142"/>
      <c r="E43" s="136"/>
      <c r="F43" s="142"/>
      <c r="G43" s="140"/>
      <c r="H43" s="143"/>
      <c r="I43" s="144"/>
      <c r="J43" s="145"/>
      <c r="K43" s="145"/>
      <c r="L43" s="145"/>
      <c r="M43" s="145"/>
      <c r="N43" s="145"/>
      <c r="O43" s="145"/>
      <c r="P43" s="145"/>
      <c r="Q43" s="117"/>
      <c r="R43" s="140"/>
      <c r="S43" s="118"/>
      <c r="U43" s="140"/>
      <c r="V43" s="133"/>
      <c r="W43" s="133"/>
    </row>
    <row r="44">
      <c r="A44" s="134"/>
      <c r="B44" s="135"/>
      <c r="C44" s="136"/>
      <c r="D44" s="135"/>
      <c r="E44" s="114"/>
      <c r="F44" s="114"/>
      <c r="G44" s="115"/>
      <c r="H44" s="146"/>
      <c r="I44" s="147"/>
      <c r="J44" s="148"/>
      <c r="K44" s="148"/>
      <c r="L44" s="148"/>
      <c r="M44" s="148"/>
      <c r="N44" s="148"/>
      <c r="O44" s="148"/>
      <c r="P44" s="148"/>
      <c r="Q44" s="109"/>
      <c r="R44" s="138"/>
      <c r="S44" s="110"/>
      <c r="U44" s="138"/>
      <c r="V44" s="133"/>
      <c r="W44" s="133"/>
    </row>
    <row r="45">
      <c r="A45" s="139"/>
      <c r="B45" s="142"/>
      <c r="C45" s="141"/>
      <c r="D45" s="142"/>
      <c r="E45" s="142"/>
      <c r="F45" s="142"/>
      <c r="G45" s="140"/>
      <c r="H45" s="142"/>
      <c r="I45" s="108"/>
      <c r="J45" s="145"/>
      <c r="K45" s="145"/>
      <c r="L45" s="145"/>
      <c r="M45" s="145"/>
      <c r="N45" s="145"/>
      <c r="O45" s="145"/>
      <c r="P45" s="145"/>
      <c r="Q45" s="117"/>
      <c r="R45" s="140"/>
      <c r="S45" s="118"/>
      <c r="U45" s="140"/>
      <c r="V45" s="133"/>
      <c r="W45" s="133"/>
    </row>
    <row r="46">
      <c r="A46" s="134"/>
      <c r="B46" s="135"/>
      <c r="C46" s="136"/>
      <c r="D46" s="135"/>
      <c r="E46" s="114"/>
      <c r="F46" s="114"/>
      <c r="G46" s="115"/>
      <c r="H46" s="146"/>
      <c r="I46" s="147"/>
      <c r="J46" s="148"/>
      <c r="K46" s="148"/>
      <c r="L46" s="148"/>
      <c r="M46" s="148"/>
      <c r="N46" s="148"/>
      <c r="O46" s="148"/>
      <c r="P46" s="148"/>
      <c r="Q46" s="109"/>
      <c r="R46" s="138"/>
      <c r="S46" s="110"/>
      <c r="U46" s="138"/>
      <c r="V46" s="133"/>
      <c r="W46" s="133"/>
    </row>
    <row r="47">
      <c r="A47" s="139"/>
      <c r="B47" s="140"/>
      <c r="C47" s="141"/>
      <c r="D47" s="142"/>
      <c r="E47" s="142"/>
      <c r="F47" s="142"/>
      <c r="G47" s="140"/>
      <c r="H47" s="142"/>
      <c r="I47" s="108"/>
      <c r="J47" s="145"/>
      <c r="K47" s="145"/>
      <c r="L47" s="145"/>
      <c r="M47" s="145"/>
      <c r="N47" s="145"/>
      <c r="O47" s="145"/>
      <c r="P47" s="145"/>
      <c r="Q47" s="117"/>
      <c r="R47" s="140"/>
      <c r="S47" s="118"/>
      <c r="U47" s="140"/>
      <c r="V47" s="133"/>
      <c r="W47" s="133"/>
    </row>
    <row r="48">
      <c r="A48" s="134"/>
      <c r="B48" s="138"/>
      <c r="C48" s="136"/>
      <c r="D48" s="135"/>
      <c r="E48" s="141"/>
      <c r="F48" s="135"/>
      <c r="G48" s="138"/>
      <c r="H48" s="149"/>
      <c r="I48" s="147"/>
      <c r="J48" s="148"/>
      <c r="K48" s="148"/>
      <c r="L48" s="148"/>
      <c r="M48" s="148"/>
      <c r="N48" s="148"/>
      <c r="O48" s="148"/>
      <c r="P48" s="148"/>
      <c r="Q48" s="109"/>
      <c r="R48" s="138"/>
      <c r="S48" s="110"/>
      <c r="U48" s="138"/>
      <c r="V48" s="133"/>
      <c r="W48" s="133"/>
    </row>
    <row r="49">
      <c r="A49" s="139"/>
      <c r="B49" s="142"/>
      <c r="C49" s="141"/>
      <c r="D49" s="142"/>
      <c r="E49" s="142"/>
      <c r="F49" s="142"/>
      <c r="G49" s="140"/>
      <c r="H49" s="142"/>
      <c r="I49" s="108"/>
      <c r="J49" s="145"/>
      <c r="K49" s="145"/>
      <c r="L49" s="145"/>
      <c r="M49" s="150"/>
      <c r="N49" s="145"/>
      <c r="O49" s="145"/>
      <c r="P49" s="145"/>
      <c r="Q49" s="117"/>
      <c r="R49" s="140"/>
      <c r="S49" s="118"/>
      <c r="U49" s="140"/>
      <c r="V49" s="133"/>
      <c r="W49" s="133"/>
    </row>
    <row r="50">
      <c r="A50" s="134"/>
      <c r="B50" s="114"/>
      <c r="C50" s="136"/>
      <c r="D50" s="135"/>
      <c r="E50" s="114"/>
      <c r="F50" s="114"/>
      <c r="G50" s="115"/>
      <c r="H50" s="146"/>
      <c r="I50" s="147"/>
      <c r="J50" s="137"/>
      <c r="K50" s="137"/>
      <c r="L50" s="151"/>
      <c r="M50" s="152"/>
      <c r="N50" s="148"/>
      <c r="O50" s="148"/>
      <c r="P50" s="148"/>
      <c r="Q50" s="109"/>
      <c r="R50" s="115"/>
      <c r="S50" s="110"/>
      <c r="U50" s="138"/>
      <c r="V50" s="133"/>
      <c r="W50" s="133"/>
    </row>
    <row r="51">
      <c r="A51" s="139"/>
      <c r="B51" s="106"/>
      <c r="C51" s="141"/>
      <c r="D51" s="142"/>
      <c r="E51" s="142"/>
      <c r="F51" s="142"/>
      <c r="G51" s="140"/>
      <c r="H51" s="142"/>
      <c r="I51" s="144"/>
      <c r="J51" s="145"/>
      <c r="K51" s="145"/>
      <c r="L51" s="145"/>
      <c r="M51" s="145"/>
      <c r="N51" s="145"/>
      <c r="O51" s="145"/>
      <c r="P51" s="145"/>
      <c r="Q51" s="117"/>
      <c r="R51" s="107"/>
      <c r="S51" s="118"/>
      <c r="U51" s="140"/>
      <c r="V51" s="133"/>
      <c r="W51" s="133"/>
    </row>
    <row r="52">
      <c r="A52" s="134"/>
      <c r="B52" s="135"/>
      <c r="C52" s="136"/>
      <c r="D52" s="135"/>
      <c r="E52" s="135"/>
      <c r="F52" s="135"/>
      <c r="G52" s="153"/>
      <c r="H52" s="154"/>
      <c r="I52" s="116"/>
      <c r="J52" s="148"/>
      <c r="K52" s="148"/>
      <c r="L52" s="148"/>
      <c r="M52" s="148"/>
      <c r="N52" s="148"/>
      <c r="O52" s="148"/>
      <c r="P52" s="148"/>
      <c r="Q52" s="109"/>
      <c r="R52" s="138"/>
      <c r="S52" s="110"/>
      <c r="U52" s="138"/>
      <c r="V52" s="133"/>
      <c r="W52" s="133"/>
    </row>
    <row r="53">
      <c r="A53" s="139"/>
      <c r="B53" s="142"/>
      <c r="C53" s="141"/>
      <c r="D53" s="142"/>
      <c r="E53" s="142"/>
      <c r="F53" s="142"/>
      <c r="G53" s="155"/>
      <c r="H53" s="133"/>
      <c r="I53" s="108"/>
      <c r="J53" s="145"/>
      <c r="K53" s="145"/>
      <c r="L53" s="145"/>
      <c r="M53" s="145"/>
      <c r="N53" s="145"/>
      <c r="O53" s="145"/>
      <c r="P53" s="145"/>
      <c r="Q53" s="117"/>
      <c r="R53" s="140"/>
      <c r="S53" s="118"/>
      <c r="U53" s="140"/>
      <c r="V53" s="133"/>
      <c r="W53" s="133"/>
    </row>
    <row r="54">
      <c r="A54" s="134"/>
      <c r="B54" s="135"/>
      <c r="C54" s="136"/>
      <c r="D54" s="135"/>
      <c r="E54" s="135"/>
      <c r="F54" s="135"/>
      <c r="G54" s="138"/>
      <c r="H54" s="149"/>
      <c r="I54" s="147"/>
      <c r="J54" s="148"/>
      <c r="K54" s="148"/>
      <c r="L54" s="148"/>
      <c r="M54" s="148"/>
      <c r="N54" s="148"/>
      <c r="O54" s="148"/>
      <c r="P54" s="148"/>
      <c r="Q54" s="109"/>
      <c r="R54" s="138"/>
      <c r="S54" s="110"/>
      <c r="U54" s="138"/>
      <c r="V54" s="133"/>
      <c r="W54" s="133"/>
    </row>
    <row r="55">
      <c r="A55" s="139"/>
      <c r="B55" s="142"/>
      <c r="C55" s="141"/>
      <c r="D55" s="142"/>
      <c r="E55" s="142"/>
      <c r="F55" s="142"/>
      <c r="G55" s="155"/>
      <c r="H55" s="133"/>
      <c r="I55" s="108"/>
      <c r="J55" s="145"/>
      <c r="K55" s="145"/>
      <c r="L55" s="145"/>
      <c r="M55" s="145"/>
      <c r="N55" s="145"/>
      <c r="O55" s="145"/>
      <c r="P55" s="145"/>
      <c r="Q55" s="117"/>
      <c r="R55" s="140"/>
      <c r="S55" s="118"/>
      <c r="U55" s="140"/>
      <c r="V55" s="133"/>
      <c r="W55" s="133"/>
    </row>
    <row r="56">
      <c r="A56" s="139"/>
      <c r="B56" s="142"/>
      <c r="C56" s="141"/>
      <c r="D56" s="142"/>
      <c r="E56" s="142"/>
      <c r="F56" s="142"/>
      <c r="G56" s="140"/>
      <c r="H56" s="142"/>
      <c r="I56" s="144"/>
      <c r="J56" s="148"/>
      <c r="K56" s="148"/>
      <c r="L56" s="148"/>
      <c r="M56" s="148"/>
      <c r="N56" s="148"/>
      <c r="O56" s="148"/>
      <c r="P56" s="148"/>
      <c r="Q56" s="109"/>
      <c r="R56" s="138"/>
      <c r="S56" s="110"/>
      <c r="U56" s="138"/>
      <c r="V56" s="133"/>
      <c r="W56" s="133"/>
    </row>
    <row r="57">
      <c r="A57" s="111"/>
      <c r="B57" s="112"/>
      <c r="C57" s="156"/>
      <c r="D57" s="157"/>
      <c r="E57" s="112"/>
      <c r="F57" s="157"/>
      <c r="G57" s="158"/>
      <c r="H57" s="157"/>
      <c r="I57" s="127"/>
      <c r="J57" s="124"/>
      <c r="K57" s="124"/>
      <c r="L57" s="124"/>
      <c r="M57" s="124"/>
      <c r="N57" s="124"/>
      <c r="O57" s="124"/>
      <c r="P57" s="124"/>
      <c r="Q57" s="159"/>
      <c r="S57" s="118"/>
      <c r="V57" s="133"/>
      <c r="W57" s="133"/>
    </row>
    <row r="58">
      <c r="A58" s="119"/>
      <c r="B58" s="104"/>
      <c r="C58" s="160"/>
      <c r="D58" s="161"/>
      <c r="E58" s="104"/>
      <c r="F58" s="161"/>
      <c r="G58" s="162"/>
      <c r="H58" s="161"/>
      <c r="I58" s="126"/>
      <c r="J58" s="122"/>
      <c r="K58" s="122"/>
      <c r="L58" s="122"/>
      <c r="M58" s="122"/>
      <c r="N58" s="122"/>
      <c r="O58" s="122"/>
      <c r="P58" s="122"/>
      <c r="Q58" s="163"/>
      <c r="S58" s="110"/>
      <c r="V58" s="133"/>
      <c r="W58" s="133"/>
    </row>
    <row r="59">
      <c r="A59" s="111"/>
      <c r="B59" s="112"/>
      <c r="C59" s="113"/>
      <c r="D59" s="112"/>
      <c r="E59" s="112"/>
      <c r="F59" s="157"/>
      <c r="G59" s="158"/>
      <c r="H59" s="157"/>
      <c r="I59" s="127"/>
      <c r="J59" s="124"/>
      <c r="K59" s="124"/>
      <c r="L59" s="124"/>
      <c r="M59" s="124"/>
      <c r="N59" s="124"/>
      <c r="O59" s="124"/>
      <c r="P59" s="124"/>
      <c r="Q59" s="117"/>
      <c r="S59" s="118"/>
      <c r="V59" s="133"/>
      <c r="W59" s="133"/>
    </row>
    <row r="60">
      <c r="A60" s="119"/>
      <c r="B60" s="104"/>
      <c r="C60" s="105"/>
      <c r="D60" s="104"/>
      <c r="E60" s="129"/>
      <c r="F60" s="161"/>
      <c r="G60" s="162"/>
      <c r="H60" s="161"/>
      <c r="I60" s="126"/>
      <c r="J60" s="122"/>
      <c r="K60" s="122"/>
      <c r="L60" s="122"/>
      <c r="M60" s="122"/>
      <c r="N60" s="122"/>
      <c r="O60" s="122"/>
      <c r="P60" s="122"/>
      <c r="Q60" s="109"/>
      <c r="S60" s="110"/>
      <c r="V60" s="133"/>
      <c r="W60" s="133"/>
    </row>
    <row r="61">
      <c r="A61" s="111"/>
      <c r="B61" s="112"/>
      <c r="C61" s="113"/>
      <c r="D61" s="157"/>
      <c r="E61" s="129"/>
      <c r="F61" s="157"/>
      <c r="G61" s="158"/>
      <c r="H61" s="157"/>
      <c r="I61" s="127"/>
      <c r="J61" s="124"/>
      <c r="K61" s="124"/>
      <c r="L61" s="124"/>
      <c r="M61" s="124"/>
      <c r="N61" s="124"/>
      <c r="O61" s="124"/>
      <c r="P61" s="124"/>
      <c r="Q61" s="117"/>
      <c r="S61" s="118"/>
      <c r="V61" s="133"/>
      <c r="W61" s="133"/>
    </row>
    <row r="62">
      <c r="A62" s="119"/>
      <c r="B62" s="104"/>
      <c r="C62" s="105"/>
      <c r="D62" s="161"/>
      <c r="E62" s="104"/>
      <c r="F62" s="161"/>
      <c r="G62" s="162"/>
      <c r="H62" s="161"/>
      <c r="I62" s="126"/>
      <c r="J62" s="122"/>
      <c r="K62" s="122"/>
      <c r="L62" s="122"/>
      <c r="M62" s="122"/>
      <c r="N62" s="122"/>
      <c r="O62" s="122"/>
      <c r="P62" s="122"/>
      <c r="Q62" s="109"/>
      <c r="S62" s="110"/>
      <c r="V62" s="133"/>
      <c r="W62" s="133"/>
    </row>
    <row r="63">
      <c r="A63" s="111"/>
      <c r="B63" s="112"/>
      <c r="C63" s="113"/>
      <c r="D63" s="157"/>
      <c r="E63" s="112"/>
      <c r="F63" s="157"/>
      <c r="G63" s="158"/>
      <c r="H63" s="157"/>
      <c r="I63" s="127"/>
      <c r="J63" s="124"/>
      <c r="K63" s="124"/>
      <c r="L63" s="124"/>
      <c r="M63" s="124"/>
      <c r="N63" s="124"/>
      <c r="O63" s="124"/>
      <c r="P63" s="124"/>
      <c r="Q63" s="117"/>
      <c r="S63" s="118"/>
      <c r="V63" s="133"/>
      <c r="W63" s="133"/>
    </row>
    <row r="64">
      <c r="A64" s="164"/>
      <c r="B64" s="165"/>
      <c r="C64" s="166"/>
      <c r="D64" s="165"/>
      <c r="E64" s="165"/>
      <c r="F64" s="167"/>
      <c r="G64" s="168"/>
      <c r="H64" s="167"/>
      <c r="I64" s="169"/>
      <c r="J64" s="170"/>
      <c r="K64" s="170"/>
      <c r="L64" s="170"/>
      <c r="M64" s="170"/>
      <c r="N64" s="170"/>
      <c r="O64" s="170"/>
      <c r="P64" s="170"/>
      <c r="Q64" s="171"/>
      <c r="S64" s="172"/>
      <c r="V64" s="133"/>
      <c r="W64" s="133"/>
    </row>
    <row r="65">
      <c r="A65" s="164"/>
      <c r="B65" s="165"/>
      <c r="C65" s="173"/>
      <c r="D65" s="165"/>
      <c r="E65" s="165"/>
      <c r="F65" s="165"/>
      <c r="G65" s="168"/>
      <c r="H65" s="167"/>
      <c r="I65" s="169"/>
      <c r="J65" s="170"/>
      <c r="K65" s="170"/>
      <c r="L65" s="170"/>
      <c r="M65" s="170"/>
      <c r="N65" s="170"/>
      <c r="O65" s="170"/>
      <c r="P65" s="170"/>
      <c r="Q65" s="171"/>
      <c r="S65" s="172"/>
      <c r="V65" s="133"/>
      <c r="W65" s="133"/>
    </row>
    <row r="66">
      <c r="C66" s="174"/>
      <c r="I66" s="175"/>
      <c r="Q66" s="176"/>
      <c r="T66" s="56"/>
    </row>
    <row r="67">
      <c r="C67" s="174"/>
      <c r="I67" s="175"/>
      <c r="Q67" s="176"/>
    </row>
    <row r="68">
      <c r="C68" s="174"/>
      <c r="I68" s="175"/>
      <c r="Q68" s="176"/>
    </row>
    <row r="69">
      <c r="C69" s="174"/>
      <c r="I69" s="175"/>
      <c r="Q69" s="176"/>
    </row>
    <row r="70">
      <c r="C70" s="174"/>
      <c r="I70" s="175"/>
      <c r="Q70" s="176"/>
    </row>
  </sheetData>
  <autoFilter ref="$A$1:$U$58"/>
  <conditionalFormatting sqref="C42:C56">
    <cfRule type="expression" dxfId="4" priority="1">
      <formula>T31:T68=0</formula>
    </cfRule>
  </conditionalFormatting>
  <conditionalFormatting sqref="T2:T65">
    <cfRule type="colorScale" priority="2">
      <colorScale>
        <cfvo type="formula" val="0"/>
        <cfvo type="formula" val="1"/>
        <cfvo type="formula" val="2"/>
        <color rgb="FFEA4335"/>
        <color rgb="FFF4CCCC"/>
        <color rgb="FFD9EAD3"/>
      </colorScale>
    </cfRule>
  </conditionalFormatting>
  <conditionalFormatting sqref="A2">
    <cfRule type="colorScale" priority="3">
      <colorScale>
        <cfvo type="min"/>
        <cfvo type="max"/>
        <color rgb="FF57BB8A"/>
        <color rgb="FFFFFFFF"/>
      </colorScale>
    </cfRule>
  </conditionalFormatting>
  <conditionalFormatting sqref="A3:A4 A7">
    <cfRule type="expression" dxfId="4" priority="4">
      <formula>T=0</formula>
    </cfRule>
  </conditionalFormatting>
  <conditionalFormatting sqref="C3:C40">
    <cfRule type="expression" dxfId="4" priority="5">
      <formula>T3:T40=0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9.5"/>
    <col customWidth="1" min="3" max="4" width="8.0"/>
    <col customWidth="1" min="5" max="5" width="12.63"/>
    <col customWidth="1" min="6" max="6" width="9.75"/>
    <col customWidth="1" min="7" max="7" width="9.88"/>
    <col customWidth="1" min="8" max="11" width="9.5"/>
    <col customWidth="1" min="12" max="12" width="9.13"/>
    <col customWidth="1" min="13" max="13" width="10.88"/>
    <col customWidth="1" min="14" max="14" width="8.63"/>
    <col customWidth="1" min="15" max="16" width="8.0"/>
    <col customWidth="1" min="17" max="17" width="9.25"/>
    <col customWidth="1" min="18" max="18" width="9.38"/>
    <col customWidth="1" min="19" max="21" width="8.0"/>
    <col customWidth="1" min="22" max="22" width="9.88"/>
    <col customWidth="1" min="23" max="23" width="8.63"/>
    <col customWidth="1" min="24" max="24" width="8.0"/>
    <col customWidth="1" min="25" max="28" width="8.25"/>
  </cols>
  <sheetData>
    <row r="1" ht="24.75" customHeight="1">
      <c r="A1" s="177"/>
      <c r="B1" s="178"/>
      <c r="C1" s="178"/>
      <c r="D1" s="178"/>
      <c r="E1" s="178"/>
      <c r="F1" s="178"/>
      <c r="G1" s="179" t="s">
        <v>428</v>
      </c>
      <c r="H1" s="180"/>
      <c r="I1" s="180"/>
      <c r="J1" s="181" t="s">
        <v>212</v>
      </c>
      <c r="K1" s="180"/>
      <c r="L1" s="180"/>
      <c r="M1" s="181" t="s">
        <v>429</v>
      </c>
      <c r="N1" s="182">
        <v>44952.0</v>
      </c>
      <c r="O1" s="180"/>
      <c r="P1" s="181" t="s">
        <v>11</v>
      </c>
      <c r="Q1" s="183">
        <v>44982.0</v>
      </c>
      <c r="R1" s="180"/>
      <c r="S1" s="178"/>
      <c r="T1" s="178"/>
      <c r="U1" s="178"/>
      <c r="V1" s="178"/>
      <c r="W1" s="178"/>
      <c r="X1" s="178"/>
      <c r="Y1" s="178"/>
      <c r="Z1" s="178"/>
      <c r="AA1" s="184"/>
      <c r="AB1" s="184"/>
    </row>
    <row r="2" ht="15.75" customHeight="1">
      <c r="A2" s="177"/>
      <c r="C2" s="185"/>
      <c r="D2" s="186"/>
      <c r="E2" s="187"/>
      <c r="F2" s="187"/>
      <c r="G2" s="187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7"/>
      <c r="T2" s="187"/>
      <c r="U2" s="187"/>
      <c r="V2" s="187"/>
      <c r="W2" s="187"/>
      <c r="X2" s="187"/>
      <c r="Y2" s="187"/>
      <c r="Z2" s="187"/>
      <c r="AA2" s="187"/>
      <c r="AB2" s="187"/>
    </row>
    <row r="3" ht="22.5" customHeight="1">
      <c r="A3" s="188"/>
      <c r="B3" s="189" t="s">
        <v>430</v>
      </c>
      <c r="C3" s="190"/>
      <c r="D3" s="190"/>
      <c r="E3" s="191"/>
      <c r="F3" s="192" t="s">
        <v>431</v>
      </c>
      <c r="G3" s="190"/>
      <c r="H3" s="190"/>
      <c r="I3" s="191"/>
      <c r="J3" s="193" t="s">
        <v>432</v>
      </c>
      <c r="K3" s="190"/>
      <c r="L3" s="190"/>
      <c r="M3" s="191"/>
      <c r="N3" s="193" t="s">
        <v>433</v>
      </c>
      <c r="O3" s="190"/>
      <c r="P3" s="190"/>
      <c r="Q3" s="191"/>
      <c r="R3" s="193" t="s">
        <v>434</v>
      </c>
      <c r="S3" s="191"/>
      <c r="T3" s="194" t="s">
        <v>435</v>
      </c>
      <c r="U3" s="195" t="s">
        <v>436</v>
      </c>
      <c r="V3" s="191"/>
      <c r="W3" s="189" t="s">
        <v>437</v>
      </c>
      <c r="X3" s="190"/>
      <c r="Y3" s="196"/>
      <c r="Z3" s="197"/>
      <c r="AA3" s="197"/>
      <c r="AB3" s="197"/>
    </row>
    <row r="4" ht="24.75" customHeight="1">
      <c r="A4" s="198" t="s">
        <v>438</v>
      </c>
      <c r="B4" s="199" t="s">
        <v>439</v>
      </c>
      <c r="C4" s="200" t="s">
        <v>440</v>
      </c>
      <c r="D4" s="200" t="s">
        <v>441</v>
      </c>
      <c r="E4" s="200" t="s">
        <v>442</v>
      </c>
      <c r="F4" s="201" t="s">
        <v>439</v>
      </c>
      <c r="G4" s="201" t="s">
        <v>440</v>
      </c>
      <c r="H4" s="201" t="s">
        <v>441</v>
      </c>
      <c r="I4" s="201" t="s">
        <v>442</v>
      </c>
      <c r="J4" s="201" t="s">
        <v>439</v>
      </c>
      <c r="K4" s="201" t="s">
        <v>440</v>
      </c>
      <c r="L4" s="201" t="s">
        <v>441</v>
      </c>
      <c r="M4" s="201" t="s">
        <v>442</v>
      </c>
      <c r="N4" s="201" t="s">
        <v>439</v>
      </c>
      <c r="O4" s="201" t="s">
        <v>440</v>
      </c>
      <c r="P4" s="201" t="s">
        <v>441</v>
      </c>
      <c r="Q4" s="201" t="s">
        <v>442</v>
      </c>
      <c r="R4" s="202" t="s">
        <v>440</v>
      </c>
      <c r="S4" s="202" t="s">
        <v>443</v>
      </c>
      <c r="T4" s="203" t="s">
        <v>444</v>
      </c>
      <c r="U4" s="203" t="s">
        <v>445</v>
      </c>
      <c r="V4" s="203" t="s">
        <v>446</v>
      </c>
      <c r="W4" s="203" t="s">
        <v>445</v>
      </c>
      <c r="X4" s="204" t="s">
        <v>446</v>
      </c>
      <c r="Y4" s="205" t="s">
        <v>447</v>
      </c>
      <c r="Z4" s="206"/>
      <c r="AA4" s="206"/>
      <c r="AB4" s="207"/>
    </row>
    <row r="5" ht="24.75" customHeight="1">
      <c r="A5" s="208" t="s">
        <v>448</v>
      </c>
      <c r="B5" s="209">
        <f>Sum!B30</f>
        <v>0</v>
      </c>
      <c r="C5" s="210">
        <f>Sum!C30</f>
        <v>0</v>
      </c>
      <c r="D5" s="210">
        <f>Sum!D30</f>
        <v>0</v>
      </c>
      <c r="E5" s="210">
        <f>Sum!E30</f>
        <v>0</v>
      </c>
      <c r="F5" s="210">
        <f>Sum!F30</f>
        <v>0</v>
      </c>
      <c r="G5" s="210">
        <f>Sum!G30</f>
        <v>0</v>
      </c>
      <c r="H5" s="210">
        <f>Sum!H30</f>
        <v>0</v>
      </c>
      <c r="I5" s="210">
        <f>Sum!I30</f>
        <v>0</v>
      </c>
      <c r="J5" s="210">
        <f>Sum!J30</f>
        <v>0</v>
      </c>
      <c r="K5" s="210">
        <f>Sum!K30</f>
        <v>0</v>
      </c>
      <c r="L5" s="210">
        <f>Sum!L30</f>
        <v>0</v>
      </c>
      <c r="M5" s="210">
        <f>Sum!M30</f>
        <v>0</v>
      </c>
      <c r="N5" s="210">
        <f t="shared" ref="N5:Q5" si="1">B5+F5+J5</f>
        <v>0</v>
      </c>
      <c r="O5" s="210">
        <f t="shared" si="1"/>
        <v>0</v>
      </c>
      <c r="P5" s="210">
        <f t="shared" si="1"/>
        <v>0</v>
      </c>
      <c r="Q5" s="210">
        <f t="shared" si="1"/>
        <v>0</v>
      </c>
      <c r="R5" s="210">
        <f>Sum!N30</f>
        <v>0</v>
      </c>
      <c r="S5" s="210">
        <f>Sum!O30</f>
        <v>0</v>
      </c>
      <c r="T5" s="210">
        <f>Sum!P30</f>
        <v>0</v>
      </c>
      <c r="U5" s="210">
        <f>Sum!Q30</f>
        <v>0</v>
      </c>
      <c r="V5" s="210">
        <f>Sum!R30</f>
        <v>0</v>
      </c>
      <c r="W5" s="210">
        <f>Sum!S30</f>
        <v>0</v>
      </c>
      <c r="X5" s="211">
        <f>Sum!T30</f>
        <v>0</v>
      </c>
      <c r="Y5" s="212">
        <f>Sum!U30</f>
        <v>0</v>
      </c>
      <c r="Z5" s="213"/>
      <c r="AA5" s="213"/>
      <c r="AB5" s="207"/>
    </row>
    <row r="6" ht="24.75" customHeight="1">
      <c r="A6" s="214" t="s">
        <v>449</v>
      </c>
      <c r="B6" s="215">
        <f>Sum!B31</f>
        <v>0</v>
      </c>
      <c r="C6" s="216">
        <f>Sum!C31</f>
        <v>0</v>
      </c>
      <c r="D6" s="216">
        <f>Sum!D31</f>
        <v>0</v>
      </c>
      <c r="E6" s="216">
        <f>Sum!E31</f>
        <v>0</v>
      </c>
      <c r="F6" s="216">
        <f>Sum!F31</f>
        <v>0</v>
      </c>
      <c r="G6" s="216">
        <f>Sum!G31</f>
        <v>0</v>
      </c>
      <c r="H6" s="216">
        <f>Sum!H31</f>
        <v>0</v>
      </c>
      <c r="I6" s="216">
        <f>Sum!I31</f>
        <v>0</v>
      </c>
      <c r="J6" s="216">
        <f>Sum!J31</f>
        <v>0</v>
      </c>
      <c r="K6" s="216">
        <f>Sum!K31</f>
        <v>0</v>
      </c>
      <c r="L6" s="216">
        <f>Sum!L31</f>
        <v>0</v>
      </c>
      <c r="M6" s="216">
        <f>Sum!M31</f>
        <v>0</v>
      </c>
      <c r="N6" s="216">
        <f t="shared" ref="N6:Q6" si="2">B6+F6+J6</f>
        <v>0</v>
      </c>
      <c r="O6" s="216">
        <f t="shared" si="2"/>
        <v>0</v>
      </c>
      <c r="P6" s="216">
        <f t="shared" si="2"/>
        <v>0</v>
      </c>
      <c r="Q6" s="216">
        <f t="shared" si="2"/>
        <v>0</v>
      </c>
      <c r="R6" s="216">
        <f>Sum!N31</f>
        <v>0</v>
      </c>
      <c r="S6" s="216">
        <f>Sum!O31</f>
        <v>0</v>
      </c>
      <c r="T6" s="216">
        <f>Sum!P31</f>
        <v>0</v>
      </c>
      <c r="U6" s="216">
        <f>Sum!Q31</f>
        <v>0</v>
      </c>
      <c r="V6" s="216">
        <f>Sum!R31</f>
        <v>0</v>
      </c>
      <c r="W6" s="216">
        <f>Sum!S31</f>
        <v>0</v>
      </c>
      <c r="X6" s="217">
        <f>Sum!T31</f>
        <v>0</v>
      </c>
      <c r="Y6" s="218"/>
      <c r="Z6" s="213"/>
      <c r="AA6" s="213"/>
      <c r="AB6" s="207"/>
    </row>
    <row r="7" ht="8.25" customHeight="1">
      <c r="A7" s="219"/>
      <c r="B7" s="220"/>
      <c r="C7" s="220"/>
      <c r="D7" s="220"/>
      <c r="E7" s="220"/>
      <c r="F7" s="206"/>
      <c r="G7" s="206"/>
      <c r="H7" s="206"/>
      <c r="I7" s="206"/>
      <c r="J7" s="206"/>
      <c r="K7" s="206"/>
      <c r="L7" s="206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</row>
    <row r="8" ht="21.0" customHeight="1">
      <c r="A8" s="219"/>
      <c r="B8" s="222" t="s">
        <v>450</v>
      </c>
      <c r="G8" s="223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223"/>
      <c r="W8" s="223"/>
      <c r="X8" s="223"/>
      <c r="Y8" s="223"/>
      <c r="Z8" s="223"/>
      <c r="AA8" s="223"/>
      <c r="AB8" s="223"/>
    </row>
    <row r="9" ht="24.75" customHeight="1">
      <c r="A9" s="224" t="s">
        <v>451</v>
      </c>
      <c r="B9" s="225" t="s">
        <v>452</v>
      </c>
      <c r="C9" s="190"/>
      <c r="D9" s="191"/>
      <c r="E9" s="189" t="s">
        <v>453</v>
      </c>
      <c r="F9" s="190"/>
      <c r="G9" s="191"/>
      <c r="H9" s="189" t="s">
        <v>454</v>
      </c>
      <c r="I9" s="190"/>
      <c r="J9" s="191"/>
      <c r="K9" s="189" t="s">
        <v>455</v>
      </c>
      <c r="L9" s="190"/>
      <c r="M9" s="191"/>
      <c r="N9" s="193" t="s">
        <v>456</v>
      </c>
      <c r="O9" s="190"/>
      <c r="P9" s="191"/>
      <c r="Q9" s="226" t="s">
        <v>457</v>
      </c>
      <c r="R9" s="190"/>
      <c r="S9" s="191"/>
      <c r="T9" s="193" t="s">
        <v>458</v>
      </c>
      <c r="U9" s="190"/>
      <c r="V9" s="196"/>
      <c r="W9" s="227"/>
      <c r="X9" s="227"/>
      <c r="Y9" s="227"/>
      <c r="Z9" s="227"/>
      <c r="AA9" s="184"/>
      <c r="AB9" s="184"/>
    </row>
    <row r="10" ht="24.75" customHeight="1">
      <c r="B10" s="228" t="s">
        <v>459</v>
      </c>
      <c r="C10" s="229" t="s">
        <v>460</v>
      </c>
      <c r="D10" s="229" t="s">
        <v>461</v>
      </c>
      <c r="E10" s="229" t="s">
        <v>459</v>
      </c>
      <c r="F10" s="229" t="s">
        <v>460</v>
      </c>
      <c r="G10" s="229" t="s">
        <v>461</v>
      </c>
      <c r="H10" s="229" t="s">
        <v>459</v>
      </c>
      <c r="I10" s="229" t="s">
        <v>460</v>
      </c>
      <c r="J10" s="229" t="s">
        <v>461</v>
      </c>
      <c r="K10" s="229" t="s">
        <v>459</v>
      </c>
      <c r="L10" s="229" t="s">
        <v>460</v>
      </c>
      <c r="M10" s="229" t="s">
        <v>461</v>
      </c>
      <c r="N10" s="229" t="s">
        <v>459</v>
      </c>
      <c r="O10" s="229" t="s">
        <v>460</v>
      </c>
      <c r="P10" s="229" t="s">
        <v>461</v>
      </c>
      <c r="Q10" s="229" t="s">
        <v>459</v>
      </c>
      <c r="R10" s="229" t="s">
        <v>460</v>
      </c>
      <c r="S10" s="229" t="s">
        <v>461</v>
      </c>
      <c r="T10" s="229" t="s">
        <v>459</v>
      </c>
      <c r="U10" s="229" t="s">
        <v>460</v>
      </c>
      <c r="V10" s="230" t="s">
        <v>461</v>
      </c>
      <c r="W10" s="231"/>
      <c r="X10" s="231"/>
      <c r="Y10" s="231"/>
      <c r="Z10" s="231"/>
      <c r="AA10" s="184"/>
      <c r="AB10" s="184"/>
    </row>
    <row r="11" ht="24.75" customHeight="1">
      <c r="A11" s="224" t="s">
        <v>462</v>
      </c>
      <c r="B11" s="209">
        <f>Sum!V30</f>
        <v>0</v>
      </c>
      <c r="C11" s="210">
        <f>Sum!W30</f>
        <v>0</v>
      </c>
      <c r="D11" s="210">
        <f>Sum!X30</f>
        <v>0</v>
      </c>
      <c r="E11" s="210">
        <f>Sum!Y30</f>
        <v>0</v>
      </c>
      <c r="F11" s="210">
        <f>Sum!Z30</f>
        <v>0</v>
      </c>
      <c r="G11" s="210">
        <f>Sum!AA30</f>
        <v>0</v>
      </c>
      <c r="H11" s="210">
        <f>Sum!AB30</f>
        <v>0</v>
      </c>
      <c r="I11" s="210">
        <f>Sum!AC30</f>
        <v>0</v>
      </c>
      <c r="J11" s="210">
        <f>Sum!AD30</f>
        <v>0</v>
      </c>
      <c r="K11" s="210">
        <f>Sum!AE30</f>
        <v>0</v>
      </c>
      <c r="L11" s="210">
        <f>Sum!AF30</f>
        <v>0</v>
      </c>
      <c r="M11" s="210">
        <f>Sum!AG30</f>
        <v>0</v>
      </c>
      <c r="N11" s="210">
        <f>Sum!AH30</f>
        <v>0</v>
      </c>
      <c r="O11" s="210">
        <f>Sum!AI30</f>
        <v>0</v>
      </c>
      <c r="P11" s="210">
        <f>Sum!AJ30</f>
        <v>0</v>
      </c>
      <c r="Q11" s="210">
        <f>Sum!AK30</f>
        <v>0</v>
      </c>
      <c r="R11" s="210">
        <f>Sum!AL30</f>
        <v>0</v>
      </c>
      <c r="S11" s="210">
        <f>Sum!AM30</f>
        <v>0</v>
      </c>
      <c r="T11" s="210">
        <f>Sum!AN30</f>
        <v>0</v>
      </c>
      <c r="U11" s="210">
        <f>Sum!AO30</f>
        <v>0</v>
      </c>
      <c r="V11" s="210">
        <f>Sum!AP30</f>
        <v>0</v>
      </c>
      <c r="W11" s="213"/>
      <c r="X11" s="213"/>
      <c r="Y11" s="213"/>
      <c r="Z11" s="213"/>
      <c r="AA11" s="184"/>
      <c r="AB11" s="184"/>
    </row>
    <row r="12" ht="24.75" customHeight="1">
      <c r="A12" s="232" t="s">
        <v>153</v>
      </c>
      <c r="B12" s="209">
        <f>Sum!V31</f>
        <v>0</v>
      </c>
      <c r="C12" s="210">
        <f>Sum!W31</f>
        <v>0</v>
      </c>
      <c r="D12" s="210">
        <f>Sum!X31</f>
        <v>0</v>
      </c>
      <c r="E12" s="210">
        <f>Sum!Y31</f>
        <v>0</v>
      </c>
      <c r="F12" s="210">
        <f>Sum!Z31</f>
        <v>0</v>
      </c>
      <c r="G12" s="210">
        <f>Sum!AA31</f>
        <v>0</v>
      </c>
      <c r="H12" s="210">
        <f>Sum!AB31</f>
        <v>0</v>
      </c>
      <c r="I12" s="210">
        <f>Sum!AC31</f>
        <v>0</v>
      </c>
      <c r="J12" s="210">
        <f>Sum!AD31</f>
        <v>0</v>
      </c>
      <c r="K12" s="210">
        <f>Sum!AE31</f>
        <v>0</v>
      </c>
      <c r="L12" s="210">
        <f>Sum!AF31</f>
        <v>0</v>
      </c>
      <c r="M12" s="210">
        <f>Sum!AG31</f>
        <v>0</v>
      </c>
      <c r="N12" s="210">
        <f>Sum!AH31</f>
        <v>0</v>
      </c>
      <c r="O12" s="210">
        <f>Sum!AI31</f>
        <v>0</v>
      </c>
      <c r="P12" s="210">
        <f>Sum!AJ31</f>
        <v>0</v>
      </c>
      <c r="Q12" s="210">
        <f>Sum!AK31</f>
        <v>0</v>
      </c>
      <c r="R12" s="210">
        <f>Sum!AL31</f>
        <v>0</v>
      </c>
      <c r="S12" s="210">
        <f>Sum!AM31</f>
        <v>0</v>
      </c>
      <c r="T12" s="210">
        <f>Sum!AN31</f>
        <v>0</v>
      </c>
      <c r="U12" s="210">
        <f>Sum!AO31</f>
        <v>0</v>
      </c>
      <c r="V12" s="210">
        <f>Sum!AP31</f>
        <v>0</v>
      </c>
      <c r="W12" s="213"/>
      <c r="X12" s="213"/>
      <c r="Y12" s="213"/>
      <c r="Z12" s="213"/>
      <c r="AA12" s="184"/>
      <c r="AB12" s="184"/>
    </row>
    <row r="13" ht="23.25" customHeight="1">
      <c r="A13" s="232" t="s">
        <v>463</v>
      </c>
      <c r="B13" s="233">
        <f>sumifs('Form responses'!AA2:AA76,
'Form responses'!$C$2:$C76,
"&lt;="&amp;Date(YEAR(DATE(YEAR($N$1),MONTH($N$1)+(-3),1)),4,1),
'Form responses'!$D$2:$D76,$J$1)-(sumifs('Form responses'!AB2:AB76,
'Form responses'!$C$2:$C76,
"&lt;="&amp;Date(YEAR(DATE(YEAR($N$1),MONTH($N$1)+(-3),1)),4,1),
'Form responses'!$D$2:$D76,$J$1))+Sum!V31-Sum!W31</f>
        <v>0</v>
      </c>
      <c r="C13" s="234"/>
      <c r="D13" s="235"/>
      <c r="E13" s="233">
        <f>sumifs('Form responses'!AD2:AD76,
'Form responses'!$C$2:$C76,
"&lt;="&amp;Date(YEAR(DATE(YEAR($N$1),MONTH($N$1)+(-3),1)),4,1),
'Form responses'!$D$2:$D76,$J$1)-(sumifs('Form responses'!AE2:AE76,
'Form responses'!$C$2:$C76,
"&lt;="&amp;Date(YEAR(DATE(YEAR($N$1),MONTH($N$1)+(-3),1)),4,1),
'Form responses'!$D$2:$D76,$J$1))+Sum!Y31-Sum!Z31</f>
        <v>0</v>
      </c>
      <c r="F13" s="234"/>
      <c r="G13" s="235"/>
      <c r="H13" s="233">
        <f>sumifs('Form responses'!AG2:AG76,
'Form responses'!$C$2:$C76,
"&lt;="&amp;Date(YEAR(DATE(YEAR($N$1),MONTH($N$1)+(-3),1)),4,1),
'Form responses'!$D$2:$D76,$J$1)-(sumifs('Form responses'!AH2:AH76,
'Form responses'!$C$2:$C76,
"&lt;="&amp;Date(YEAR(DATE(YEAR($N$1),MONTH($N$1)+(-3),1)),4,1),
'Form responses'!$D$2:$D76,$J$1))+Sum!AB31-Sum!AC31</f>
        <v>0</v>
      </c>
      <c r="I13" s="234"/>
      <c r="J13" s="235"/>
      <c r="K13" s="233">
        <f>sumifs('Form responses'!AJ2:AJ76,
'Form responses'!$C$2:$C76,
"&lt;="&amp;Date(YEAR(DATE(YEAR($N$1),MONTH($N$1)+(-3),1)),4,1),
'Form responses'!$D$2:$D76,$J$1)-(sumifs('Form responses'!AK2:AK76,
'Form responses'!$C$2:$C76,
"&lt;="&amp;Date(YEAR(DATE(YEAR($N$1),MONTH($N$1)+(-3),1)),4,1),
'Form responses'!$D$2:$D76,$J$1))+Sum!AE31-Sum!AF31</f>
        <v>0</v>
      </c>
      <c r="L13" s="234"/>
      <c r="M13" s="235"/>
      <c r="N13" s="233">
        <f>sumifs('Form responses'!AM2:AM76,
'Form responses'!$C$2:$C76,
"&lt;="&amp;Date(YEAR(DATE(YEAR($N$1),MONTH($N$1)+(-3),1)),4,1),
'Form responses'!$D$2:$D76,$J$1)-(sumifs('Form responses'!AN2:AN76,
'Form responses'!$C$2:$C76,
"&lt;="&amp;Date(YEAR(DATE(YEAR($N$1),MONTH($N$1)+(-3),1)),4,1),
'Form responses'!$D$2:$D76,$J$1))+Sum!AH31-Sum!AI31</f>
        <v>0</v>
      </c>
      <c r="O13" s="234"/>
      <c r="P13" s="235"/>
      <c r="Q13" s="233">
        <f>sumifs('Form responses'!AP2:AP76,
'Form responses'!$C$2:$C76,
"&lt;="&amp;Date(YEAR(DATE(YEAR($N$1),MONTH($N$1)+(-3),1)),4,1),
'Form responses'!$D$2:$D76,$J$1)-(sumifs('Form responses'!AQ2:AQ76,
'Form responses'!$C$2:$C76,
"&lt;="&amp;Date(YEAR(DATE(YEAR($N$1),MONTH($N$1)+(-3),1)),4,1),
'Form responses'!$D$2:$D76,$J$1))+Sum!AK31-Sum!AL31</f>
        <v>0</v>
      </c>
      <c r="R13" s="234"/>
      <c r="S13" s="235"/>
      <c r="T13" s="233">
        <f>sumifs('Form responses'!AS2:AS76,
'Form responses'!$C$2:$C76,
"&lt;="&amp;Date(YEAR(DATE(YEAR($N$1),MONTH($N$1)+(-3),1)),4,1),
'Form responses'!$D$2:$D76,$J$1)-(sumifs('Form responses'!AT2:AT76,
'Form responses'!$C$2:$C76,
"&lt;="&amp;Date(YEAR(DATE(YEAR($N$1),MONTH($N$1)+(-3),1)),4,1),
'Form responses'!$D$2:$D76,$J$1))+Sum!AN31-Sum!AO31</f>
        <v>0</v>
      </c>
      <c r="U13" s="234"/>
      <c r="V13" s="235"/>
      <c r="W13" s="213"/>
      <c r="X13" s="213"/>
      <c r="Y13" s="213"/>
      <c r="Z13" s="213"/>
      <c r="AA13" s="213"/>
      <c r="AB13" s="213"/>
    </row>
    <row r="14" ht="21.0" customHeight="1">
      <c r="A14" s="219"/>
      <c r="B14" s="222" t="s">
        <v>464</v>
      </c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T14" s="236"/>
      <c r="U14" s="207"/>
      <c r="V14" s="237"/>
      <c r="W14" s="238"/>
      <c r="X14" s="238"/>
      <c r="Y14" s="238"/>
      <c r="Z14" s="238"/>
      <c r="AA14" s="238"/>
      <c r="AB14" s="238"/>
    </row>
    <row r="15" ht="24.75" customHeight="1">
      <c r="A15" s="239"/>
      <c r="B15" s="240" t="s">
        <v>465</v>
      </c>
      <c r="C15" s="241" t="s">
        <v>466</v>
      </c>
      <c r="D15" s="241" t="s">
        <v>467</v>
      </c>
      <c r="E15" s="241" t="s">
        <v>468</v>
      </c>
      <c r="F15" s="242" t="s">
        <v>469</v>
      </c>
      <c r="G15" s="242" t="s">
        <v>470</v>
      </c>
      <c r="H15" s="242" t="s">
        <v>471</v>
      </c>
      <c r="I15" s="242" t="s">
        <v>472</v>
      </c>
      <c r="J15" s="242" t="s">
        <v>473</v>
      </c>
      <c r="K15" s="242" t="s">
        <v>474</v>
      </c>
      <c r="L15" s="242" t="s">
        <v>475</v>
      </c>
      <c r="M15" s="242" t="s">
        <v>476</v>
      </c>
      <c r="N15" s="242" t="s">
        <v>477</v>
      </c>
      <c r="O15" s="242" t="s">
        <v>478</v>
      </c>
      <c r="P15" s="242" t="s">
        <v>479</v>
      </c>
      <c r="Q15" s="242" t="s">
        <v>480</v>
      </c>
      <c r="R15" s="242" t="s">
        <v>481</v>
      </c>
      <c r="S15" s="242" t="s">
        <v>482</v>
      </c>
      <c r="T15" s="242" t="s">
        <v>483</v>
      </c>
      <c r="U15" s="243" t="s">
        <v>484</v>
      </c>
      <c r="V15" s="227"/>
      <c r="W15" s="227"/>
      <c r="X15" s="184"/>
      <c r="Y15" s="184"/>
      <c r="Z15" s="184"/>
      <c r="AA15" s="184"/>
      <c r="AB15" s="184"/>
    </row>
    <row r="16" ht="24.75" customHeight="1">
      <c r="A16" s="224" t="s">
        <v>462</v>
      </c>
      <c r="B16" s="209">
        <f>Sum!AQ30</f>
        <v>0</v>
      </c>
      <c r="C16" s="209">
        <f>Sum!AR30</f>
        <v>0</v>
      </c>
      <c r="D16" s="209">
        <f>Sum!AS30</f>
        <v>0</v>
      </c>
      <c r="E16" s="209">
        <f>Sum!AT30</f>
        <v>0</v>
      </c>
      <c r="F16" s="209">
        <f>Sum!AU30</f>
        <v>0</v>
      </c>
      <c r="G16" s="209">
        <f>Sum!AV30</f>
        <v>0</v>
      </c>
      <c r="H16" s="209">
        <f>Sum!AW30</f>
        <v>0</v>
      </c>
      <c r="I16" s="209">
        <f>Sum!AX30</f>
        <v>0</v>
      </c>
      <c r="J16" s="209">
        <f>Sum!AY30</f>
        <v>0</v>
      </c>
      <c r="K16" s="209">
        <f>Sum!AZ30</f>
        <v>0</v>
      </c>
      <c r="L16" s="209">
        <f>Sum!BA30</f>
        <v>0</v>
      </c>
      <c r="M16" s="209">
        <f>Sum!BB30</f>
        <v>0</v>
      </c>
      <c r="N16" s="209">
        <f>Sum!BC30</f>
        <v>0</v>
      </c>
      <c r="O16" s="209">
        <f>Sum!BD30</f>
        <v>0</v>
      </c>
      <c r="P16" s="209">
        <f>Sum!BE30</f>
        <v>0</v>
      </c>
      <c r="Q16" s="209">
        <f>Sum!BF30</f>
        <v>0</v>
      </c>
      <c r="R16" s="209">
        <f>Sum!BG30</f>
        <v>0</v>
      </c>
      <c r="S16" s="209">
        <f>Sum!BH30</f>
        <v>0</v>
      </c>
      <c r="T16" s="210">
        <f t="shared" ref="T16:T17" si="3">B16+C16+D16+E16+J16+K16+L16+M16+R16</f>
        <v>0</v>
      </c>
      <c r="U16" s="212">
        <f t="shared" ref="U16:U17" si="4">F16+G16+H16+I16+N16+O16+P16+Q16+S16</f>
        <v>0</v>
      </c>
      <c r="V16" s="213"/>
      <c r="W16" s="213"/>
      <c r="X16" s="184"/>
      <c r="Y16" s="184"/>
      <c r="Z16" s="184"/>
      <c r="AA16" s="184"/>
      <c r="AB16" s="184"/>
    </row>
    <row r="17" ht="24.75" customHeight="1">
      <c r="A17" s="232" t="s">
        <v>485</v>
      </c>
      <c r="B17" s="215">
        <f>Sum!AQ31</f>
        <v>0</v>
      </c>
      <c r="C17" s="215">
        <f>Sum!AR31</f>
        <v>0</v>
      </c>
      <c r="D17" s="215">
        <f>Sum!AS31</f>
        <v>0</v>
      </c>
      <c r="E17" s="215">
        <f>Sum!AT31</f>
        <v>0</v>
      </c>
      <c r="F17" s="215">
        <f>Sum!AU31</f>
        <v>0</v>
      </c>
      <c r="G17" s="215">
        <f>Sum!AV31</f>
        <v>0</v>
      </c>
      <c r="H17" s="215">
        <f>Sum!AW31</f>
        <v>0</v>
      </c>
      <c r="I17" s="215">
        <f>Sum!AX31</f>
        <v>0</v>
      </c>
      <c r="J17" s="215">
        <f>Sum!AY31</f>
        <v>0</v>
      </c>
      <c r="K17" s="215">
        <f>Sum!AZ31</f>
        <v>0</v>
      </c>
      <c r="L17" s="215">
        <f>Sum!BA31</f>
        <v>0</v>
      </c>
      <c r="M17" s="215">
        <f>Sum!BB31</f>
        <v>0</v>
      </c>
      <c r="N17" s="215">
        <f>Sum!BC31</f>
        <v>0</v>
      </c>
      <c r="O17" s="215">
        <f>Sum!BD31</f>
        <v>0</v>
      </c>
      <c r="P17" s="215">
        <f>Sum!BE31</f>
        <v>0</v>
      </c>
      <c r="Q17" s="215">
        <f>Sum!BF31</f>
        <v>0</v>
      </c>
      <c r="R17" s="215">
        <f>Sum!BG31</f>
        <v>0</v>
      </c>
      <c r="S17" s="215">
        <f>Sum!BH31</f>
        <v>0</v>
      </c>
      <c r="T17" s="216">
        <f t="shared" si="3"/>
        <v>0</v>
      </c>
      <c r="U17" s="218">
        <f t="shared" si="4"/>
        <v>0</v>
      </c>
      <c r="V17" s="213"/>
      <c r="W17" s="213"/>
      <c r="X17" s="184"/>
      <c r="Y17" s="184"/>
      <c r="Z17" s="184"/>
      <c r="AA17" s="184"/>
      <c r="AB17" s="184"/>
    </row>
    <row r="18" ht="6.0" customHeight="1">
      <c r="A18" s="198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23"/>
      <c r="N18" s="223"/>
      <c r="O18" s="223"/>
      <c r="P18" s="223"/>
      <c r="Q18" s="223"/>
      <c r="R18" s="223"/>
      <c r="S18" s="223"/>
      <c r="T18" s="223"/>
      <c r="U18" s="244"/>
      <c r="V18" s="244"/>
      <c r="W18" s="238"/>
      <c r="X18" s="238"/>
      <c r="Y18" s="238"/>
      <c r="Z18" s="238"/>
      <c r="AA18" s="238"/>
      <c r="AB18" s="238"/>
    </row>
    <row r="19" ht="19.5" customHeight="1">
      <c r="A19" s="219"/>
      <c r="B19" s="222" t="s">
        <v>486</v>
      </c>
      <c r="H19" s="236"/>
      <c r="I19" s="236"/>
      <c r="J19" s="236"/>
      <c r="K19" s="236"/>
      <c r="L19" s="236"/>
      <c r="M19" s="236"/>
      <c r="N19" s="223"/>
      <c r="O19" s="223"/>
      <c r="P19" s="223"/>
      <c r="Q19" s="223"/>
      <c r="R19" s="223"/>
      <c r="S19" s="223"/>
      <c r="T19" s="223"/>
      <c r="U19" s="197"/>
      <c r="W19" s="238"/>
      <c r="X19" s="238"/>
      <c r="Y19" s="238"/>
      <c r="Z19" s="238"/>
      <c r="AA19" s="238"/>
      <c r="AB19" s="238"/>
    </row>
    <row r="20" ht="24.75" customHeight="1">
      <c r="A20" s="245"/>
      <c r="B20" s="225" t="s">
        <v>465</v>
      </c>
      <c r="C20" s="191"/>
      <c r="D20" s="193" t="s">
        <v>487</v>
      </c>
      <c r="E20" s="191"/>
      <c r="F20" s="193" t="s">
        <v>488</v>
      </c>
      <c r="G20" s="191"/>
      <c r="H20" s="193" t="s">
        <v>489</v>
      </c>
      <c r="I20" s="191"/>
      <c r="J20" s="193" t="s">
        <v>490</v>
      </c>
      <c r="K20" s="191"/>
      <c r="L20" s="193" t="s">
        <v>491</v>
      </c>
      <c r="M20" s="191"/>
      <c r="N20" s="193" t="s">
        <v>492</v>
      </c>
      <c r="O20" s="191"/>
      <c r="P20" s="193" t="s">
        <v>493</v>
      </c>
      <c r="Q20" s="191"/>
      <c r="R20" s="193" t="s">
        <v>494</v>
      </c>
      <c r="S20" s="196"/>
      <c r="T20" s="246"/>
      <c r="U20" s="246"/>
      <c r="V20" s="227"/>
      <c r="W20" s="227"/>
      <c r="X20" s="227"/>
      <c r="Y20" s="227"/>
      <c r="Z20" s="247"/>
      <c r="AA20" s="247"/>
      <c r="AB20" s="247"/>
    </row>
    <row r="21" ht="24.75" customHeight="1">
      <c r="A21" s="245"/>
      <c r="B21" s="248" t="s">
        <v>495</v>
      </c>
      <c r="C21" s="249" t="s">
        <v>496</v>
      </c>
      <c r="D21" s="250" t="s">
        <v>495</v>
      </c>
      <c r="E21" s="249" t="s">
        <v>496</v>
      </c>
      <c r="F21" s="250" t="s">
        <v>495</v>
      </c>
      <c r="G21" s="249" t="s">
        <v>496</v>
      </c>
      <c r="H21" s="250" t="s">
        <v>495</v>
      </c>
      <c r="I21" s="249" t="s">
        <v>496</v>
      </c>
      <c r="J21" s="250" t="s">
        <v>495</v>
      </c>
      <c r="K21" s="249" t="s">
        <v>496</v>
      </c>
      <c r="L21" s="250" t="s">
        <v>495</v>
      </c>
      <c r="M21" s="249" t="s">
        <v>496</v>
      </c>
      <c r="N21" s="250" t="s">
        <v>495</v>
      </c>
      <c r="O21" s="249" t="s">
        <v>496</v>
      </c>
      <c r="P21" s="250" t="s">
        <v>495</v>
      </c>
      <c r="Q21" s="249" t="s">
        <v>496</v>
      </c>
      <c r="R21" s="250" t="s">
        <v>495</v>
      </c>
      <c r="S21" s="251" t="s">
        <v>496</v>
      </c>
      <c r="T21" s="252"/>
      <c r="U21" s="252"/>
      <c r="V21" s="252"/>
      <c r="W21" s="252"/>
      <c r="X21" s="252"/>
      <c r="Y21" s="252"/>
      <c r="Z21" s="184"/>
      <c r="AA21" s="184"/>
      <c r="AB21" s="184"/>
    </row>
    <row r="22" ht="17.25" customHeight="1">
      <c r="A22" s="253" t="s">
        <v>497</v>
      </c>
      <c r="B22" s="254">
        <f>Sum!B39</f>
        <v>0</v>
      </c>
      <c r="C22" s="255"/>
      <c r="D22" s="211">
        <f>Sum!C39</f>
        <v>0</v>
      </c>
      <c r="E22" s="255"/>
      <c r="F22" s="211">
        <f>Sum!D39</f>
        <v>0</v>
      </c>
      <c r="G22" s="255"/>
      <c r="H22" s="211">
        <f>Sum!E39</f>
        <v>0</v>
      </c>
      <c r="I22" s="255"/>
      <c r="J22" s="211">
        <f>Sum!F39</f>
        <v>0</v>
      </c>
      <c r="K22" s="255"/>
      <c r="L22" s="211">
        <f>Sum!G39</f>
        <v>0</v>
      </c>
      <c r="M22" s="255"/>
      <c r="N22" s="211">
        <f>Sum!H39</f>
        <v>0</v>
      </c>
      <c r="O22" s="255"/>
      <c r="P22" s="211">
        <f>Sum!I39</f>
        <v>0</v>
      </c>
      <c r="Q22" s="255"/>
      <c r="R22" s="211">
        <f>Sum!J39</f>
        <v>0</v>
      </c>
      <c r="S22" s="256"/>
      <c r="T22" s="213"/>
      <c r="V22" s="213"/>
      <c r="W22" s="213"/>
      <c r="X22" s="213"/>
      <c r="Y22" s="213"/>
      <c r="Z22" s="213"/>
      <c r="AA22" s="213"/>
      <c r="AB22" s="213"/>
    </row>
    <row r="23" ht="24.75" customHeight="1">
      <c r="A23" s="224" t="s">
        <v>462</v>
      </c>
      <c r="B23" s="209">
        <f>Sum!BM30</f>
        <v>0</v>
      </c>
      <c r="C23" s="209">
        <f>Sum!BN30</f>
        <v>0</v>
      </c>
      <c r="D23" s="209">
        <f>Sum!BO30</f>
        <v>0</v>
      </c>
      <c r="E23" s="209">
        <f>Sum!BP30</f>
        <v>0</v>
      </c>
      <c r="F23" s="209">
        <f>Sum!BQ30</f>
        <v>0</v>
      </c>
      <c r="G23" s="209">
        <f>Sum!BR30</f>
        <v>0</v>
      </c>
      <c r="H23" s="209">
        <f>Sum!BS30</f>
        <v>0</v>
      </c>
      <c r="I23" s="209">
        <f>Sum!BT30</f>
        <v>0</v>
      </c>
      <c r="J23" s="209">
        <f>Sum!BU30</f>
        <v>0</v>
      </c>
      <c r="K23" s="209">
        <f>Sum!BV30</f>
        <v>0</v>
      </c>
      <c r="L23" s="209">
        <f>Sum!BW30</f>
        <v>0</v>
      </c>
      <c r="M23" s="209">
        <f>Sum!BX30</f>
        <v>0</v>
      </c>
      <c r="N23" s="209">
        <f>Sum!BY30</f>
        <v>0</v>
      </c>
      <c r="O23" s="209">
        <f>Sum!BZ30</f>
        <v>0</v>
      </c>
      <c r="P23" s="209">
        <f>Sum!CA30</f>
        <v>0</v>
      </c>
      <c r="Q23" s="209">
        <f>Sum!CB30</f>
        <v>0</v>
      </c>
      <c r="R23" s="209">
        <f>Sum!CC30</f>
        <v>0</v>
      </c>
      <c r="S23" s="209">
        <f>Sum!CD30</f>
        <v>0</v>
      </c>
      <c r="T23" s="252"/>
      <c r="U23" s="252"/>
      <c r="V23" s="252"/>
      <c r="W23" s="252"/>
      <c r="X23" s="252"/>
      <c r="Y23" s="252"/>
      <c r="Z23" s="184"/>
      <c r="AA23" s="184"/>
      <c r="AB23" s="184"/>
    </row>
    <row r="24" ht="24.75" customHeight="1">
      <c r="A24" s="232" t="s">
        <v>485</v>
      </c>
      <c r="B24" s="209">
        <f>Sum!BM31</f>
        <v>0</v>
      </c>
      <c r="C24" s="209">
        <f>Sum!BN31</f>
        <v>0</v>
      </c>
      <c r="D24" s="209">
        <f>Sum!BO31</f>
        <v>0</v>
      </c>
      <c r="E24" s="209">
        <f>Sum!BP31</f>
        <v>0</v>
      </c>
      <c r="F24" s="209">
        <f>Sum!BQ31</f>
        <v>0</v>
      </c>
      <c r="G24" s="209">
        <f>Sum!BR31</f>
        <v>0</v>
      </c>
      <c r="H24" s="209">
        <f>Sum!BS31</f>
        <v>0</v>
      </c>
      <c r="I24" s="209">
        <f>Sum!BT31</f>
        <v>0</v>
      </c>
      <c r="J24" s="209">
        <f>Sum!BU31</f>
        <v>0</v>
      </c>
      <c r="K24" s="209">
        <f>Sum!BV31</f>
        <v>0</v>
      </c>
      <c r="L24" s="209">
        <f>Sum!BW31</f>
        <v>0</v>
      </c>
      <c r="M24" s="209">
        <f>Sum!BX31</f>
        <v>0</v>
      </c>
      <c r="N24" s="209">
        <f>Sum!BY31</f>
        <v>0</v>
      </c>
      <c r="O24" s="209">
        <f>Sum!BZ31</f>
        <v>0</v>
      </c>
      <c r="P24" s="209">
        <f>Sum!CA31</f>
        <v>0</v>
      </c>
      <c r="Q24" s="209">
        <f>Sum!CB31</f>
        <v>0</v>
      </c>
      <c r="R24" s="209">
        <f>Sum!CC31</f>
        <v>0</v>
      </c>
      <c r="S24" s="209">
        <f>Sum!CD31</f>
        <v>0</v>
      </c>
      <c r="T24" s="252"/>
      <c r="U24" s="252"/>
      <c r="V24" s="252"/>
      <c r="W24" s="252"/>
      <c r="X24" s="252"/>
      <c r="Y24" s="252"/>
      <c r="Z24" s="184"/>
      <c r="AA24" s="184"/>
      <c r="AB24" s="184"/>
    </row>
    <row r="25" ht="7.5" customHeight="1">
      <c r="A25" s="198"/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8"/>
      <c r="N25" s="258"/>
      <c r="O25" s="258"/>
      <c r="P25" s="258"/>
      <c r="Q25" s="258"/>
      <c r="R25" s="258"/>
      <c r="S25" s="258"/>
      <c r="T25" s="223"/>
      <c r="U25" s="197"/>
      <c r="V25" s="197"/>
      <c r="W25" s="238"/>
      <c r="X25" s="238"/>
      <c r="Y25" s="238"/>
      <c r="Z25" s="238"/>
      <c r="AA25" s="238"/>
      <c r="AB25" s="238"/>
    </row>
    <row r="26" ht="21.0" customHeight="1">
      <c r="A26" s="219"/>
      <c r="B26" s="222" t="s">
        <v>498</v>
      </c>
      <c r="J26" s="236"/>
      <c r="K26" s="236"/>
      <c r="L26" s="236"/>
      <c r="M26" s="223"/>
      <c r="U26" s="197"/>
      <c r="W26" s="238"/>
      <c r="X26" s="238"/>
      <c r="Y26" s="238"/>
      <c r="Z26" s="238"/>
      <c r="AA26" s="238"/>
      <c r="AB26" s="238"/>
    </row>
    <row r="27" ht="24.75" customHeight="1">
      <c r="A27" s="259"/>
      <c r="B27" s="260" t="s">
        <v>465</v>
      </c>
      <c r="C27" s="191"/>
      <c r="D27" s="261" t="s">
        <v>487</v>
      </c>
      <c r="E27" s="191"/>
      <c r="F27" s="261" t="s">
        <v>488</v>
      </c>
      <c r="G27" s="191"/>
      <c r="H27" s="261" t="s">
        <v>489</v>
      </c>
      <c r="I27" s="191"/>
      <c r="J27" s="261" t="s">
        <v>490</v>
      </c>
      <c r="K27" s="191"/>
      <c r="L27" s="261" t="s">
        <v>491</v>
      </c>
      <c r="M27" s="191"/>
      <c r="N27" s="261" t="s">
        <v>492</v>
      </c>
      <c r="O27" s="191"/>
      <c r="P27" s="261" t="s">
        <v>493</v>
      </c>
      <c r="Q27" s="191"/>
      <c r="R27" s="261" t="s">
        <v>494</v>
      </c>
      <c r="S27" s="196"/>
      <c r="T27" s="206"/>
      <c r="U27" s="206"/>
      <c r="V27" s="206"/>
      <c r="W27" s="206"/>
      <c r="X27" s="206"/>
      <c r="Y27" s="206"/>
      <c r="Z27" s="184"/>
      <c r="AA27" s="184"/>
      <c r="AB27" s="184"/>
    </row>
    <row r="28" ht="24.75" customHeight="1">
      <c r="A28" s="259"/>
      <c r="B28" s="262" t="s">
        <v>499</v>
      </c>
      <c r="C28" s="263" t="s">
        <v>500</v>
      </c>
      <c r="D28" s="263" t="s">
        <v>499</v>
      </c>
      <c r="E28" s="263" t="s">
        <v>500</v>
      </c>
      <c r="F28" s="263" t="s">
        <v>499</v>
      </c>
      <c r="G28" s="263" t="s">
        <v>500</v>
      </c>
      <c r="H28" s="263" t="s">
        <v>499</v>
      </c>
      <c r="I28" s="263" t="s">
        <v>500</v>
      </c>
      <c r="J28" s="263" t="s">
        <v>499</v>
      </c>
      <c r="K28" s="263" t="s">
        <v>500</v>
      </c>
      <c r="L28" s="263" t="s">
        <v>499</v>
      </c>
      <c r="M28" s="263" t="s">
        <v>500</v>
      </c>
      <c r="N28" s="263" t="s">
        <v>499</v>
      </c>
      <c r="O28" s="263" t="s">
        <v>500</v>
      </c>
      <c r="P28" s="263" t="s">
        <v>499</v>
      </c>
      <c r="Q28" s="263" t="s">
        <v>500</v>
      </c>
      <c r="R28" s="263" t="s">
        <v>499</v>
      </c>
      <c r="S28" s="264" t="s">
        <v>500</v>
      </c>
      <c r="T28" s="206"/>
      <c r="U28" s="206"/>
      <c r="V28" s="252"/>
      <c r="W28" s="252"/>
      <c r="X28" s="252"/>
      <c r="Y28" s="252"/>
      <c r="Z28" s="184"/>
      <c r="AA28" s="184"/>
      <c r="AB28" s="184"/>
    </row>
    <row r="29" ht="17.25" customHeight="1">
      <c r="A29" s="253" t="s">
        <v>497</v>
      </c>
      <c r="B29" s="254">
        <f>Sum!B43</f>
        <v>0</v>
      </c>
      <c r="C29" s="255"/>
      <c r="D29" s="211">
        <f>Sum!C43</f>
        <v>0</v>
      </c>
      <c r="E29" s="255"/>
      <c r="F29" s="211">
        <f>Sum!D43</f>
        <v>0</v>
      </c>
      <c r="G29" s="255"/>
      <c r="H29" s="211">
        <f>Sum!E43</f>
        <v>0</v>
      </c>
      <c r="I29" s="255"/>
      <c r="J29" s="211">
        <f>Sum!F43</f>
        <v>0</v>
      </c>
      <c r="K29" s="255"/>
      <c r="L29" s="211">
        <f>Sum!G43</f>
        <v>0</v>
      </c>
      <c r="M29" s="255"/>
      <c r="N29" s="211">
        <f>Sum!H43</f>
        <v>0</v>
      </c>
      <c r="O29" s="255"/>
      <c r="P29" s="211">
        <f>Sum!I43</f>
        <v>0</v>
      </c>
      <c r="Q29" s="255"/>
      <c r="R29" s="211">
        <f>Sum!J43</f>
        <v>0</v>
      </c>
      <c r="S29" s="256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24.75" customHeight="1">
      <c r="A30" s="224" t="s">
        <v>462</v>
      </c>
      <c r="B30" s="209">
        <f>Sum!CI30</f>
        <v>0</v>
      </c>
      <c r="C30" s="209">
        <f>Sum!CJ30</f>
        <v>0</v>
      </c>
      <c r="D30" s="209">
        <f>Sum!CK30</f>
        <v>0</v>
      </c>
      <c r="E30" s="209">
        <f>Sum!CL30</f>
        <v>0</v>
      </c>
      <c r="F30" s="209">
        <f>Sum!CM30</f>
        <v>0</v>
      </c>
      <c r="G30" s="209">
        <f>Sum!CN30</f>
        <v>0</v>
      </c>
      <c r="H30" s="209">
        <f>Sum!CO30</f>
        <v>0</v>
      </c>
      <c r="I30" s="209">
        <f>Sum!CP30</f>
        <v>0</v>
      </c>
      <c r="J30" s="209">
        <f>Sum!CQ30</f>
        <v>0</v>
      </c>
      <c r="K30" s="209">
        <f>Sum!CR30</f>
        <v>0</v>
      </c>
      <c r="L30" s="209">
        <f>Sum!CS30</f>
        <v>0</v>
      </c>
      <c r="M30" s="209">
        <f>Sum!CT30</f>
        <v>0</v>
      </c>
      <c r="N30" s="209">
        <f>Sum!CU30</f>
        <v>0</v>
      </c>
      <c r="O30" s="209">
        <f>Sum!CV30</f>
        <v>0</v>
      </c>
      <c r="P30" s="209">
        <f>Sum!CW30</f>
        <v>0</v>
      </c>
      <c r="Q30" s="209">
        <f>Sum!CX30</f>
        <v>0</v>
      </c>
      <c r="R30" s="209">
        <f>Sum!CY30</f>
        <v>0</v>
      </c>
      <c r="S30" s="209">
        <f>Sum!CZ30</f>
        <v>0</v>
      </c>
      <c r="T30" s="206"/>
      <c r="U30" s="206"/>
      <c r="V30" s="252"/>
      <c r="W30" s="252"/>
      <c r="X30" s="252"/>
      <c r="Y30" s="252"/>
      <c r="Z30" s="184"/>
      <c r="AA30" s="184"/>
      <c r="AB30" s="184"/>
    </row>
    <row r="31" ht="24.75" customHeight="1">
      <c r="A31" s="232" t="s">
        <v>485</v>
      </c>
      <c r="B31" s="215">
        <f>Sum!CI31</f>
        <v>0</v>
      </c>
      <c r="C31" s="215">
        <f>Sum!CJ31</f>
        <v>0</v>
      </c>
      <c r="D31" s="215">
        <f>Sum!CK31</f>
        <v>0</v>
      </c>
      <c r="E31" s="215">
        <f>Sum!CL31</f>
        <v>0</v>
      </c>
      <c r="F31" s="215">
        <f>Sum!CM31</f>
        <v>0</v>
      </c>
      <c r="G31" s="215">
        <f>Sum!CN31</f>
        <v>0</v>
      </c>
      <c r="H31" s="215">
        <f>Sum!CO31</f>
        <v>0</v>
      </c>
      <c r="I31" s="215">
        <f>Sum!CP31</f>
        <v>0</v>
      </c>
      <c r="J31" s="215">
        <f>Sum!CQ31</f>
        <v>0</v>
      </c>
      <c r="K31" s="215">
        <f>Sum!CR31</f>
        <v>0</v>
      </c>
      <c r="L31" s="215">
        <f>Sum!CS31</f>
        <v>0</v>
      </c>
      <c r="M31" s="215">
        <f>Sum!CT31</f>
        <v>0</v>
      </c>
      <c r="N31" s="215">
        <f>Sum!CU31</f>
        <v>0</v>
      </c>
      <c r="O31" s="215">
        <f>Sum!CV31</f>
        <v>0</v>
      </c>
      <c r="P31" s="215">
        <f>Sum!CW31</f>
        <v>0</v>
      </c>
      <c r="Q31" s="215">
        <f>Sum!CX31</f>
        <v>0</v>
      </c>
      <c r="R31" s="215">
        <f>Sum!CY31</f>
        <v>0</v>
      </c>
      <c r="S31" s="215">
        <f>Sum!CZ31</f>
        <v>0</v>
      </c>
      <c r="T31" s="206"/>
      <c r="U31" s="206"/>
      <c r="V31" s="252"/>
      <c r="W31" s="252"/>
      <c r="X31" s="252"/>
      <c r="Y31" s="252"/>
      <c r="Z31" s="184"/>
      <c r="AA31" s="184"/>
      <c r="AB31" s="184"/>
    </row>
    <row r="32" ht="6.75" customHeight="1">
      <c r="A32" s="219"/>
      <c r="B32" s="213"/>
      <c r="C32" s="213"/>
      <c r="D32" s="213"/>
      <c r="E32" s="213"/>
      <c r="F32" s="213"/>
      <c r="G32" s="213"/>
      <c r="H32" s="213"/>
      <c r="I32" s="213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13"/>
      <c r="Z32" s="213"/>
      <c r="AA32" s="213"/>
      <c r="AB32" s="213"/>
    </row>
    <row r="33" ht="20.25" customHeight="1">
      <c r="A33" s="219"/>
      <c r="B33" s="266" t="s">
        <v>501</v>
      </c>
      <c r="G33" s="223"/>
      <c r="H33" s="223"/>
      <c r="I33" s="267" t="s">
        <v>502</v>
      </c>
      <c r="N33" s="184"/>
      <c r="O33" s="222" t="s">
        <v>503</v>
      </c>
      <c r="T33" s="184"/>
      <c r="U33" s="238"/>
      <c r="V33" s="238"/>
      <c r="W33" s="268"/>
      <c r="X33" s="268"/>
      <c r="Y33" s="268"/>
      <c r="Z33" s="268"/>
      <c r="AA33" s="268"/>
      <c r="AB33" s="268"/>
    </row>
    <row r="34" ht="30.0" customHeight="1">
      <c r="A34" s="239"/>
      <c r="B34" s="269" t="s">
        <v>504</v>
      </c>
      <c r="C34" s="270" t="s">
        <v>505</v>
      </c>
      <c r="D34" s="271" t="s">
        <v>506</v>
      </c>
      <c r="E34" s="271" t="s">
        <v>507</v>
      </c>
      <c r="F34" s="271" t="s">
        <v>508</v>
      </c>
      <c r="G34" s="272" t="s">
        <v>509</v>
      </c>
      <c r="H34" s="238"/>
      <c r="I34" s="273" t="s">
        <v>510</v>
      </c>
      <c r="J34" s="274" t="s">
        <v>496</v>
      </c>
      <c r="K34" s="194" t="s">
        <v>95</v>
      </c>
      <c r="L34" s="274" t="s">
        <v>496</v>
      </c>
      <c r="M34" s="275" t="s">
        <v>511</v>
      </c>
      <c r="N34" s="276"/>
      <c r="O34" s="277" t="s">
        <v>512</v>
      </c>
      <c r="P34" s="278" t="s">
        <v>513</v>
      </c>
      <c r="Q34" s="278" t="s">
        <v>512</v>
      </c>
      <c r="R34" s="278" t="s">
        <v>513</v>
      </c>
      <c r="S34" s="279" t="s">
        <v>514</v>
      </c>
      <c r="T34" s="206"/>
      <c r="U34" s="280"/>
      <c r="V34" s="280"/>
      <c r="W34" s="280"/>
      <c r="X34" s="280"/>
      <c r="Y34" s="280"/>
      <c r="Z34" s="280"/>
      <c r="AA34" s="184"/>
      <c r="AB34" s="184"/>
    </row>
    <row r="35" ht="18.75" customHeight="1">
      <c r="A35" s="281"/>
      <c r="B35" s="282"/>
      <c r="C35" s="283"/>
      <c r="D35" s="283"/>
      <c r="E35" s="283"/>
      <c r="F35" s="283"/>
      <c r="G35" s="284"/>
      <c r="H35" s="238"/>
      <c r="I35" s="285">
        <f>Sum!K39</f>
        <v>0</v>
      </c>
      <c r="J35" s="255"/>
      <c r="K35" s="286">
        <f>Sum!L39</f>
        <v>0</v>
      </c>
      <c r="L35" s="255"/>
      <c r="M35" s="284"/>
      <c r="N35" s="287"/>
      <c r="O35" s="285">
        <f>Sum!K43</f>
        <v>0</v>
      </c>
      <c r="P35" s="255"/>
      <c r="Q35" s="286">
        <f>Sum!L43</f>
        <v>0</v>
      </c>
      <c r="R35" s="255"/>
      <c r="S35" s="284"/>
      <c r="T35" s="213"/>
      <c r="U35" s="265"/>
      <c r="V35" s="265"/>
      <c r="W35" s="265"/>
      <c r="X35" s="265"/>
      <c r="Y35" s="265"/>
      <c r="Z35" s="265"/>
      <c r="AA35" s="184"/>
      <c r="AB35" s="184"/>
    </row>
    <row r="36" ht="24.75" customHeight="1">
      <c r="A36" s="224" t="s">
        <v>462</v>
      </c>
      <c r="B36" s="209">
        <f>Sum!BI30</f>
        <v>0</v>
      </c>
      <c r="C36" s="209">
        <f>Sum!BJ30</f>
        <v>0</v>
      </c>
      <c r="D36" s="209">
        <f>Sum!BK30</f>
        <v>0</v>
      </c>
      <c r="E36" s="209">
        <f>Sum!BL30</f>
        <v>0</v>
      </c>
      <c r="F36" s="210">
        <f t="shared" ref="F36:F37" si="5">B36+C36</f>
        <v>0</v>
      </c>
      <c r="G36" s="212">
        <f t="shared" ref="G36:G37" si="6">D36+E36</f>
        <v>0</v>
      </c>
      <c r="H36" s="184"/>
      <c r="I36" s="209">
        <f>Sum!CE30</f>
        <v>0</v>
      </c>
      <c r="J36" s="209">
        <f>Sum!CF30</f>
        <v>0</v>
      </c>
      <c r="K36" s="209">
        <f>Sum!CG30</f>
        <v>0</v>
      </c>
      <c r="L36" s="209">
        <f>Sum!CH30</f>
        <v>0</v>
      </c>
      <c r="M36" s="212">
        <f t="shared" ref="M36:M37" si="7">IF(I36+K36=0,0,(J36+L36)/(I36+K36)%)</f>
        <v>0</v>
      </c>
      <c r="N36" s="288"/>
      <c r="O36" s="209">
        <f>Sum!DA30</f>
        <v>0</v>
      </c>
      <c r="P36" s="209">
        <f>Sum!DB30</f>
        <v>0</v>
      </c>
      <c r="Q36" s="209">
        <f>Sum!DC30</f>
        <v>0</v>
      </c>
      <c r="R36" s="209">
        <f>Sum!DD30</f>
        <v>0</v>
      </c>
      <c r="S36" s="212">
        <f t="shared" ref="S36:S37" si="8">SUM(O36:R36)</f>
        <v>0</v>
      </c>
      <c r="T36" s="213"/>
      <c r="U36" s="265"/>
      <c r="V36" s="265"/>
      <c r="W36" s="265"/>
      <c r="X36" s="265"/>
      <c r="Y36" s="265"/>
      <c r="Z36" s="265"/>
      <c r="AA36" s="184"/>
      <c r="AB36" s="184"/>
    </row>
    <row r="37" ht="24.75" customHeight="1">
      <c r="A37" s="232" t="s">
        <v>485</v>
      </c>
      <c r="B37" s="215">
        <f>Sum!BI31</f>
        <v>0</v>
      </c>
      <c r="C37" s="215">
        <f>Sum!BJ31</f>
        <v>0</v>
      </c>
      <c r="D37" s="215">
        <f>Sum!BK31</f>
        <v>0</v>
      </c>
      <c r="E37" s="215">
        <f>Sum!BL31</f>
        <v>0</v>
      </c>
      <c r="F37" s="216">
        <f t="shared" si="5"/>
        <v>0</v>
      </c>
      <c r="G37" s="218">
        <f t="shared" si="6"/>
        <v>0</v>
      </c>
      <c r="H37" s="184"/>
      <c r="I37" s="215">
        <f>Sum!CE31</f>
        <v>0</v>
      </c>
      <c r="J37" s="215">
        <f>Sum!CF31</f>
        <v>0</v>
      </c>
      <c r="K37" s="215">
        <f>Sum!CG31</f>
        <v>0</v>
      </c>
      <c r="L37" s="215">
        <f>Sum!CH31</f>
        <v>0</v>
      </c>
      <c r="M37" s="212">
        <f t="shared" si="7"/>
        <v>0</v>
      </c>
      <c r="N37" s="288"/>
      <c r="O37" s="215">
        <f>Sum!DA31</f>
        <v>0</v>
      </c>
      <c r="P37" s="215">
        <f>Sum!DB31</f>
        <v>0</v>
      </c>
      <c r="Q37" s="215">
        <f>Sum!DC31</f>
        <v>0</v>
      </c>
      <c r="R37" s="215">
        <f>Sum!DD31</f>
        <v>0</v>
      </c>
      <c r="S37" s="218">
        <f t="shared" si="8"/>
        <v>0</v>
      </c>
      <c r="T37" s="213"/>
      <c r="U37" s="213"/>
      <c r="V37" s="213"/>
      <c r="W37" s="213"/>
      <c r="X37" s="213"/>
      <c r="Y37" s="213"/>
      <c r="Z37" s="213"/>
      <c r="AA37" s="184"/>
      <c r="AB37" s="184"/>
    </row>
    <row r="38" ht="7.5" customHeight="1">
      <c r="A38" s="21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38"/>
      <c r="N38" s="238"/>
      <c r="O38" s="290"/>
      <c r="P38" s="290"/>
      <c r="Q38" s="290"/>
      <c r="R38" s="290"/>
      <c r="S38" s="290"/>
      <c r="T38" s="238"/>
      <c r="U38" s="238"/>
      <c r="V38" s="238"/>
      <c r="W38" s="238"/>
      <c r="X38" s="238"/>
      <c r="Y38" s="238"/>
      <c r="Z38" s="238"/>
      <c r="AA38" s="238"/>
      <c r="AB38" s="238"/>
    </row>
    <row r="39" ht="21.75" customHeight="1">
      <c r="A39" s="219"/>
      <c r="B39" s="291" t="s">
        <v>515</v>
      </c>
      <c r="M39" s="291"/>
      <c r="N39" s="291"/>
      <c r="O39" s="291"/>
      <c r="P39" s="291"/>
      <c r="Q39" s="291"/>
      <c r="R39" s="291"/>
      <c r="S39" s="291"/>
      <c r="T39" s="291"/>
      <c r="U39" s="291"/>
      <c r="V39" s="238"/>
      <c r="W39" s="238"/>
      <c r="X39" s="238"/>
      <c r="Y39" s="238"/>
      <c r="Z39" s="238"/>
      <c r="AA39" s="238"/>
      <c r="AB39" s="238"/>
    </row>
    <row r="40" ht="29.25" customHeight="1">
      <c r="A40" s="245"/>
      <c r="B40" s="273" t="s">
        <v>516</v>
      </c>
      <c r="C40" s="194" t="s">
        <v>517</v>
      </c>
      <c r="D40" s="194" t="s">
        <v>518</v>
      </c>
      <c r="E40" s="194" t="s">
        <v>519</v>
      </c>
      <c r="F40" s="194" t="s">
        <v>520</v>
      </c>
      <c r="G40" s="194" t="s">
        <v>521</v>
      </c>
      <c r="H40" s="194" t="s">
        <v>522</v>
      </c>
      <c r="I40" s="194" t="s">
        <v>523</v>
      </c>
      <c r="J40" s="292" t="s">
        <v>524</v>
      </c>
      <c r="K40" s="194" t="s">
        <v>525</v>
      </c>
      <c r="L40" s="293" t="s">
        <v>526</v>
      </c>
      <c r="P40" s="294" t="s">
        <v>527</v>
      </c>
      <c r="Q40" s="295"/>
      <c r="R40" s="295"/>
      <c r="S40" s="296"/>
      <c r="Z40" s="184"/>
      <c r="AA40" s="184"/>
      <c r="AB40" s="184"/>
    </row>
    <row r="41" ht="19.5" customHeight="1">
      <c r="A41" s="208" t="s">
        <v>528</v>
      </c>
      <c r="B41" s="297">
        <f>sumifs('Form responses'!EF2:EF76,
'Form responses'!$C$2:$C76,
"&lt;="&amp;Date(YEAR(DATE(YEAR($N$1),MONTH($N$1)+(-3),1)),4,1),
'Form responses'!$D$2:$D76,$J$1)
-(sumifs('Form responses'!AV2:AV76,
'Form responses'!$C$2:$C76,
"&lt;="&amp;Date(YEAR(DATE(YEAR($N$1),MONTH($N$1)+(-2),1)),4,1),
'Form responses'!$D$2:$D76,
$J$1)+
sumifs('Form responses'!DJ2:DJ76,
'Form responses'!$C$2:$C76,
"&lt;="&amp;Date(YEAR(DATE(YEAR($N$1),MONTH($N$1)+(-2),1)),4,1),
'Form responses'!$D$2:$D76,$J$1)
+sumifs('Form responses'!DU2:DU76,
'Form responses'!$C$2:$C76,
"&lt;="&amp;Date(YEAR(DATE(YEAR($N$1),MONTH($N$1)+(-2),1)),4,1),
'Form responses'!$D$2:$D76,$J$1))</f>
        <v>0</v>
      </c>
      <c r="C41" s="298">
        <f>sumifs('Form responses'!EG2:EG76,
'Form responses'!$C$2:$C76,
"&lt;="&amp;Date(YEAR(DATE(YEAR($N$1),MONTH($N$1)+(-3),1)),4,1),
'Form responses'!$D$2:$D76,$J$1)
-(sumifs('Form responses'!AW2:AW76,
'Form responses'!$C$2:$C76,
"&lt;="&amp;Date(YEAR(DATE(YEAR($N$1),MONTH($N$1)+(-2),1)),4,1),
'Form responses'!$D$2:$D76,
$J$1)+
sumifs('Form responses'!DK2:DK76,
'Form responses'!$C$2:$C76,
"&lt;="&amp;Date(YEAR(DATE(YEAR($N$1),MONTH($N$1)+(-2),1)),4,1),
'Form responses'!$D$2:$D76,$J$1)
+sumifs('Form responses'!DV2:DV76,
'Form responses'!$C$2:$C76,
"&lt;="&amp;Date(YEAR(DATE(YEAR($N$1),MONTH($N$1)+(-2),1)),4,1),
'Form responses'!$D$2:$D76,$J$1))</f>
        <v>0</v>
      </c>
      <c r="D41" s="298">
        <f>sumifs('Form responses'!EH2:EH76,
'Form responses'!$C$2:$C76,
"&lt;="&amp;Date(YEAR(DATE(YEAR($N$1),MONTH($N$1)+(-3),1)),4,1),
'Form responses'!$D$2:$D76,$J$1)
-(sumifs('Form responses'!AX2:AX76,
'Form responses'!$C$2:$C76,
"&lt;="&amp;Date(YEAR(DATE(YEAR($N$1),MONTH($N$1)+(-2),1)),4,1),
'Form responses'!$D$2:$D76,
$J$1)+
sumifs('Form responses'!DL2:DL76,
'Form responses'!$C$2:$C76,
"&lt;="&amp;Date(YEAR(DATE(YEAR($N$1),MONTH($N$1)+(-2),1)),4,1),
'Form responses'!$D$2:$D76,$J$1)
+sumifs('Form responses'!DW2:DW76,
'Form responses'!$C$2:$C76,
"&lt;="&amp;Date(YEAR(DATE(YEAR($N$1),MONTH($N$1)+(-2),1)),4,1),
'Form responses'!$D$2:$D76,$J$1))</f>
        <v>0</v>
      </c>
      <c r="E41" s="298">
        <f>sumifs('Form responses'!EI2:EI76,
'Form responses'!$C$2:$C76,
"&lt;="&amp;Date(YEAR(DATE(YEAR($N$1),MONTH($N$1)+(-3),1)),4,1),
'Form responses'!$D$2:$D76,$J$1)
-(sumifs('Form responses'!AY2:AY76,
'Form responses'!$C$2:$C76,
"&lt;="&amp;Date(YEAR(DATE(YEAR($N$1),MONTH($N$1)+(-2),1)),4,1),
'Form responses'!$D$2:$D76,
$J$1)+
sumifs('Form responses'!DM2:DM76,
'Form responses'!$C$2:$C76,
"&lt;="&amp;Date(YEAR(DATE(YEAR($N$1),MONTH($N$1)+(-2),1)),4,1),
'Form responses'!$D$2:$D76,$J$1)
+sumifs('Form responses'!DX2:DX76,
'Form responses'!$C$2:$C76,
"&lt;="&amp;Date(YEAR(DATE(YEAR($N$1),MONTH($N$1)+(-2),1)),4,1),
'Form responses'!$D$2:$D76,$J$1))</f>
        <v>0</v>
      </c>
      <c r="F41" s="298">
        <f>sumifs('Form responses'!EJ2:EJ76,
'Form responses'!$C$2:$C76,
"&lt;="&amp;Date(YEAR(DATE(YEAR($N$1),MONTH($N$1)+(-3),1)),4,1),
'Form responses'!$D$2:$D76,$J$1)
-(sumifs('Form responses'!BD2:BD76,
'Form responses'!$C$2:$C76,
"&lt;="&amp;Date(YEAR(DATE(YEAR($N$1),MONTH($N$1)+(-2),1)),4,1),
'Form responses'!$D$2:$D76,
$J$1)+
sumifs('Form responses'!DN2:DN76,
'Form responses'!$C$2:$C76,
"&lt;="&amp;Date(YEAR(DATE(YEAR($N$1),MONTH($N$1)+(-2),1)),4,1),
'Form responses'!$D$2:$D76,$J$1)
+sumifs('Form responses'!DY2:DY76,
'Form responses'!$C$2:$C76,
"&lt;="&amp;Date(YEAR(DATE(YEAR($N$1),MONTH($N$1)+(-2),1)),4,1),
'Form responses'!$D$2:$D76,$J$1))</f>
        <v>0</v>
      </c>
      <c r="G41" s="298">
        <f>sumifs('Form responses'!EK2:EK76,
'Form responses'!$C$2:$C76,
"&lt;="&amp;Date(YEAR(DATE(YEAR($N$1),MONTH($N$1)+(-3),1)),4,1),
'Form responses'!$D$2:$D76,$J$1)
-(sumifs('Form responses'!BE2:BE76,
'Form responses'!$C$2:$C76,
"&lt;="&amp;Date(YEAR(DATE(YEAR($N$1),MONTH($N$1)+(-2),1)),4,1),
'Form responses'!$D$2:$D76,
$J$1)+
sumifs('Form responses'!DO2:DO76,
'Form responses'!$C$2:$C76,
"&lt;="&amp;Date(YEAR(DATE(YEAR($N$1),MONTH($N$1)+(-2),1)),4,1),
'Form responses'!$D$2:$D76,$J$1)
+sumifs('Form responses'!DZ2:DZ76,
'Form responses'!$C$2:$C76,
"&lt;="&amp;Date(YEAR(DATE(YEAR($N$1),MONTH($N$1)+(-2),1)),4,1),
'Form responses'!$D$2:$D76,$J$1))</f>
        <v>0</v>
      </c>
      <c r="H41" s="298">
        <f>sumifs('Form responses'!EL2:EL76,
'Form responses'!$C$2:$C76,
"&lt;="&amp;Date(YEAR(DATE(YEAR($N$1),MONTH($N$1)+(-3),1)),4,1),
'Form responses'!$D$2:$D76,$J$1)
-(sumifs('Form responses'!BF2:BF76,
'Form responses'!$C$2:$C76,
"&lt;="&amp;Date(YEAR(DATE(YEAR($N$1),MONTH($N$1)+(-2),1)),4,1),
'Form responses'!$D$2:$D76,
$J$1)+
sumifs('Form responses'!DP2:DP76,
'Form responses'!$C$2:$C76,
"&lt;="&amp;Date(YEAR(DATE(YEAR($N$1),MONTH($N$1)+(-2),1)),4,1),
'Form responses'!$D$2:$D76,$J$1)
+sumifs('Form responses'!EA2:EA76,
'Form responses'!$C$2:$C76,
"&lt;="&amp;Date(YEAR(DATE(YEAR($N$1),MONTH($N$1)+(-2),1)),4,1),
'Form responses'!$D$2:$D76,$J$1))</f>
        <v>0</v>
      </c>
      <c r="I41" s="298">
        <f>sumifs('Form responses'!EM2:EM76,
'Form responses'!$C$2:$C76,
"&lt;="&amp;Date(YEAR(DATE(YEAR($N$1),MONTH($N$1)+(-3),1)),4,1),
'Form responses'!$D$2:$D76,$J$1)
-(sumifs('Form responses'!BG2:BG76,
'Form responses'!$C$2:$C76,
"&lt;="&amp;Date(YEAR(DATE(YEAR($N$1),MONTH($N$1)+(-2),1)),4,1),
'Form responses'!$D$2:$D76,
$J$1)+
sumifs('Form responses'!DQ2:DQ76,
'Form responses'!$C$2:$C76,
"&lt;="&amp;Date(YEAR(DATE(YEAR($N$1),MONTH($N$1)+(-2),1)),4,1),
'Form responses'!$D$2:$D76,$J$1)
+sumifs('Form responses'!EB2:EB76,
'Form responses'!$C$2:$C76,
"&lt;="&amp;Date(YEAR(DATE(YEAR($N$1),MONTH($N$1)+(-2),1)),4,1),
'Form responses'!$D$2:$D76,$J$1))</f>
        <v>0</v>
      </c>
      <c r="J41" s="298">
        <f>sumifs('Form responses'!EN2:EN76,
'Form responses'!$C$2:$C76,
"&lt;="&amp;Date(YEAR(DATE(YEAR($N$1),MONTH($N$1)+(-3),1)),4,1),
'Form responses'!$D$2:$D76,$J$1)
-(sumifs('Form responses'!BL2:BL76,
'Form responses'!$C$2:$C76,
"&lt;="&amp;Date(YEAR(DATE(YEAR($N$1),MONTH($N$1)+(-2),1)),4,1),
'Form responses'!$D$2:$D76,
$J$1)+
sumifs('Form responses'!DR2:DR76,
'Form responses'!$C$2:$C76,
"&lt;="&amp;Date(YEAR(DATE(YEAR($N$1),MONTH($N$1)+(-2),1)),4,1),
'Form responses'!$D$2:$D76,$J$1)
+sumifs('Form responses'!EC2:EC76,
'Form responses'!$C$2:$C76,
"&lt;="&amp;Date(YEAR(DATE(YEAR($N$1),MONTH($N$1)+(-2),1)),4,1),
'Form responses'!$D$2:$D76,$J$1))</f>
        <v>0</v>
      </c>
      <c r="K41" s="298">
        <f>sumifs('Form responses'!EO2:EO76,
'Form responses'!$C$2:$C76,
"&lt;="&amp;Date(YEAR(DATE(YEAR($N$1),MONTH($N$1)+(-3),1)),4,1),
'Form responses'!$D$2:$D76,$J$1)
-(sumifs('Form responses'!BN2:BN76,
'Form responses'!$C$2:$C76,
"&lt;="&amp;Date(YEAR(DATE(YEAR($N$1),MONTH($N$1)+(-2),1)),4,1),
'Form responses'!$D$2:$D76,
$J$1)+
sumifs('Form responses'!DS2:DS76,
'Form responses'!$C$2:$C76,
"&lt;="&amp;Date(YEAR(DATE(YEAR($N$1),MONTH($N$1)+(-2),1)),4,1),
'Form responses'!$D$2:$D76,$J$1)
+sumifs('Form responses'!ED2:ED76,
'Form responses'!$C$2:$C76,
"&lt;="&amp;Date(YEAR(DATE(YEAR($N$1),MONTH($N$1)+(-2),1)),4,1),
'Form responses'!$D$2:$D76,$J$1))</f>
        <v>0</v>
      </c>
      <c r="L41" s="299">
        <f>sumifs('Form responses'!EP2:EP76,
'Form responses'!$C$2:$C76,
"&lt;="&amp;Date(YEAR(DATE(YEAR($N$1),MONTH($N$1)+(-3),1)),4,1),
'Form responses'!$D$2:$D76,$J$1)
-(sumifs('Form responses'!BO2:BO76,
'Form responses'!$C$2:$C76,
"&lt;="&amp;Date(YEAR(DATE(YEAR($N$1),MONTH($N$1)+(-2),1)),4,1),
'Form responses'!$D$2:$D76,
$J$1)+
sumifs('Form responses'!DT2:DT76,
'Form responses'!$C$2:$C76,
"&lt;="&amp;Date(YEAR(DATE(YEAR($N$1),MONTH($N$1)+(-2),1)),4,1),
'Form responses'!$D$2:$D76,$J$1)
+sumifs('Form responses'!EE2:EE76,
'Form responses'!$C$2:$C76,
"&lt;="&amp;Date(YEAR(DATE(YEAR($N$1),MONTH($N$1)+(-2),1)),4,1),
'Form responses'!$D$2:$D76,$J$1))</f>
        <v>0</v>
      </c>
      <c r="P41" s="300" t="s">
        <v>529</v>
      </c>
      <c r="Q41" s="301" t="s">
        <v>530</v>
      </c>
      <c r="R41" s="302" t="s">
        <v>531</v>
      </c>
      <c r="S41" s="303" t="s">
        <v>532</v>
      </c>
      <c r="Z41" s="184"/>
      <c r="AA41" s="184"/>
      <c r="AB41" s="184"/>
    </row>
    <row r="42" ht="19.5" customHeight="1">
      <c r="A42" s="208" t="s">
        <v>533</v>
      </c>
      <c r="B42" s="297">
        <f>sumifs('Form responses'!EF2:EF76,'Form responses'!$C$2:$C76,"&lt;="&amp;$N$1,'Form responses'!$D$2:$D76,$J$1)-(sumifs('Form responses'!AV2:AV76,'Form responses'!$C$2:$C76,"&lt;="&amp;$N$1,'Form responses'!$D$2:$D76,$J$1)+sumifs('Form responses'!DJ2:DJ76,'Form responses'!$C$2:$C76,"&lt;="&amp;$N$1,'Form responses'!$D$2:$D76,$J$1)+sumifs('Form responses'!DU2:DU76,'Form responses'!$C$2:$C76,"&lt;="&amp;$N$1,'Form responses'!$D$2:$D76,$J$1))</f>
        <v>0</v>
      </c>
      <c r="C42" s="298">
        <f>sumifs('Form responses'!EG2:EG76,'Form responses'!$C$2:$C76,"&lt;="&amp;$N$1,'Form responses'!$D$2:$D76,$J$1)-(sumifs('Form responses'!AW2:AW76,'Form responses'!$C$2:$C76,"&lt;="&amp;$N$1,'Form responses'!$D$2:$D76,$J$1)+sumifs('Form responses'!DK2:DK76,'Form responses'!$C$2:$C76,"&lt;="&amp;$N$1,'Form responses'!$D$2:$D76,$J$1)+sumifs('Form responses'!DV2:DV76,'Form responses'!$C$2:$C76,"&lt;="&amp;$N$1,'Form responses'!$D$2:$D76,$J$1))</f>
        <v>0</v>
      </c>
      <c r="D42" s="298">
        <f>sumifs('Form responses'!EH2:EH76,'Form responses'!$C$2:$C76,"&lt;="&amp;$N$1,'Form responses'!$D$2:$D76,$J$1)-(sumifs('Form responses'!AX2:AX76,'Form responses'!$C$2:$C76,"&lt;="&amp;$N$1,'Form responses'!$D$2:$D76,$J$1)+sumifs('Form responses'!DL2:DL76,'Form responses'!$C$2:$C76,"&lt;="&amp;$N$1,'Form responses'!$D$2:$D76,$J$1)+sumifs('Form responses'!DW2:DW76,'Form responses'!$C$2:$C76,"&lt;="&amp;$N$1,'Form responses'!$D$2:$D76,$J$1))</f>
        <v>0</v>
      </c>
      <c r="E42" s="298">
        <f>sumifs('Form responses'!EI2:EI76,'Form responses'!$C$2:$C76,"&lt;="&amp;$N$1,'Form responses'!$D$2:$D76,$J$1)-(sumifs('Form responses'!AY2:AY76,'Form responses'!$C$2:$C76,"&lt;="&amp;$N$1,'Form responses'!$D$2:$D76,$J$1)+sumifs('Form responses'!DM2:DM76,'Form responses'!$C$2:$C76,"&lt;="&amp;$N$1,'Form responses'!$D$2:$D76,$J$1)+sumifs('Form responses'!DX2:DX76,'Form responses'!$C$2:$C76,"&lt;="&amp;$N$1,'Form responses'!$D$2:$D76,$J$1))</f>
        <v>0</v>
      </c>
      <c r="F42" s="298">
        <f>sumifs('Form responses'!EJ2:EJ76,'Form responses'!$C$2:$C76,"&lt;="&amp;$N$1,'Form responses'!$D$2:$D76,$J$1)-(sumifs('Form responses'!BD2:BD76,'Form responses'!$C$2:$C76,"&lt;="&amp;$N$1,'Form responses'!$D$2:$D76,$J$1)+sumifs('Form responses'!DN2:DN76,'Form responses'!$C$2:$C76,"&lt;="&amp;$N$1,'Form responses'!$D$2:$D76,$J$1)+sumifs('Form responses'!DY2:DY76,'Form responses'!$C$2:$C76,"&lt;="&amp;$N$1,'Form responses'!$D$2:$D76,$J$1))</f>
        <v>0</v>
      </c>
      <c r="G42" s="298">
        <f>sumifs('Form responses'!EK2:EK76,'Form responses'!$C$2:$C76,"&lt;="&amp;$N$1,'Form responses'!$D$2:$D76,$J$1)-(sumifs('Form responses'!BE2:BE76,'Form responses'!$C$2:$C76,"&lt;="&amp;$N$1,'Form responses'!$D$2:$D76,$J$1)+sumifs('Form responses'!DO2:DO76,'Form responses'!$C$2:$C76,"&lt;="&amp;$N$1,'Form responses'!$D$2:$D76,$J$1)+sumifs('Form responses'!DZ2:DZ76,'Form responses'!$C$2:$C76,"&lt;="&amp;$N$1,'Form responses'!$D$2:$D76,$J$1))</f>
        <v>0</v>
      </c>
      <c r="H42" s="298">
        <f>sumifs('Form responses'!EL2:EL76,'Form responses'!$C$2:$C76,"&lt;="&amp;$N$1,'Form responses'!$D$2:$D76,$J$1)-(sumifs('Form responses'!BF2:BF76,'Form responses'!$C$2:$C76,"&lt;="&amp;$N$1,'Form responses'!$D$2:$D76,$J$1)+sumifs('Form responses'!DP2:DP76,'Form responses'!$C$2:$C76,"&lt;="&amp;$N$1,'Form responses'!$D$2:$D76,$J$1)+sumifs('Form responses'!EA2:EA76,'Form responses'!$C$2:$C76,"&lt;="&amp;$N$1,'Form responses'!$D$2:$D76,$J$1))</f>
        <v>0</v>
      </c>
      <c r="I42" s="298">
        <f>sumifs('Form responses'!EM2:EM76,'Form responses'!$C$2:$C76,"&lt;="&amp;$N$1,'Form responses'!$D$2:$D76,$J$1)-(sumifs('Form responses'!BG2:BG76,'Form responses'!$C$2:$C76,"&lt;="&amp;$N$1,'Form responses'!$D$2:$D76,$J$1)+sumifs('Form responses'!DQ2:DQ76,'Form responses'!$C$2:$C76,"&lt;="&amp;$N$1,'Form responses'!$D$2:$D76,$J$1)+sumifs('Form responses'!EB2:EB76,'Form responses'!$C$2:$C76,"&lt;="&amp;$N$1,'Form responses'!$D$2:$D76,$J$1))</f>
        <v>0</v>
      </c>
      <c r="J42" s="298">
        <f>sumifs('Form responses'!EN2:EN76,'Form responses'!$C$2:$C76,"&lt;="&amp;$N$1,'Form responses'!$D$2:$D76,$J$1)-(sumifs('Form responses'!BL2:BL76,'Form responses'!$C$2:$C76,"&lt;="&amp;$N$1,'Form responses'!$D$2:$D76,$J$1)+sumifs('Form responses'!DR2:DR76,'Form responses'!$C$2:$C76,"&lt;="&amp;$N$1,'Form responses'!$D$2:$D76,$J$1)+sumifs('Form responses'!EC2:EC76,'Form responses'!$C$2:$C76,"&lt;="&amp;$N$1,'Form responses'!$D$2:$D76,$J$1))</f>
        <v>0</v>
      </c>
      <c r="K42" s="298">
        <f>sumifs('Form responses'!EO2:EO76,'Form responses'!$C$2:$C76,"&lt;="&amp;$N$1,'Form responses'!$D$2:$D76,$J$1)-(sumifs('Form responses'!BN2:BN76,'Form responses'!$C$2:$C76,"&lt;="&amp;$N$1,'Form responses'!$D$2:$D76,$J$1)+sumifs('Form responses'!DS2:DS76,'Form responses'!$C$2:$C76,"&lt;="&amp;$N$1,'Form responses'!$D$2:$D76,$J$1)+sumifs('Form responses'!ED2:ED76,'Form responses'!$C$2:$C76,"&lt;="&amp;$N$1,'Form responses'!$D$2:$D76,$J$1))</f>
        <v>0</v>
      </c>
      <c r="L42" s="299">
        <f>sumifs('Form responses'!EP2:EP76,'Form responses'!$C$2:$C76,"&lt;="&amp;$N$1,'Form responses'!$D$2:$D76,$J$1)-(sumifs('Form responses'!BO2:BO76,'Form responses'!$C$2:$C76,"&lt;="&amp;$N$1,'Form responses'!$D$2:$D76,$J$1)+sumifs('Form responses'!DT2:DT76,'Form responses'!$C$2:$C76,"&lt;="&amp;$N$1,'Form responses'!$D$2:$D76,$J$1)+sumifs('Form responses'!EE2:EE76,'Form responses'!$C$2:$C76,"&lt;="&amp;$N$1,'Form responses'!$D$2:$D76,$J$1))</f>
        <v>0</v>
      </c>
      <c r="P42" s="304"/>
      <c r="Q42" s="305"/>
      <c r="R42" s="305"/>
      <c r="S42" s="306"/>
      <c r="Z42" s="184"/>
      <c r="AA42" s="184"/>
      <c r="AB42" s="184"/>
    </row>
    <row r="43" ht="19.5" customHeight="1">
      <c r="A43" s="253" t="s">
        <v>534</v>
      </c>
      <c r="B43" s="209">
        <f>Sum!EA30</f>
        <v>0</v>
      </c>
      <c r="C43" s="209">
        <f>Sum!EB30</f>
        <v>0</v>
      </c>
      <c r="D43" s="209">
        <f>Sum!EC30</f>
        <v>0</v>
      </c>
      <c r="E43" s="209">
        <f>Sum!ED30</f>
        <v>0</v>
      </c>
      <c r="F43" s="209">
        <f>Sum!EE30</f>
        <v>0</v>
      </c>
      <c r="G43" s="209">
        <f>Sum!EF30</f>
        <v>0</v>
      </c>
      <c r="H43" s="209">
        <f>Sum!EG30</f>
        <v>0</v>
      </c>
      <c r="I43" s="209">
        <f>Sum!EH30</f>
        <v>0</v>
      </c>
      <c r="J43" s="209">
        <f>Sum!EI30</f>
        <v>0</v>
      </c>
      <c r="K43" s="209">
        <f>Sum!EJ30</f>
        <v>0</v>
      </c>
      <c r="L43" s="209">
        <f>Sum!EK30</f>
        <v>0</v>
      </c>
      <c r="P43" s="307" t="str">
        <f t="shared" ref="P43:S43" si="9">P42</f>
        <v/>
      </c>
      <c r="Q43" s="308" t="str">
        <f t="shared" si="9"/>
        <v/>
      </c>
      <c r="R43" s="308" t="str">
        <f t="shared" si="9"/>
        <v/>
      </c>
      <c r="S43" s="309" t="str">
        <f t="shared" si="9"/>
        <v/>
      </c>
      <c r="Z43" s="184"/>
      <c r="AA43" s="184"/>
      <c r="AB43" s="184"/>
    </row>
    <row r="44" ht="19.5" customHeight="1">
      <c r="A44" s="208" t="s">
        <v>535</v>
      </c>
      <c r="B44" s="209">
        <f>Sum!AQ30</f>
        <v>0</v>
      </c>
      <c r="C44" s="209">
        <f>Sum!AR30</f>
        <v>0</v>
      </c>
      <c r="D44" s="209">
        <f>Sum!AS30</f>
        <v>0</v>
      </c>
      <c r="E44" s="209">
        <f>Sum!AT30</f>
        <v>0</v>
      </c>
      <c r="F44" s="210">
        <f>Sum!AY30</f>
        <v>0</v>
      </c>
      <c r="G44" s="210">
        <f>Sum!AZ30</f>
        <v>0</v>
      </c>
      <c r="H44" s="210">
        <f>Sum!BA30</f>
        <v>0</v>
      </c>
      <c r="I44" s="210">
        <f>Sum!BB30</f>
        <v>0</v>
      </c>
      <c r="J44" s="210">
        <f>Sum!BG30</f>
        <v>0</v>
      </c>
      <c r="K44" s="210">
        <f>Sum!BI30</f>
        <v>0</v>
      </c>
      <c r="L44" s="210">
        <f>Sum!BJ30</f>
        <v>0</v>
      </c>
      <c r="P44" s="310" t="s">
        <v>536</v>
      </c>
      <c r="Q44" s="311"/>
      <c r="R44" s="311"/>
      <c r="S44" s="312"/>
      <c r="Z44" s="184"/>
      <c r="AA44" s="184"/>
      <c r="AB44" s="184"/>
    </row>
    <row r="45" ht="19.5" customHeight="1">
      <c r="A45" s="208" t="s">
        <v>537</v>
      </c>
      <c r="B45" s="209">
        <f>Sum!DE30</f>
        <v>0</v>
      </c>
      <c r="C45" s="209">
        <f>Sum!DF30</f>
        <v>0</v>
      </c>
      <c r="D45" s="209">
        <f>Sum!DG30</f>
        <v>0</v>
      </c>
      <c r="E45" s="209">
        <f>Sum!DH30</f>
        <v>0</v>
      </c>
      <c r="F45" s="210">
        <f>Sum!DI30</f>
        <v>0</v>
      </c>
      <c r="G45" s="210">
        <f>Sum!DJ30</f>
        <v>0</v>
      </c>
      <c r="H45" s="210">
        <f>Sum!DK30</f>
        <v>0</v>
      </c>
      <c r="I45" s="210">
        <f>Sum!DL30</f>
        <v>0</v>
      </c>
      <c r="J45" s="210">
        <f>Sum!DM30</f>
        <v>0</v>
      </c>
      <c r="K45" s="210">
        <f>Sum!DN30</f>
        <v>0</v>
      </c>
      <c r="L45" s="210">
        <f>Sum!DO30</f>
        <v>0</v>
      </c>
      <c r="P45" s="300" t="s">
        <v>529</v>
      </c>
      <c r="Q45" s="301" t="s">
        <v>530</v>
      </c>
      <c r="R45" s="302" t="s">
        <v>531</v>
      </c>
      <c r="S45" s="303" t="s">
        <v>532</v>
      </c>
      <c r="Z45" s="184"/>
      <c r="AA45" s="184"/>
      <c r="AB45" s="184"/>
    </row>
    <row r="46" ht="19.5" customHeight="1">
      <c r="A46" s="208" t="s">
        <v>538</v>
      </c>
      <c r="B46" s="209">
        <f>Sum!DP30</f>
        <v>0</v>
      </c>
      <c r="C46" s="209">
        <f>Sum!DQ30</f>
        <v>0</v>
      </c>
      <c r="D46" s="209">
        <f>Sum!DR30</f>
        <v>0</v>
      </c>
      <c r="E46" s="209">
        <f>Sum!DS30</f>
        <v>0</v>
      </c>
      <c r="F46" s="209">
        <f>Sum!DT30</f>
        <v>0</v>
      </c>
      <c r="G46" s="209">
        <f>Sum!DU30</f>
        <v>0</v>
      </c>
      <c r="H46" s="209">
        <f>Sum!DV30</f>
        <v>0</v>
      </c>
      <c r="I46" s="209">
        <f>Sum!DW30</f>
        <v>0</v>
      </c>
      <c r="J46" s="209">
        <f>Sum!DX30</f>
        <v>0</v>
      </c>
      <c r="K46" s="209">
        <f>Sum!DY30</f>
        <v>0</v>
      </c>
      <c r="L46" s="209">
        <f>Sum!DZ30</f>
        <v>0</v>
      </c>
      <c r="P46" s="304"/>
      <c r="Q46" s="305"/>
      <c r="R46" s="305"/>
      <c r="S46" s="306"/>
      <c r="Z46" s="184"/>
      <c r="AA46" s="184"/>
      <c r="AB46" s="184"/>
    </row>
    <row r="47" ht="19.5" customHeight="1">
      <c r="A47" s="253" t="s">
        <v>539</v>
      </c>
      <c r="B47" s="209">
        <f>Sum!EA31</f>
        <v>0</v>
      </c>
      <c r="C47" s="209">
        <f>Sum!EB31</f>
        <v>0</v>
      </c>
      <c r="D47" s="209">
        <f>Sum!EC31</f>
        <v>0</v>
      </c>
      <c r="E47" s="209">
        <f>Sum!ED31</f>
        <v>0</v>
      </c>
      <c r="F47" s="209">
        <f>Sum!EE31</f>
        <v>0</v>
      </c>
      <c r="G47" s="209">
        <f>Sum!EF31</f>
        <v>0</v>
      </c>
      <c r="H47" s="209">
        <f>Sum!EG31</f>
        <v>0</v>
      </c>
      <c r="I47" s="209">
        <f>Sum!EH31</f>
        <v>0</v>
      </c>
      <c r="J47" s="209">
        <f>Sum!EI31</f>
        <v>0</v>
      </c>
      <c r="K47" s="209">
        <f>Sum!EJ31</f>
        <v>0</v>
      </c>
      <c r="L47" s="209">
        <f>Sum!EK31</f>
        <v>0</v>
      </c>
      <c r="M47" s="223"/>
      <c r="N47" s="223"/>
      <c r="O47" s="223"/>
      <c r="P47" s="307" t="str">
        <f t="shared" ref="P47:S47" si="10">P46</f>
        <v/>
      </c>
      <c r="Q47" s="308" t="str">
        <f t="shared" si="10"/>
        <v/>
      </c>
      <c r="R47" s="308" t="str">
        <f t="shared" si="10"/>
        <v/>
      </c>
      <c r="S47" s="309" t="str">
        <f t="shared" si="10"/>
        <v/>
      </c>
      <c r="T47" s="184"/>
      <c r="U47" s="184"/>
      <c r="V47" s="184"/>
      <c r="W47" s="184"/>
      <c r="X47" s="184"/>
      <c r="Y47" s="184"/>
    </row>
    <row r="48" ht="19.5" customHeight="1">
      <c r="A48" s="208" t="s">
        <v>540</v>
      </c>
      <c r="B48" s="209">
        <f>Sum!AQ31</f>
        <v>0</v>
      </c>
      <c r="C48" s="209">
        <f>Sum!AR31</f>
        <v>0</v>
      </c>
      <c r="D48" s="209">
        <f>Sum!AS31</f>
        <v>0</v>
      </c>
      <c r="E48" s="209">
        <f>Sum!AT31</f>
        <v>0</v>
      </c>
      <c r="F48" s="210">
        <f>Sum!AY31</f>
        <v>0</v>
      </c>
      <c r="G48" s="210">
        <f>Sum!AZ31</f>
        <v>0</v>
      </c>
      <c r="H48" s="210">
        <f>Sum!BA31</f>
        <v>0</v>
      </c>
      <c r="I48" s="210">
        <f>Sum!BB31</f>
        <v>0</v>
      </c>
      <c r="J48" s="210">
        <f>Sum!BG31</f>
        <v>0</v>
      </c>
      <c r="K48" s="210">
        <f>Sum!BI31</f>
        <v>0</v>
      </c>
      <c r="L48" s="210">
        <f>Sum!BJ31</f>
        <v>0</v>
      </c>
      <c r="M48" s="213"/>
      <c r="N48" s="213"/>
      <c r="O48" s="213"/>
      <c r="P48" s="313" t="s">
        <v>541</v>
      </c>
      <c r="Q48" s="311"/>
      <c r="R48" s="311"/>
      <c r="S48" s="312"/>
      <c r="T48" s="184"/>
      <c r="U48" s="184"/>
      <c r="V48" s="184"/>
      <c r="W48" s="184"/>
      <c r="X48" s="184"/>
      <c r="Y48" s="184"/>
    </row>
    <row r="49" ht="19.5" customHeight="1">
      <c r="A49" s="208" t="s">
        <v>542</v>
      </c>
      <c r="B49" s="209">
        <f>Sum!DE31</f>
        <v>0</v>
      </c>
      <c r="C49" s="209">
        <f>Sum!DF31</f>
        <v>0</v>
      </c>
      <c r="D49" s="209">
        <f>Sum!DG31</f>
        <v>0</v>
      </c>
      <c r="E49" s="209">
        <f>Sum!DH31</f>
        <v>0</v>
      </c>
      <c r="F49" s="209">
        <f>Sum!DI31</f>
        <v>0</v>
      </c>
      <c r="G49" s="209">
        <f>Sum!DJ31</f>
        <v>0</v>
      </c>
      <c r="H49" s="209">
        <f>Sum!DK31</f>
        <v>0</v>
      </c>
      <c r="I49" s="209">
        <f>Sum!DL31</f>
        <v>0</v>
      </c>
      <c r="J49" s="209">
        <f>Sum!DM31</f>
        <v>0</v>
      </c>
      <c r="K49" s="209">
        <f>Sum!DN31</f>
        <v>0</v>
      </c>
      <c r="L49" s="209">
        <f>Sum!DO31</f>
        <v>0</v>
      </c>
      <c r="M49" s="213"/>
      <c r="N49" s="213"/>
      <c r="O49" s="184"/>
      <c r="P49" s="314" t="s">
        <v>530</v>
      </c>
      <c r="Q49" s="315" t="s">
        <v>531</v>
      </c>
      <c r="R49" s="316" t="s">
        <v>532</v>
      </c>
      <c r="S49" s="317" t="s">
        <v>529</v>
      </c>
      <c r="T49" s="184"/>
      <c r="U49" s="184"/>
      <c r="V49" s="184"/>
      <c r="W49" s="184"/>
      <c r="X49" s="207"/>
      <c r="Y49" s="207"/>
    </row>
    <row r="50" ht="19.5" customHeight="1">
      <c r="A50" s="208" t="s">
        <v>543</v>
      </c>
      <c r="B50" s="209">
        <f>Sum!DP31</f>
        <v>0</v>
      </c>
      <c r="C50" s="209">
        <f>Sum!DQ31</f>
        <v>0</v>
      </c>
      <c r="D50" s="209">
        <f>Sum!DR31</f>
        <v>0</v>
      </c>
      <c r="E50" s="209">
        <f>Sum!DS31</f>
        <v>0</v>
      </c>
      <c r="F50" s="209">
        <f>Sum!DT31</f>
        <v>0</v>
      </c>
      <c r="G50" s="209">
        <f>Sum!DU31</f>
        <v>0</v>
      </c>
      <c r="H50" s="209">
        <f>Sum!DV31</f>
        <v>0</v>
      </c>
      <c r="I50" s="209">
        <f>Sum!DW31</f>
        <v>0</v>
      </c>
      <c r="J50" s="209">
        <f>Sum!DX31</f>
        <v>0</v>
      </c>
      <c r="K50" s="209">
        <f>Sum!DY31</f>
        <v>0</v>
      </c>
      <c r="L50" s="209">
        <f>Sum!DZ31</f>
        <v>0</v>
      </c>
      <c r="M50" s="213"/>
      <c r="N50" s="213"/>
      <c r="O50" s="213"/>
      <c r="P50" s="304"/>
      <c r="Q50" s="305"/>
      <c r="R50" s="305"/>
      <c r="S50" s="306"/>
      <c r="T50" s="184"/>
      <c r="U50" s="184"/>
      <c r="V50" s="184"/>
      <c r="W50" s="184"/>
      <c r="X50" s="184"/>
      <c r="Y50" s="184"/>
    </row>
    <row r="51" ht="19.5" customHeight="1">
      <c r="A51" s="253" t="s">
        <v>544</v>
      </c>
      <c r="B51" s="215">
        <f t="shared" ref="B51:L51" si="11">(B41+B47)-(B48+B49+B50)</f>
        <v>0</v>
      </c>
      <c r="C51" s="216">
        <f t="shared" si="11"/>
        <v>0</v>
      </c>
      <c r="D51" s="216">
        <f t="shared" si="11"/>
        <v>0</v>
      </c>
      <c r="E51" s="216">
        <f t="shared" si="11"/>
        <v>0</v>
      </c>
      <c r="F51" s="216">
        <f t="shared" si="11"/>
        <v>0</v>
      </c>
      <c r="G51" s="216">
        <f t="shared" si="11"/>
        <v>0</v>
      </c>
      <c r="H51" s="216">
        <f t="shared" si="11"/>
        <v>0</v>
      </c>
      <c r="I51" s="216">
        <f t="shared" si="11"/>
        <v>0</v>
      </c>
      <c r="J51" s="216">
        <f t="shared" si="11"/>
        <v>0</v>
      </c>
      <c r="K51" s="216">
        <f t="shared" si="11"/>
        <v>0</v>
      </c>
      <c r="L51" s="218">
        <f t="shared" si="11"/>
        <v>0</v>
      </c>
      <c r="M51" s="318"/>
      <c r="N51" s="197"/>
      <c r="O51" s="197"/>
      <c r="P51" s="319" t="str">
        <f t="shared" ref="P51:S51" si="12">P50</f>
        <v/>
      </c>
      <c r="Q51" s="320" t="str">
        <f t="shared" si="12"/>
        <v/>
      </c>
      <c r="R51" s="320" t="str">
        <f t="shared" si="12"/>
        <v/>
      </c>
      <c r="S51" s="321" t="str">
        <f t="shared" si="12"/>
        <v/>
      </c>
      <c r="T51" s="197"/>
      <c r="U51" s="184"/>
      <c r="V51" s="184"/>
      <c r="W51" s="184"/>
      <c r="X51" s="184"/>
      <c r="Y51" s="184"/>
    </row>
    <row r="52" ht="6.75" customHeight="1">
      <c r="A52" s="322"/>
      <c r="B52" s="322"/>
      <c r="C52" s="244"/>
      <c r="D52" s="244"/>
      <c r="E52" s="244"/>
      <c r="F52" s="244"/>
      <c r="G52" s="323"/>
      <c r="H52" s="323"/>
      <c r="I52" s="323"/>
      <c r="J52" s="323"/>
      <c r="K52" s="323"/>
    </row>
    <row r="53" ht="15.75" customHeight="1">
      <c r="A53" s="219"/>
      <c r="B53" s="324" t="s">
        <v>545</v>
      </c>
      <c r="F53" s="325"/>
      <c r="G53" s="325"/>
      <c r="H53" s="325"/>
      <c r="I53" s="325"/>
      <c r="J53" s="325"/>
      <c r="K53" s="325"/>
      <c r="L53" s="184"/>
      <c r="M53" s="184"/>
      <c r="N53" s="184"/>
      <c r="O53" s="184"/>
    </row>
    <row r="54" ht="24.75" customHeight="1">
      <c r="A54" s="281"/>
      <c r="B54" s="326" t="s">
        <v>180</v>
      </c>
      <c r="C54" s="327" t="s">
        <v>181</v>
      </c>
      <c r="D54" s="327" t="s">
        <v>182</v>
      </c>
      <c r="E54" s="327" t="s">
        <v>181</v>
      </c>
      <c r="F54" s="327" t="s">
        <v>183</v>
      </c>
      <c r="G54" s="327" t="s">
        <v>181</v>
      </c>
      <c r="H54" s="327" t="s">
        <v>184</v>
      </c>
      <c r="I54" s="327" t="s">
        <v>181</v>
      </c>
      <c r="J54" s="328" t="s">
        <v>185</v>
      </c>
      <c r="K54" s="206"/>
      <c r="L54" s="206"/>
      <c r="M54" s="206"/>
      <c r="N54" s="206"/>
      <c r="O54" s="184"/>
    </row>
    <row r="55" ht="24.75" customHeight="1">
      <c r="A55" s="224" t="s">
        <v>462</v>
      </c>
      <c r="B55" s="329">
        <f>Sum!B47</f>
        <v>0</v>
      </c>
      <c r="C55" s="330">
        <f>Sum!C47</f>
        <v>0</v>
      </c>
      <c r="D55" s="330">
        <f>Sum!D47</f>
        <v>0</v>
      </c>
      <c r="E55" s="330">
        <f>Sum!E47</f>
        <v>0</v>
      </c>
      <c r="F55" s="330">
        <f>Sum!F47</f>
        <v>0</v>
      </c>
      <c r="G55" s="330">
        <f>Sum!G47</f>
        <v>0</v>
      </c>
      <c r="H55" s="330">
        <f>Sum!H47</f>
        <v>0</v>
      </c>
      <c r="I55" s="330">
        <f>Sum!I47</f>
        <v>0</v>
      </c>
      <c r="J55" s="331">
        <f t="shared" ref="J55:J56" si="13">C55+E55+G55+I55</f>
        <v>0</v>
      </c>
      <c r="K55" s="213"/>
      <c r="L55" s="213"/>
      <c r="M55" s="213"/>
      <c r="N55" s="213"/>
      <c r="O55" s="184"/>
    </row>
    <row r="56" ht="24.75" customHeight="1">
      <c r="A56" s="332" t="s">
        <v>546</v>
      </c>
      <c r="B56" s="333">
        <f>Sum!B48</f>
        <v>0</v>
      </c>
      <c r="C56" s="334">
        <f>Sum!C48</f>
        <v>0</v>
      </c>
      <c r="D56" s="334">
        <f>Sum!D48</f>
        <v>0</v>
      </c>
      <c r="E56" s="334">
        <f>Sum!E48</f>
        <v>0</v>
      </c>
      <c r="F56" s="334">
        <f>Sum!F48</f>
        <v>0</v>
      </c>
      <c r="G56" s="334">
        <f>Sum!G48</f>
        <v>0</v>
      </c>
      <c r="H56" s="334">
        <f>Sum!H48</f>
        <v>0</v>
      </c>
      <c r="I56" s="334">
        <f>Sum!I48</f>
        <v>0</v>
      </c>
      <c r="J56" s="335">
        <f t="shared" si="13"/>
        <v>0</v>
      </c>
      <c r="K56" s="213"/>
      <c r="L56" s="213"/>
      <c r="M56" s="213"/>
      <c r="N56" s="213"/>
      <c r="O56" s="184"/>
    </row>
    <row r="57" ht="8.25" customHeight="1">
      <c r="A57" s="219"/>
      <c r="B57" s="336"/>
      <c r="C57" s="213"/>
      <c r="D57" s="213"/>
      <c r="E57" s="213"/>
      <c r="F57" s="213"/>
      <c r="G57" s="213"/>
      <c r="H57" s="213"/>
      <c r="I57" s="213"/>
      <c r="J57" s="213"/>
      <c r="K57" s="213"/>
      <c r="X57" s="213"/>
      <c r="Y57" s="213"/>
      <c r="Z57" s="213"/>
      <c r="AA57" s="213"/>
      <c r="AB57" s="213"/>
    </row>
    <row r="58" ht="18.0" customHeight="1">
      <c r="A58" s="219"/>
      <c r="B58" s="222" t="s">
        <v>547</v>
      </c>
      <c r="E58" s="213"/>
      <c r="F58" s="213"/>
      <c r="G58" s="213"/>
      <c r="H58" s="213"/>
      <c r="I58" s="337"/>
      <c r="J58" s="213"/>
      <c r="K58" s="213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238"/>
      <c r="W58" s="238"/>
      <c r="X58" s="213"/>
      <c r="Y58" s="213"/>
      <c r="Z58" s="213"/>
      <c r="AA58" s="213"/>
      <c r="AB58" s="213"/>
    </row>
    <row r="59" ht="24.75" customHeight="1">
      <c r="A59" s="219"/>
      <c r="B59" s="338" t="s">
        <v>548</v>
      </c>
      <c r="C59" s="242" t="s">
        <v>549</v>
      </c>
      <c r="D59" s="339" t="s">
        <v>550</v>
      </c>
      <c r="E59" s="339" t="s">
        <v>435</v>
      </c>
      <c r="F59" s="339" t="s">
        <v>551</v>
      </c>
      <c r="G59" s="339" t="s">
        <v>552</v>
      </c>
      <c r="H59" s="242" t="s">
        <v>553</v>
      </c>
      <c r="I59" s="339" t="s">
        <v>554</v>
      </c>
      <c r="J59" s="340" t="s">
        <v>555</v>
      </c>
      <c r="K59" s="341" t="s">
        <v>556</v>
      </c>
      <c r="L59" s="341" t="s">
        <v>557</v>
      </c>
      <c r="M59" s="340" t="s">
        <v>558</v>
      </c>
      <c r="N59" s="340" t="s">
        <v>554</v>
      </c>
      <c r="O59" s="340" t="s">
        <v>559</v>
      </c>
      <c r="P59" s="242" t="s">
        <v>560</v>
      </c>
      <c r="Q59" s="342" t="s">
        <v>561</v>
      </c>
      <c r="R59" s="206"/>
      <c r="S59" s="206"/>
      <c r="T59" s="206"/>
      <c r="U59" s="206"/>
      <c r="V59" s="206"/>
      <c r="W59" s="206"/>
      <c r="X59" s="206"/>
      <c r="Y59" s="206"/>
      <c r="Z59" s="206"/>
      <c r="AA59" s="184"/>
      <c r="AB59" s="184"/>
    </row>
    <row r="60" ht="24.75" customHeight="1">
      <c r="A60" s="219" t="str">
        <f>J1</f>
        <v>Institute</v>
      </c>
      <c r="B60" s="343">
        <f>((sumifs('Form responses'!$G$2:$G76,'Form responses'!$C$2:$C76,"&gt;="&amp;$N$1,'Form responses'!$C$2:$C76,"&lt;="&amp;$Q$1,'Form responses'!$D$2:$D76,$A60)
+sumifs('Form responses'!$H$2:$H76,'Form responses'!$C$2:$C76,"&gt;="&amp;$N$1,'Form responses'!$C$2:$C76,"&lt;="&amp;$Q$1,'Form responses'!$D$2:$D76,$A60)
+sumifs('Form responses'!$I$2:$I76,'Form responses'!$C$2:$C76,"&gt;="&amp;$N$1,'Form responses'!$C$2:$C76,"&lt;="&amp;$Q$1,'Form responses'!$D$2:$D76,$A60)
)*Sum!$B$35)</f>
        <v>0</v>
      </c>
      <c r="C60" s="344">
        <f>((sumifs('Form responses'!$J$2:$J76,'Form responses'!$C$2:$C76,"&gt;="&amp;$N$1,'Form responses'!$C$2:$C76,"&lt;="&amp;$Q$1,'Form responses'!$D$2:$D76,$A60))*Sum!$C$35)</f>
        <v>0</v>
      </c>
      <c r="D60" s="345">
        <f>((
sumifs('Form responses'!$S$2:$S76,'Form responses'!$C$2:$C76,"&gt;="&amp;$N$1,'Form responses'!$C$2:$C76,"&lt;="&amp;$Q$1,'Form responses'!$D$2:$D76,$A60)
+
sumifs('Form responses'!$T$2:$T76,'Form responses'!$C$2:$C76,"&gt;="&amp;$N$1,'Form responses'!$C$2:$C76,"&lt;="&amp;$Q$1,'Form responses'!$D$2:$D76,$A60)
)*Sum!$E$35
)</f>
        <v>0</v>
      </c>
      <c r="E60" s="345">
        <f>sumifs('Form responses'!$U$2:$U76,'Form responses'!$C$2:$C76,"&gt;="&amp;$N$1,'Form responses'!$C$2:$C76,"&lt;="&amp;$Q$1,'Form responses'!$D$2:$D76,$A60)
*Sum!$D$35</f>
        <v>0</v>
      </c>
      <c r="F60" s="345">
        <f>J55</f>
        <v>0</v>
      </c>
      <c r="G60" s="345">
        <f>((
sumifs('Form responses'!$V$2:$V76,'Form responses'!$C$2:$C76,"&gt;="&amp;$N$1,'Form responses'!$C$2:$C76,"&lt;="&amp;$Q$1,'Form responses'!$D$2:$D76,$A60)
)*
Sum!$F$35
)+((
sumifs('Form responses'!$W$2:$W76,'Form responses'!$C$2:$C76,"&gt;="&amp;$N$1,'Form responses'!$C$2:$C76,"&lt;="&amp;$Q$1,'Form responses'!$D$2:$D76,$A60)
)*
Sum!$G$35
)</f>
        <v>0</v>
      </c>
      <c r="H60" s="345">
        <f>((
sumifs('Form responses'!$X$2:$X76,'Form responses'!$C$2:$C76,"&gt;="&amp;$N$1,'Form responses'!$C$2:$C76,"&lt;="&amp;$Q$1,'Form responses'!$D$2:$D76,$A60)
)*Sum!$H$35)+((
sumifs('Form responses'!$Y$2:$Y76,'Form responses'!$C$2:$C76,"&gt;="&amp;$N$1,'Form responses'!$C$2:$C76,"&lt;="&amp;$Q$1,'Form responses'!$D$2:$D76,$A60)
)*Sum!$I$35)+((
sumifs('Form responses'!$Z$2:$Z76,'Form responses'!$C$2:$C76,"&gt;="&amp;$N$1,'Form responses'!$C$2:$C76,"&lt;="&amp;$Q$1,'Form responses'!$D$2:$D76,$A60)
)*Sum!$Z$35)</f>
        <v>0</v>
      </c>
      <c r="I60" s="345">
        <f t="shared" ref="I60:I67" si="14">SUM(B60:H60)</f>
        <v>0</v>
      </c>
      <c r="J60" s="345">
        <f>(
sumifs('Form responses'!$AV$2:$AV76,'Form responses'!$C$2:$C76,"&gt;="&amp;$N$1,'Form responses'!$C$2:$C76,"&lt;="&amp;$Q$1,'Form responses'!$D$2:$D76,$A60)
+
sumifs('Form responses'!$AW$2:$AW76,'Form responses'!$C$2:$C76,"&gt;="&amp;$N$1,'Form responses'!$C$2:$C76,"&lt;="&amp;$Q$1,'Form responses'!$D$2:$D76,$A60)
+
sumifs('Form responses'!$AX$2:$AX76,'Form responses'!$C$2:$C76,"&gt;="&amp;$N$1,'Form responses'!$C$2:$C76,"&lt;="&amp;$Q$1,'Form responses'!$D$2:$D76,$A60)
+
sumifs('Form responses'!$AY$2:$AY76,'Form responses'!$C$2:$C76,"&gt;="&amp;$N$1,'Form responses'!$C$2:$C76,"&lt;="&amp;$Q$1,'Form responses'!$D$2:$D76,$A60)
)*Sum!$Q$35</f>
        <v>0</v>
      </c>
      <c r="K60" s="345">
        <f>(
sumifs('Form responses'!$BD$2:$BD76,'Form responses'!$C$2:$C76,"&gt;="&amp;N$1,'Form responses'!$C$2:$C76,"&lt;="&amp;$Q$1,'Form responses'!$D$2:$D76,$A60)
+
sumifs('Form responses'!$BE$2:$BE76,'Form responses'!$C$2:$C76,"&gt;="&amp;N$1,'Form responses'!$C$2:$C76,"&lt;="&amp;$Q$1,'Form responses'!$D$2:$D76,$A60)
)*Sum!$R$35</f>
        <v>0</v>
      </c>
      <c r="L60" s="345">
        <f>(
sumifs('Form responses'!$BF$2:$BF76,'Form responses'!$C$2:$C76,"&gt;="&amp;$N$1,'Form responses'!$C$2:$C76,"&lt;="&amp;$Q$1,'Form responses'!$D$2:$D76,$A60)
+
sumifs('Form responses'!$BG$2:$BG76,'Form responses'!$C$2:$C76,"&gt;="&amp;$N$1,'Form responses'!$C$2:$C76,"&lt;="&amp;$Q$1,'Form responses'!$D$2:$D76,$A60)
)*Sum!$S$35</f>
        <v>0</v>
      </c>
      <c r="M60" s="345">
        <f>sumifs('Form responses'!$BL$2:$BL76,'Form responses'!$C$2:$C76,"&gt;="&amp;$N$1,'Form responses'!$C$2:$C76,"&lt;="&amp;$Q$1,'Form responses'!$D$2:$D76,$A60)
*Sum!$T$35</f>
        <v>0</v>
      </c>
      <c r="N60" s="345">
        <f t="shared" ref="N60:N67" si="15">SUM(J60:M60)</f>
        <v>0</v>
      </c>
      <c r="O60" s="345">
        <f>((sumifs('Form responses'!$BN$2:$BN76,'Form responses'!$C$2:$C76,"&gt;="&amp;$N$1,'Form responses'!$C$2:$C76,"&lt;="&amp;$Q$1,'Form responses'!$D$2:$D76,$A60)+
sumifs('Form responses'!$BO$2:$BO76,'Form responses'!$C$2:$C76,"&gt;="&amp;$N$1,'Form responses'!$C$2:$C76,"&lt;="&amp;$Q$1,'Form responses'!$D$2:$D76,$A60))*Sum!$U$35)</f>
        <v>0</v>
      </c>
      <c r="P60" s="345">
        <f t="shared" ref="P60:P67" si="16">N60+O60</f>
        <v>0</v>
      </c>
      <c r="Q60" s="346">
        <f t="shared" ref="Q60:Q67" si="17">I60+P60</f>
        <v>0</v>
      </c>
      <c r="R60" s="206"/>
      <c r="S60" s="206"/>
      <c r="T60" s="206"/>
      <c r="U60" s="206"/>
      <c r="V60" s="206"/>
      <c r="W60" s="206"/>
      <c r="X60" s="206"/>
      <c r="Y60" s="206"/>
      <c r="Z60" s="206"/>
      <c r="AA60" s="347"/>
      <c r="AB60" s="347"/>
    </row>
    <row r="61" ht="24.75" customHeight="1">
      <c r="A61" s="219" t="str">
        <f>VLOOKUP($J$1,Credentials!$C$3:$P$71,8,FALSE)</f>
        <v>#N/A</v>
      </c>
      <c r="B61" s="348">
        <f>((sumifs('Form responses'!$G$2:$G76,'Form responses'!$C$2:$C76,"&gt;="&amp;$N$1,'Form responses'!$C$2:$C76,"&lt;="&amp;$Q$1,'Form responses'!$D$2:$D76,$A61)
+sumifs('Form responses'!$H$2:$H76,'Form responses'!$C$2:$C76,"&gt;="&amp;$N$1,'Form responses'!$C$2:$C76,"&lt;="&amp;$Q$1,'Form responses'!$D$2:$D76,$A61)
+sumifs('Form responses'!$I$2:$I76,'Form responses'!$C$2:$C76,"&gt;="&amp;$N$1,'Form responses'!$C$2:$C76,"&lt;="&amp;$Q$1,'Form responses'!$D$2:$D76,$A61)
)*Sum!$B$35)</f>
        <v>0</v>
      </c>
      <c r="C61" s="349">
        <f>((sumifs('Form responses'!$J$2:$J76,'Form responses'!$C$2:$C76,"&gt;="&amp;$N$1,'Form responses'!$C$2:$C76,"&lt;="&amp;$Q$1,'Form responses'!$D$2:$D76,$A61))*Sum!$C$35)</f>
        <v>0</v>
      </c>
      <c r="D61" s="350">
        <f>((
sumifs('Form responses'!$S$2:$S76,'Form responses'!$C$2:$C76,"&gt;="&amp;$N$1,'Form responses'!$C$2:$C76,"&lt;="&amp;$Q$1,'Form responses'!$D$2:$D76,$A61)
+
sumifs('Form responses'!$T$2:$T76,'Form responses'!$C$2:$C76,"&gt;="&amp;$N$1,'Form responses'!$C$2:$C76,"&lt;="&amp;$Q$1,'Form responses'!$D$2:$D76,$A61)
)*Sum!$E$35
)</f>
        <v>0</v>
      </c>
      <c r="E61" s="350">
        <f>sumifs('Form responses'!$U$2:$U76,'Form responses'!$C$2:$C76,"&gt;="&amp;$N$1,'Form responses'!$C$2:$C76,"&lt;="&amp;$Q$1,'Form responses'!$D$2:$D76,$A61)
*Sum!$D$35</f>
        <v>0</v>
      </c>
      <c r="F61" s="351">
        <v>0.0</v>
      </c>
      <c r="G61" s="350">
        <f>((
sumifs('Form responses'!$V$2:$V76,'Form responses'!$C$2:$C76,"&gt;="&amp;$N$1,'Form responses'!$C$2:$C76,"&lt;="&amp;$Q$1,'Form responses'!$D$2:$D76,$A61)
)*
Sum!$F$35
)+((
sumifs('Form responses'!$W$2:$W76,'Form responses'!$C$2:$C76,"&gt;="&amp;$N$1,'Form responses'!$C$2:$C76,"&lt;="&amp;$Q$1,'Form responses'!$D$2:$D76,$A61)
)*
Sum!$G$35
)</f>
        <v>0</v>
      </c>
      <c r="H61" s="352">
        <f>((
sumifs('Form responses'!$X$2:$X76,'Form responses'!$C$2:$C76,"&gt;="&amp;$N$1,'Form responses'!$C$2:$C76,"&lt;="&amp;$Q$1,'Form responses'!$D$2:$D76,$A61)
)*Sum!$H$35)+((
sumifs('Form responses'!$Y$2:$Y76,'Form responses'!$C$2:$C76,"&gt;="&amp;$N$1,'Form responses'!$C$2:$C76,"&lt;="&amp;$Q$1,'Form responses'!$D$2:$D76,$A61)
)*Sum!$I$35)+((
sumifs('Form responses'!$Z$2:$Z76,'Form responses'!$C$2:$C76,"&gt;="&amp;$N$1,'Form responses'!$C$2:$C76,"&lt;="&amp;$Q$1,'Form responses'!$D$2:$D76,$A61)
)*Sum!$Z$35)</f>
        <v>0</v>
      </c>
      <c r="I61" s="350">
        <f t="shared" si="14"/>
        <v>0</v>
      </c>
      <c r="J61" s="350">
        <f>(
sumifs('Form responses'!$AV$2:$AV76,'Form responses'!$C$2:$C76,"&gt;="&amp;$N$1,'Form responses'!$C$2:$C76,"&lt;="&amp;$Q$1,'Form responses'!$D$2:$D76,$A61)
+
sumifs('Form responses'!$AW$2:$AW76,'Form responses'!$C$2:$C76,"&gt;="&amp;$N$1,'Form responses'!$C$2:$C76,"&lt;="&amp;$Q$1,'Form responses'!$D$2:$D76,$A61)
+
sumifs('Form responses'!$AX$2:$AX76,'Form responses'!$C$2:$C76,"&gt;="&amp;$N$1,'Form responses'!$C$2:$C76,"&lt;="&amp;$Q$1,'Form responses'!$D$2:$D76,$A61)
+
sumifs('Form responses'!$AY$2:$AY76,'Form responses'!$C$2:$C76,"&gt;="&amp;$N$1,'Form responses'!$C$2:$C76,"&lt;="&amp;$Q$1,'Form responses'!$D$2:$D76,$A61)
)*Sum!$Q$35</f>
        <v>0</v>
      </c>
      <c r="K61" s="350">
        <f>(
sumifs('Form responses'!$BD$2:$BD76,'Form responses'!$C$2:$C76,"&gt;="&amp;N$1,'Form responses'!$C$2:$C76,"&lt;="&amp;$Q$1,'Form responses'!$D$2:$D76,$A61)
+
sumifs('Form responses'!$BE$2:$BE76,'Form responses'!$C$2:$C76,"&gt;="&amp;N$1,'Form responses'!$C$2:$C76,"&lt;="&amp;$Q$1,'Form responses'!$D$2:$D76,$A61)
)*Sum!$R$35</f>
        <v>0</v>
      </c>
      <c r="L61" s="350">
        <f>(
sumifs('Form responses'!$BF$2:$BF76,'Form responses'!$C$2:$C76,"&gt;="&amp;$N$1,'Form responses'!$C$2:$C76,"&lt;="&amp;$Q$1,'Form responses'!$D$2:$D76,$A61)
+
sumifs('Form responses'!$BG$2:$BG76,'Form responses'!$C$2:$C76,"&gt;="&amp;$N$1,'Form responses'!$C$2:$C76,"&lt;="&amp;$Q$1,'Form responses'!$D$2:$D76,$A61)
)*Sum!$S$35</f>
        <v>0</v>
      </c>
      <c r="M61" s="350">
        <f>sumifs('Form responses'!$BL$2:$BL76,'Form responses'!$C$2:$C76,"&gt;="&amp;$N$1,'Form responses'!$C$2:$C76,"&lt;="&amp;$Q$1,'Form responses'!$D$2:$D76,$A61)
*Sum!$T$35</f>
        <v>0</v>
      </c>
      <c r="N61" s="350">
        <f t="shared" si="15"/>
        <v>0</v>
      </c>
      <c r="O61" s="350">
        <f>((sumifs('Form responses'!$BN$2:$BN76,'Form responses'!$C$2:$C76,"&gt;="&amp;$N$1,'Form responses'!$C$2:$C76,"&lt;="&amp;$Q$1,'Form responses'!$D$2:$D76,$A61)+
sumifs('Form responses'!$BO$2:$BO76,'Form responses'!$C$2:$C76,"&gt;="&amp;$N$1,'Form responses'!$C$2:$C76,"&lt;="&amp;$Q$1,'Form responses'!$D$2:$D76,$A61))*Sum!$U$35)</f>
        <v>0</v>
      </c>
      <c r="P61" s="350">
        <f t="shared" si="16"/>
        <v>0</v>
      </c>
      <c r="Q61" s="353">
        <f t="shared" si="17"/>
        <v>0</v>
      </c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</row>
    <row r="62" ht="24.75" customHeight="1">
      <c r="A62" s="219" t="str">
        <f>VLOOKUP($J$1,Credentials!$C$3:$P$71,9,FALSE)</f>
        <v>#N/A</v>
      </c>
      <c r="B62" s="348">
        <f>((sumifs('Form responses'!$G$2:$G76,'Form responses'!$C$2:$C76,"&gt;="&amp;$N$1,'Form responses'!$C$2:$C76,"&lt;="&amp;$Q$1,'Form responses'!$D$2:$D76,$A62)
+sumifs('Form responses'!$H$2:$H76,'Form responses'!$C$2:$C76,"&gt;="&amp;$N$1,'Form responses'!$C$2:$C76,"&lt;="&amp;$Q$1,'Form responses'!$D$2:$D76,$A62)
+sumifs('Form responses'!$I$2:$I76,'Form responses'!$C$2:$C76,"&gt;="&amp;$N$1,'Form responses'!$C$2:$C76,"&lt;="&amp;$Q$1,'Form responses'!$D$2:$D76,$A62)
)*Sum!$B$35)</f>
        <v>0</v>
      </c>
      <c r="C62" s="349">
        <f>((sumifs('Form responses'!$J$2:$J76,'Form responses'!$C$2:$C76,"&gt;="&amp;$N$1,'Form responses'!$C$2:$C76,"&lt;="&amp;$Q$1,'Form responses'!$D$2:$D76,$A62))*Sum!$C$35)</f>
        <v>0</v>
      </c>
      <c r="D62" s="350">
        <f>((
sumifs('Form responses'!$S$2:$S76,'Form responses'!$C$2:$C76,"&gt;="&amp;$N$1,'Form responses'!$C$2:$C76,"&lt;="&amp;$Q$1,'Form responses'!$D$2:$D76,$A62)
+
sumifs('Form responses'!$T$2:$T76,'Form responses'!$C$2:$C76,"&gt;="&amp;$N$1,'Form responses'!$C$2:$C76,"&lt;="&amp;$Q$1,'Form responses'!$D$2:$D76,$A62)
)*Sum!$E$35
)</f>
        <v>0</v>
      </c>
      <c r="E62" s="350">
        <f>sumifs('Form responses'!$U$2:$U76,'Form responses'!$C$2:$C76,"&gt;="&amp;$N$1,'Form responses'!$C$2:$C76,"&lt;="&amp;$Q$1,'Form responses'!$D$2:$D76,$A62)
*Sum!$D$35</f>
        <v>0</v>
      </c>
      <c r="F62" s="351">
        <v>0.0</v>
      </c>
      <c r="G62" s="350">
        <f>((
sumifs('Form responses'!$V$2:$V76,'Form responses'!$C$2:$C76,"&gt;="&amp;$N$1,'Form responses'!$C$2:$C76,"&lt;="&amp;$Q$1,'Form responses'!$D$2:$D76,$A62)
)*
Sum!$F$35
)+((
sumifs('Form responses'!$W$2:$W76,'Form responses'!$C$2:$C76,"&gt;="&amp;$N$1,'Form responses'!$C$2:$C76,"&lt;="&amp;$Q$1,'Form responses'!$D$2:$D76,$A62)
)*
Sum!$G$35
)</f>
        <v>0</v>
      </c>
      <c r="H62" s="352">
        <f>((
sumifs('Form responses'!$X$2:$X76,'Form responses'!$C$2:$C76,"&gt;="&amp;$N$1,'Form responses'!$C$2:$C76,"&lt;="&amp;$Q$1,'Form responses'!$D$2:$D76,$A62)
)*Sum!$H$35)+((
sumifs('Form responses'!$Y$2:$Y76,'Form responses'!$C$2:$C76,"&gt;="&amp;$N$1,'Form responses'!$C$2:$C76,"&lt;="&amp;$Q$1,'Form responses'!$D$2:$D76,$A62)
)*Sum!$I$35)+((
sumifs('Form responses'!$Z$2:$Z76,'Form responses'!$C$2:$C76,"&gt;="&amp;$N$1,'Form responses'!$C$2:$C76,"&lt;="&amp;$Q$1,'Form responses'!$D$2:$D76,$A62)
)*Sum!$Z$35)</f>
        <v>0</v>
      </c>
      <c r="I62" s="350">
        <f t="shared" si="14"/>
        <v>0</v>
      </c>
      <c r="J62" s="350">
        <f>(
sumifs('Form responses'!$AV$2:$AV76,'Form responses'!$C$2:$C76,"&gt;="&amp;$N$1,'Form responses'!$C$2:$C76,"&lt;="&amp;$Q$1,'Form responses'!$D$2:$D76,$A62)
+
sumifs('Form responses'!$AW$2:$AW76,'Form responses'!$C$2:$C76,"&gt;="&amp;$N$1,'Form responses'!$C$2:$C76,"&lt;="&amp;$Q$1,'Form responses'!$D$2:$D76,$A62)
+
sumifs('Form responses'!$AX$2:$AX76,'Form responses'!$C$2:$C76,"&gt;="&amp;$N$1,'Form responses'!$C$2:$C76,"&lt;="&amp;$Q$1,'Form responses'!$D$2:$D76,$A62)
+
sumifs('Form responses'!$AY$2:$AY76,'Form responses'!$C$2:$C76,"&gt;="&amp;$N$1,'Form responses'!$C$2:$C76,"&lt;="&amp;$Q$1,'Form responses'!$D$2:$D76,$A62)
)*Sum!$Q$35</f>
        <v>0</v>
      </c>
      <c r="K62" s="350">
        <f>(
sumifs('Form responses'!$BD$2:$BD76,'Form responses'!$C$2:$C76,"&gt;="&amp;N$1,'Form responses'!$C$2:$C76,"&lt;="&amp;$Q$1,'Form responses'!$D$2:$D76,$A62)
+
sumifs('Form responses'!$BE$2:$BE76,'Form responses'!$C$2:$C76,"&gt;="&amp;N$1,'Form responses'!$C$2:$C76,"&lt;="&amp;$Q$1,'Form responses'!$D$2:$D76,$A62)
)*Sum!$R$35</f>
        <v>0</v>
      </c>
      <c r="L62" s="350">
        <f>(
sumifs('Form responses'!$BF$2:$BF76,'Form responses'!$C$2:$C76,"&gt;="&amp;$N$1,'Form responses'!$C$2:$C76,"&lt;="&amp;$Q$1,'Form responses'!$D$2:$D76,$A62)
+
sumifs('Form responses'!$BG$2:$BG76,'Form responses'!$C$2:$C76,"&gt;="&amp;$N$1,'Form responses'!$C$2:$C76,"&lt;="&amp;$Q$1,'Form responses'!$D$2:$D76,$A62)
)*Sum!$S$35</f>
        <v>0</v>
      </c>
      <c r="M62" s="350">
        <f>sumifs('Form responses'!$BL$2:$BL76,'Form responses'!$C$2:$C76,"&gt;="&amp;$N$1,'Form responses'!$C$2:$C76,"&lt;="&amp;$Q$1,'Form responses'!$D$2:$D76,$A62)
*Sum!$T$35</f>
        <v>0</v>
      </c>
      <c r="N62" s="350">
        <f t="shared" si="15"/>
        <v>0</v>
      </c>
      <c r="O62" s="350">
        <f>((sumifs('Form responses'!$BN$2:$BN76,'Form responses'!$C$2:$C76,"&gt;="&amp;$N$1,'Form responses'!$C$2:$C76,"&lt;="&amp;$Q$1,'Form responses'!$D$2:$D76,$A62)+
sumifs('Form responses'!$BO$2:$BO76,'Form responses'!$C$2:$C76,"&gt;="&amp;$N$1,'Form responses'!$C$2:$C76,"&lt;="&amp;$Q$1,'Form responses'!$D$2:$D76,$A62))*Sum!$U$35)</f>
        <v>0</v>
      </c>
      <c r="P62" s="350">
        <f t="shared" si="16"/>
        <v>0</v>
      </c>
      <c r="Q62" s="353">
        <f t="shared" si="17"/>
        <v>0</v>
      </c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</row>
    <row r="63" ht="24.75" customHeight="1">
      <c r="A63" s="219" t="str">
        <f>VLOOKUP($J$1,Credentials!$C$3:$P$71,10,FALSE)</f>
        <v>#N/A</v>
      </c>
      <c r="B63" s="348">
        <f>((sumifs('Form responses'!$G$2:$G76,'Form responses'!$C$2:$C76,"&gt;="&amp;$N$1,'Form responses'!$C$2:$C76,"&lt;="&amp;$Q$1,'Form responses'!$D$2:$D76,$A63)
+sumifs('Form responses'!$H$2:$H76,'Form responses'!$C$2:$C76,"&gt;="&amp;$N$1,'Form responses'!$C$2:$C76,"&lt;="&amp;$Q$1,'Form responses'!$D$2:$D76,$A63)
+sumifs('Form responses'!$I$2:$I76,'Form responses'!$C$2:$C76,"&gt;="&amp;$N$1,'Form responses'!$C$2:$C76,"&lt;="&amp;$Q$1,'Form responses'!$D$2:$D76,$A63)
)*Sum!$B$35)</f>
        <v>0</v>
      </c>
      <c r="C63" s="349">
        <f>((sumifs('Form responses'!$J$2:$J76,'Form responses'!$C$2:$C76,"&gt;="&amp;$N$1,'Form responses'!$C$2:$C76,"&lt;="&amp;$Q$1,'Form responses'!$D$2:$D76,$A63))*Sum!$C$35)</f>
        <v>0</v>
      </c>
      <c r="D63" s="350">
        <f>((
sumifs('Form responses'!$S$2:$S76,'Form responses'!$C$2:$C76,"&gt;="&amp;$N$1,'Form responses'!$C$2:$C76,"&lt;="&amp;$Q$1,'Form responses'!$D$2:$D76,$A63)
+
sumifs('Form responses'!$T$2:$T76,'Form responses'!$C$2:$C76,"&gt;="&amp;$N$1,'Form responses'!$C$2:$C76,"&lt;="&amp;$Q$1,'Form responses'!$D$2:$D76,$A63)
)*Sum!$E$35
)</f>
        <v>0</v>
      </c>
      <c r="E63" s="350">
        <f>sumifs('Form responses'!$U$2:$U76,'Form responses'!$C$2:$C76,"&gt;="&amp;$N$1,'Form responses'!$C$2:$C76,"&lt;="&amp;$Q$1,'Form responses'!$D$2:$D76,$A63)
*Sum!$D$35</f>
        <v>0</v>
      </c>
      <c r="F63" s="351">
        <v>0.0</v>
      </c>
      <c r="G63" s="350">
        <f>((
sumifs('Form responses'!$V$2:$V76,'Form responses'!$C$2:$C76,"&gt;="&amp;$N$1,'Form responses'!$C$2:$C76,"&lt;="&amp;$Q$1,'Form responses'!$D$2:$D76,$A63)
)*
Sum!$F$35
)+((
sumifs('Form responses'!$W$2:$W76,'Form responses'!$C$2:$C76,"&gt;="&amp;$N$1,'Form responses'!$C$2:$C76,"&lt;="&amp;$Q$1,'Form responses'!$D$2:$D76,$A63)
)*
Sum!$G$35
)</f>
        <v>0</v>
      </c>
      <c r="H63" s="352">
        <f>((
sumifs('Form responses'!$X$2:$X76,'Form responses'!$C$2:$C76,"&gt;="&amp;$N$1,'Form responses'!$C$2:$C76,"&lt;="&amp;$Q$1,'Form responses'!$D$2:$D76,$A63)
)*Sum!$H$35)+((
sumifs('Form responses'!$Y$2:$Y76,'Form responses'!$C$2:$C76,"&gt;="&amp;$N$1,'Form responses'!$C$2:$C76,"&lt;="&amp;$Q$1,'Form responses'!$D$2:$D76,$A63)
)*Sum!$I$35)+((
sumifs('Form responses'!$Z$2:$Z76,'Form responses'!$C$2:$C76,"&gt;="&amp;$N$1,'Form responses'!$C$2:$C76,"&lt;="&amp;$Q$1,'Form responses'!$D$2:$D76,$A63)
)*Sum!$Z$35)</f>
        <v>0</v>
      </c>
      <c r="I63" s="350">
        <f t="shared" si="14"/>
        <v>0</v>
      </c>
      <c r="J63" s="350">
        <f>(
sumifs('Form responses'!$AV$2:$AV76,'Form responses'!$C$2:$C76,"&gt;="&amp;$N$1,'Form responses'!$C$2:$C76,"&lt;="&amp;$Q$1,'Form responses'!$D$2:$D76,$A63)
+
sumifs('Form responses'!$AW$2:$AW76,'Form responses'!$C$2:$C76,"&gt;="&amp;$N$1,'Form responses'!$C$2:$C76,"&lt;="&amp;$Q$1,'Form responses'!$D$2:$D76,$A63)
+
sumifs('Form responses'!$AX$2:$AX76,'Form responses'!$C$2:$C76,"&gt;="&amp;$N$1,'Form responses'!$C$2:$C76,"&lt;="&amp;$Q$1,'Form responses'!$D$2:$D76,$A63)
+
sumifs('Form responses'!$AY$2:$AY76,'Form responses'!$C$2:$C76,"&gt;="&amp;$N$1,'Form responses'!$C$2:$C76,"&lt;="&amp;$Q$1,'Form responses'!$D$2:$D76,$A63)
)*Sum!$Q$35</f>
        <v>0</v>
      </c>
      <c r="K63" s="350">
        <f>(
sumifs('Form responses'!$BD$2:$BD76,'Form responses'!$C$2:$C76,"&gt;="&amp;N$1,'Form responses'!$C$2:$C76,"&lt;="&amp;$Q$1,'Form responses'!$D$2:$D76,$A63)
+
sumifs('Form responses'!$BE$2:$BE76,'Form responses'!$C$2:$C76,"&gt;="&amp;N$1,'Form responses'!$C$2:$C76,"&lt;="&amp;$Q$1,'Form responses'!$D$2:$D76,$A63)
)*Sum!$R$35</f>
        <v>0</v>
      </c>
      <c r="L63" s="350">
        <f>(
sumifs('Form responses'!$BF$2:$BF76,'Form responses'!$C$2:$C76,"&gt;="&amp;$N$1,'Form responses'!$C$2:$C76,"&lt;="&amp;$Q$1,'Form responses'!$D$2:$D76,$A63)
+
sumifs('Form responses'!$BG$2:$BG76,'Form responses'!$C$2:$C76,"&gt;="&amp;$N$1,'Form responses'!$C$2:$C76,"&lt;="&amp;$Q$1,'Form responses'!$D$2:$D76,$A63)
)*Sum!$S$35</f>
        <v>0</v>
      </c>
      <c r="M63" s="350">
        <f>sumifs('Form responses'!$BL$2:$BL76,'Form responses'!$C$2:$C76,"&gt;="&amp;$N$1,'Form responses'!$C$2:$C76,"&lt;="&amp;$Q$1,'Form responses'!$D$2:$D76,$A63)
*Sum!$T$35</f>
        <v>0</v>
      </c>
      <c r="N63" s="350">
        <f t="shared" si="15"/>
        <v>0</v>
      </c>
      <c r="O63" s="350">
        <f>((sumifs('Form responses'!$BN$2:$BN76,'Form responses'!$C$2:$C76,"&gt;="&amp;$N$1,'Form responses'!$C$2:$C76,"&lt;="&amp;$Q$1,'Form responses'!$D$2:$D76,$A63)+
sumifs('Form responses'!$BO$2:$BO76,'Form responses'!$C$2:$C76,"&gt;="&amp;$N$1,'Form responses'!$C$2:$C76,"&lt;="&amp;$Q$1,'Form responses'!$D$2:$D76,$A63))*Sum!$U$35)</f>
        <v>0</v>
      </c>
      <c r="P63" s="350">
        <f t="shared" si="16"/>
        <v>0</v>
      </c>
      <c r="Q63" s="353">
        <f t="shared" si="17"/>
        <v>0</v>
      </c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</row>
    <row r="64" ht="24.75" customHeight="1">
      <c r="A64" s="219" t="str">
        <f>VLOOKUP($J$1,Credentials!$C$3:$P$71,11,FALSE)</f>
        <v>#N/A</v>
      </c>
      <c r="B64" s="348">
        <f>((sumifs('Form responses'!$G$2:$G76,'Form responses'!$C$2:$C76,"&gt;="&amp;$N$1,'Form responses'!$C$2:$C76,"&lt;="&amp;$Q$1,'Form responses'!$D$2:$D76,$A64)
+sumifs('Form responses'!$H$2:$H76,'Form responses'!$C$2:$C76,"&gt;="&amp;$N$1,'Form responses'!$C$2:$C76,"&lt;="&amp;$Q$1,'Form responses'!$D$2:$D76,$A64)
+sumifs('Form responses'!$I$2:$I76,'Form responses'!$C$2:$C76,"&gt;="&amp;$N$1,'Form responses'!$C$2:$C76,"&lt;="&amp;$Q$1,'Form responses'!$D$2:$D76,$A64)
)*Sum!$B$35)</f>
        <v>0</v>
      </c>
      <c r="C64" s="349">
        <f>((sumifs('Form responses'!$J$2:$J76,'Form responses'!$C$2:$C76,"&gt;="&amp;$N$1,'Form responses'!$C$2:$C76,"&lt;="&amp;$Q$1,'Form responses'!$D$2:$D76,$A64))*Sum!$C$35)</f>
        <v>0</v>
      </c>
      <c r="D64" s="350">
        <f>((
sumifs('Form responses'!$S$2:$S76,'Form responses'!$C$2:$C76,"&gt;="&amp;$N$1,'Form responses'!$C$2:$C76,"&lt;="&amp;$Q$1,'Form responses'!$D$2:$D76,$A64)
+
sumifs('Form responses'!$T$2:$T76,'Form responses'!$C$2:$C76,"&gt;="&amp;$N$1,'Form responses'!$C$2:$C76,"&lt;="&amp;$Q$1,'Form responses'!$D$2:$D76,$A64)
)*Sum!$E$35
)</f>
        <v>0</v>
      </c>
      <c r="E64" s="350">
        <f>sumifs('Form responses'!$U$2:$U76,'Form responses'!$C$2:$C76,"&gt;="&amp;$N$1,'Form responses'!$C$2:$C76,"&lt;="&amp;$Q$1,'Form responses'!$D$2:$D76,$A64)
*Sum!$D$35</f>
        <v>0</v>
      </c>
      <c r="F64" s="351">
        <v>0.0</v>
      </c>
      <c r="G64" s="350">
        <f>((
sumifs('Form responses'!$V$2:$V76,'Form responses'!$C$2:$C76,"&gt;="&amp;$N$1,'Form responses'!$C$2:$C76,"&lt;="&amp;$Q$1,'Form responses'!$D$2:$D76,$A64)
)*
Sum!$F$35
)+((
sumifs('Form responses'!$W$2:$W76,'Form responses'!$C$2:$C76,"&gt;="&amp;$N$1,'Form responses'!$C$2:$C76,"&lt;="&amp;$Q$1,'Form responses'!$D$2:$D76,$A64)
)*
Sum!$G$35
)</f>
        <v>0</v>
      </c>
      <c r="H64" s="352">
        <f>((
sumifs('Form responses'!$X$2:$X76,'Form responses'!$C$2:$C76,"&gt;="&amp;$N$1,'Form responses'!$C$2:$C76,"&lt;="&amp;$Q$1,'Form responses'!$D$2:$D76,$A64)
)*Sum!$H$35)+((
sumifs('Form responses'!$Y$2:$Y76,'Form responses'!$C$2:$C76,"&gt;="&amp;$N$1,'Form responses'!$C$2:$C76,"&lt;="&amp;$Q$1,'Form responses'!$D$2:$D76,$A64)
)*Sum!$I$35)+((
sumifs('Form responses'!$Z$2:$Z76,'Form responses'!$C$2:$C76,"&gt;="&amp;$N$1,'Form responses'!$C$2:$C76,"&lt;="&amp;$Q$1,'Form responses'!$D$2:$D76,$A64)
)*Sum!$Z$35)</f>
        <v>0</v>
      </c>
      <c r="I64" s="350">
        <f t="shared" si="14"/>
        <v>0</v>
      </c>
      <c r="J64" s="350">
        <f>(
sumifs('Form responses'!$AV$2:$AV76,'Form responses'!$C$2:$C76,"&gt;="&amp;$N$1,'Form responses'!$C$2:$C76,"&lt;="&amp;$Q$1,'Form responses'!$D$2:$D76,$A64)
+
sumifs('Form responses'!$AW$2:$AW76,'Form responses'!$C$2:$C76,"&gt;="&amp;$N$1,'Form responses'!$C$2:$C76,"&lt;="&amp;$Q$1,'Form responses'!$D$2:$D76,$A64)
+
sumifs('Form responses'!$AX$2:$AX76,'Form responses'!$C$2:$C76,"&gt;="&amp;$N$1,'Form responses'!$C$2:$C76,"&lt;="&amp;$Q$1,'Form responses'!$D$2:$D76,$A64)
+
sumifs('Form responses'!$AY$2:$AY76,'Form responses'!$C$2:$C76,"&gt;="&amp;$N$1,'Form responses'!$C$2:$C76,"&lt;="&amp;$Q$1,'Form responses'!$D$2:$D76,$A64)
)*Sum!$Q$35</f>
        <v>0</v>
      </c>
      <c r="K64" s="350">
        <f>(
sumifs('Form responses'!$BD$2:$BD76,'Form responses'!$C$2:$C76,"&gt;="&amp;N$1,'Form responses'!$C$2:$C76,"&lt;="&amp;$Q$1,'Form responses'!$D$2:$D76,$A64)
+
sumifs('Form responses'!$BE$2:$BE76,'Form responses'!$C$2:$C76,"&gt;="&amp;N$1,'Form responses'!$C$2:$C76,"&lt;="&amp;$Q$1,'Form responses'!$D$2:$D76,$A64)
)*Sum!$R$35</f>
        <v>0</v>
      </c>
      <c r="L64" s="350">
        <f>(
sumifs('Form responses'!$BF$2:$BF76,'Form responses'!$C$2:$C76,"&gt;="&amp;$N$1,'Form responses'!$C$2:$C76,"&lt;="&amp;$Q$1,'Form responses'!$D$2:$D76,$A64)
+
sumifs('Form responses'!$BG$2:$BG76,'Form responses'!$C$2:$C76,"&gt;="&amp;$N$1,'Form responses'!$C$2:$C76,"&lt;="&amp;$Q$1,'Form responses'!$D$2:$D76,$A64)
)*Sum!$S$35</f>
        <v>0</v>
      </c>
      <c r="M64" s="350">
        <f>sumifs('Form responses'!$BL$2:$BL76,'Form responses'!$C$2:$C76,"&gt;="&amp;$N$1,'Form responses'!$C$2:$C76,"&lt;="&amp;$Q$1,'Form responses'!$D$2:$D76,$A64)
*Sum!$T$35</f>
        <v>0</v>
      </c>
      <c r="N64" s="350">
        <f t="shared" si="15"/>
        <v>0</v>
      </c>
      <c r="O64" s="350">
        <f>((sumifs('Form responses'!$BN$2:$BN76,'Form responses'!$C$2:$C76,"&gt;="&amp;$N$1,'Form responses'!$C$2:$C76,"&lt;="&amp;$Q$1,'Form responses'!$D$2:$D76,$A64)+
sumifs('Form responses'!$BO$2:$BO76,'Form responses'!$C$2:$C76,"&gt;="&amp;$N$1,'Form responses'!$C$2:$C76,"&lt;="&amp;$Q$1,'Form responses'!$D$2:$D76,$A64))*Sum!$U$35)</f>
        <v>0</v>
      </c>
      <c r="P64" s="350">
        <f t="shared" si="16"/>
        <v>0</v>
      </c>
      <c r="Q64" s="353">
        <f t="shared" si="17"/>
        <v>0</v>
      </c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</row>
    <row r="65" ht="24.75" customHeight="1">
      <c r="A65" s="219" t="str">
        <f>VLOOKUP($J$1,Credentials!$C$3:$P$71,12,FALSE)</f>
        <v>#N/A</v>
      </c>
      <c r="B65" s="348">
        <f>((sumifs('Form responses'!$G$2:$G76,'Form responses'!$C$2:$C76,"&gt;="&amp;$N$1,'Form responses'!$C$2:$C76,"&lt;="&amp;$Q$1,'Form responses'!$D$2:$D76,$A65)
+sumifs('Form responses'!$H$2:$H76,'Form responses'!$C$2:$C76,"&gt;="&amp;$N$1,'Form responses'!$C$2:$C76,"&lt;="&amp;$Q$1,'Form responses'!$D$2:$D76,$A65)
+sumifs('Form responses'!$I$2:$I76,'Form responses'!$C$2:$C76,"&gt;="&amp;$N$1,'Form responses'!$C$2:$C76,"&lt;="&amp;$Q$1,'Form responses'!$D$2:$D76,$A65)
)*Sum!$B$35)</f>
        <v>0</v>
      </c>
      <c r="C65" s="349">
        <f>((sumifs('Form responses'!$J$2:$J76,'Form responses'!$C$2:$C76,"&gt;="&amp;$N$1,'Form responses'!$C$2:$C76,"&lt;="&amp;$Q$1,'Form responses'!$D$2:$D76,$A65))*Sum!$C$35)</f>
        <v>0</v>
      </c>
      <c r="D65" s="350">
        <f>((
sumifs('Form responses'!$S$2:$S76,'Form responses'!$C$2:$C76,"&gt;="&amp;$N$1,'Form responses'!$C$2:$C76,"&lt;="&amp;$Q$1,'Form responses'!$D$2:$D76,$A65)
+
sumifs('Form responses'!$T$2:$T76,'Form responses'!$C$2:$C76,"&gt;="&amp;$N$1,'Form responses'!$C$2:$C76,"&lt;="&amp;$Q$1,'Form responses'!$D$2:$D76,$A65)
)*Sum!$E$35
)</f>
        <v>0</v>
      </c>
      <c r="E65" s="350">
        <f>sumifs('Form responses'!$U$2:$U76,'Form responses'!$C$2:$C76,"&gt;="&amp;$N$1,'Form responses'!$C$2:$C76,"&lt;="&amp;$Q$1,'Form responses'!$D$2:$D76,$A65)
*Sum!$D$35</f>
        <v>0</v>
      </c>
      <c r="F65" s="351">
        <v>0.0</v>
      </c>
      <c r="G65" s="350">
        <f>((
sumifs('Form responses'!$V$2:$V76,'Form responses'!$C$2:$C76,"&gt;="&amp;$N$1,'Form responses'!$C$2:$C76,"&lt;="&amp;$Q$1,'Form responses'!$D$2:$D76,$A65)
)*
Sum!$F$35
)+((
sumifs('Form responses'!$W$2:$W76,'Form responses'!$C$2:$C76,"&gt;="&amp;$N$1,'Form responses'!$C$2:$C76,"&lt;="&amp;$Q$1,'Form responses'!$D$2:$D76,$A65)
)*
Sum!$G$35
)</f>
        <v>0</v>
      </c>
      <c r="H65" s="352">
        <f>((
sumifs('Form responses'!$X$2:$X76,'Form responses'!$C$2:$C76,"&gt;="&amp;$N$1,'Form responses'!$C$2:$C76,"&lt;="&amp;$Q$1,'Form responses'!$D$2:$D76,$A65)
)*Sum!$H$35)+((
sumifs('Form responses'!$Y$2:$Y76,'Form responses'!$C$2:$C76,"&gt;="&amp;$N$1,'Form responses'!$C$2:$C76,"&lt;="&amp;$Q$1,'Form responses'!$D$2:$D76,$A65)
)*Sum!$I$35)+((
sumifs('Form responses'!$Z$2:$Z76,'Form responses'!$C$2:$C76,"&gt;="&amp;$N$1,'Form responses'!$C$2:$C76,"&lt;="&amp;$Q$1,'Form responses'!$D$2:$D76,$A65)
)*Sum!$Z$35)</f>
        <v>0</v>
      </c>
      <c r="I65" s="350">
        <f t="shared" si="14"/>
        <v>0</v>
      </c>
      <c r="J65" s="350">
        <f>(
sumifs('Form responses'!$AV$2:$AV76,'Form responses'!$C$2:$C76,"&gt;="&amp;$N$1,'Form responses'!$C$2:$C76,"&lt;="&amp;$Q$1,'Form responses'!$D$2:$D76,$A65)
+
sumifs('Form responses'!$AW$2:$AW76,'Form responses'!$C$2:$C76,"&gt;="&amp;$N$1,'Form responses'!$C$2:$C76,"&lt;="&amp;$Q$1,'Form responses'!$D$2:$D76,$A65)
+
sumifs('Form responses'!$AX$2:$AX76,'Form responses'!$C$2:$C76,"&gt;="&amp;$N$1,'Form responses'!$C$2:$C76,"&lt;="&amp;$Q$1,'Form responses'!$D$2:$D76,$A65)
+
sumifs('Form responses'!$AY$2:$AY76,'Form responses'!$C$2:$C76,"&gt;="&amp;$N$1,'Form responses'!$C$2:$C76,"&lt;="&amp;$Q$1,'Form responses'!$D$2:$D76,$A65)
)*Sum!$Q$35</f>
        <v>0</v>
      </c>
      <c r="K65" s="350">
        <f>(
sumifs('Form responses'!$BD$2:$BD76,'Form responses'!$C$2:$C76,"&gt;="&amp;N$1,'Form responses'!$C$2:$C76,"&lt;="&amp;$Q$1,'Form responses'!$D$2:$D76,$A65)
+
sumifs('Form responses'!$BE$2:$BE76,'Form responses'!$C$2:$C76,"&gt;="&amp;N$1,'Form responses'!$C$2:$C76,"&lt;="&amp;$Q$1,'Form responses'!$D$2:$D76,$A65)
)*Sum!$R$35</f>
        <v>0</v>
      </c>
      <c r="L65" s="350">
        <f>(
sumifs('Form responses'!$BF$2:$BF76,'Form responses'!$C$2:$C76,"&gt;="&amp;$N$1,'Form responses'!$C$2:$C76,"&lt;="&amp;$Q$1,'Form responses'!$D$2:$D76,$A65)
+
sumifs('Form responses'!$BG$2:$BG76,'Form responses'!$C$2:$C76,"&gt;="&amp;$N$1,'Form responses'!$C$2:$C76,"&lt;="&amp;$Q$1,'Form responses'!$D$2:$D76,$A65)
)*Sum!$S$35</f>
        <v>0</v>
      </c>
      <c r="M65" s="350">
        <f>sumifs('Form responses'!$BL$2:$BL76,'Form responses'!$C$2:$C76,"&gt;="&amp;$N$1,'Form responses'!$C$2:$C76,"&lt;="&amp;$Q$1,'Form responses'!$D$2:$D76,$A65)
*Sum!$T$35</f>
        <v>0</v>
      </c>
      <c r="N65" s="350">
        <f t="shared" si="15"/>
        <v>0</v>
      </c>
      <c r="O65" s="350">
        <f>((sumifs('Form responses'!$BN$2:$BN76,'Form responses'!$C$2:$C76,"&gt;="&amp;$N$1,'Form responses'!$C$2:$C76,"&lt;="&amp;$Q$1,'Form responses'!$D$2:$D76,$A65)+
sumifs('Form responses'!$BO$2:$BO76,'Form responses'!$C$2:$C76,"&gt;="&amp;$N$1,'Form responses'!$C$2:$C76,"&lt;="&amp;$Q$1,'Form responses'!$D$2:$D76,$A65))*Sum!$U$35)</f>
        <v>0</v>
      </c>
      <c r="P65" s="350">
        <f t="shared" si="16"/>
        <v>0</v>
      </c>
      <c r="Q65" s="353">
        <f t="shared" si="17"/>
        <v>0</v>
      </c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</row>
    <row r="66" ht="24.75" customHeight="1">
      <c r="A66" s="219" t="str">
        <f>VLOOKUP($J$1,Credentials!$C$3:$P$71,13,FALSE)</f>
        <v>#N/A</v>
      </c>
      <c r="B66" s="348">
        <f>((sumifs('Form responses'!$G$2:$G76,'Form responses'!$C$2:$C76,"&gt;="&amp;$N$1,'Form responses'!$C$2:$C76,"&lt;="&amp;$Q$1,'Form responses'!$D$2:$D76,$A66)
+sumifs('Form responses'!$H$2:$H76,'Form responses'!$C$2:$C76,"&gt;="&amp;$N$1,'Form responses'!$C$2:$C76,"&lt;="&amp;$Q$1,'Form responses'!$D$2:$D76,$A66)
+sumifs('Form responses'!$I$2:$I76,'Form responses'!$C$2:$C76,"&gt;="&amp;$N$1,'Form responses'!$C$2:$C76,"&lt;="&amp;$Q$1,'Form responses'!$D$2:$D76,$A66)
)*Sum!$B$35)</f>
        <v>0</v>
      </c>
      <c r="C66" s="349">
        <f>((sumifs('Form responses'!$J$2:$J76,'Form responses'!$C$2:$C76,"&gt;="&amp;$N$1,'Form responses'!$C$2:$C76,"&lt;="&amp;$Q$1,'Form responses'!$D$2:$D76,$A66))*Sum!$C$35)</f>
        <v>0</v>
      </c>
      <c r="D66" s="350">
        <f>((
sumifs('Form responses'!$S$2:$S76,'Form responses'!$C$2:$C76,"&gt;="&amp;$N$1,'Form responses'!$C$2:$C76,"&lt;="&amp;$Q$1,'Form responses'!$D$2:$D76,$A66)
+
sumifs('Form responses'!$T$2:$T76,'Form responses'!$C$2:$C76,"&gt;="&amp;$N$1,'Form responses'!$C$2:$C76,"&lt;="&amp;$Q$1,'Form responses'!$D$2:$D76,$A66)
)*Sum!$E$35
)</f>
        <v>0</v>
      </c>
      <c r="E66" s="350">
        <f>sumifs('Form responses'!$U$2:$U76,'Form responses'!$C$2:$C76,"&gt;="&amp;$N$1,'Form responses'!$C$2:$C76,"&lt;="&amp;$Q$1,'Form responses'!$D$2:$D76,$A66)
*Sum!$D$35</f>
        <v>0</v>
      </c>
      <c r="F66" s="351">
        <v>0.0</v>
      </c>
      <c r="G66" s="350">
        <f>((
sumifs('Form responses'!$V$2:$V76,'Form responses'!$C$2:$C76,"&gt;="&amp;$N$1,'Form responses'!$C$2:$C76,"&lt;="&amp;$Q$1,'Form responses'!$D$2:$D76,$A66)
)*
Sum!$F$35
)+((
sumifs('Form responses'!$W$2:$W76,'Form responses'!$C$2:$C76,"&gt;="&amp;$N$1,'Form responses'!$C$2:$C76,"&lt;="&amp;$Q$1,'Form responses'!$D$2:$D76,$A66)
)*
Sum!$G$35
)</f>
        <v>0</v>
      </c>
      <c r="H66" s="352">
        <f>((
sumifs('Form responses'!$X$2:$X76,'Form responses'!$C$2:$C76,"&gt;="&amp;$N$1,'Form responses'!$C$2:$C76,"&lt;="&amp;$Q$1,'Form responses'!$D$2:$D76,$A66)
)*Sum!$H$35)+((
sumifs('Form responses'!$Y$2:$Y76,'Form responses'!$C$2:$C76,"&gt;="&amp;$N$1,'Form responses'!$C$2:$C76,"&lt;="&amp;$Q$1,'Form responses'!$D$2:$D76,$A66)
)*Sum!$I$35)+((
sumifs('Form responses'!$Z$2:$Z76,'Form responses'!$C$2:$C76,"&gt;="&amp;$N$1,'Form responses'!$C$2:$C76,"&lt;="&amp;$Q$1,'Form responses'!$D$2:$D76,$A66)
)*Sum!$Z$35)</f>
        <v>0</v>
      </c>
      <c r="I66" s="350">
        <f t="shared" si="14"/>
        <v>0</v>
      </c>
      <c r="J66" s="350">
        <f>(
sumifs('Form responses'!$AV$2:$AV76,'Form responses'!$C$2:$C76,"&gt;="&amp;$N$1,'Form responses'!$C$2:$C76,"&lt;="&amp;$Q$1,'Form responses'!$D$2:$D76,$A66)
+
sumifs('Form responses'!$AW$2:$AW76,'Form responses'!$C$2:$C76,"&gt;="&amp;$N$1,'Form responses'!$C$2:$C76,"&lt;="&amp;$Q$1,'Form responses'!$D$2:$D76,$A66)
+
sumifs('Form responses'!$AX$2:$AX76,'Form responses'!$C$2:$C76,"&gt;="&amp;$N$1,'Form responses'!$C$2:$C76,"&lt;="&amp;$Q$1,'Form responses'!$D$2:$D76,$A66)
+
sumifs('Form responses'!$AY$2:$AY76,'Form responses'!$C$2:$C76,"&gt;="&amp;$N$1,'Form responses'!$C$2:$C76,"&lt;="&amp;$Q$1,'Form responses'!$D$2:$D76,$A66)
)*Sum!$Q$35</f>
        <v>0</v>
      </c>
      <c r="K66" s="350">
        <f>(
sumifs('Form responses'!$BD$2:$BD76,'Form responses'!$C$2:$C76,"&gt;="&amp;N$1,'Form responses'!$C$2:$C76,"&lt;="&amp;$Q$1,'Form responses'!$D$2:$D76,$A66)
+
sumifs('Form responses'!$BE$2:$BE76,'Form responses'!$C$2:$C76,"&gt;="&amp;N$1,'Form responses'!$C$2:$C76,"&lt;="&amp;$Q$1,'Form responses'!$D$2:$D76,$A66)
)*Sum!$R$35</f>
        <v>0</v>
      </c>
      <c r="L66" s="350">
        <f>(
sumifs('Form responses'!$BF$2:$BF76,'Form responses'!$C$2:$C76,"&gt;="&amp;$N$1,'Form responses'!$C$2:$C76,"&lt;="&amp;$Q$1,'Form responses'!$D$2:$D76,$A66)
+
sumifs('Form responses'!$BG$2:$BG76,'Form responses'!$C$2:$C76,"&gt;="&amp;$N$1,'Form responses'!$C$2:$C76,"&lt;="&amp;$Q$1,'Form responses'!$D$2:$D76,$A66)
)*Sum!$S$35</f>
        <v>0</v>
      </c>
      <c r="M66" s="350">
        <f>sumifs('Form responses'!$BL$2:$BL76,'Form responses'!$C$2:$C76,"&gt;="&amp;$N$1,'Form responses'!$C$2:$C76,"&lt;="&amp;$Q$1,'Form responses'!$D$2:$D76,$A66)
*Sum!$T$35</f>
        <v>0</v>
      </c>
      <c r="N66" s="350">
        <f t="shared" si="15"/>
        <v>0</v>
      </c>
      <c r="O66" s="350">
        <f>((sumifs('Form responses'!$BN$2:$BN76,'Form responses'!$C$2:$C76,"&gt;="&amp;$N$1,'Form responses'!$C$2:$C76,"&lt;="&amp;$Q$1,'Form responses'!$D$2:$D76,$A66)+
sumifs('Form responses'!$BO$2:$BO76,'Form responses'!$C$2:$C76,"&gt;="&amp;$N$1,'Form responses'!$C$2:$C76,"&lt;="&amp;$Q$1,'Form responses'!$D$2:$D76,$A66))*Sum!$U$35)</f>
        <v>0</v>
      </c>
      <c r="P66" s="350">
        <f t="shared" si="16"/>
        <v>0</v>
      </c>
      <c r="Q66" s="353">
        <f t="shared" si="17"/>
        <v>0</v>
      </c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</row>
    <row r="67" ht="24.75" customHeight="1">
      <c r="A67" s="219" t="str">
        <f>VLOOKUP($J$1,Credentials!$C$3:$P$71,14,FALSE)</f>
        <v>#N/A</v>
      </c>
      <c r="B67" s="354">
        <f>((sumifs('Form responses'!$G$2:$G76,'Form responses'!$C$2:$C76,"&gt;="&amp;$N$1,'Form responses'!$C$2:$C76,"&lt;="&amp;$Q$1,'Form responses'!$D$2:$D76,$A67)
+sumifs('Form responses'!$H$2:$H76,'Form responses'!$C$2:$C76,"&gt;="&amp;$N$1,'Form responses'!$C$2:$C76,"&lt;="&amp;$Q$1,'Form responses'!$D$2:$D76,$A67)
+sumifs('Form responses'!$I$2:$I76,'Form responses'!$C$2:$C76,"&gt;="&amp;$N$1,'Form responses'!$C$2:$C76,"&lt;="&amp;$Q$1,'Form responses'!$D$2:$D76,$A67)
)*Sum!$B$35)</f>
        <v>0</v>
      </c>
      <c r="C67" s="355">
        <f>((sumifs('Form responses'!$J$2:$J76,'Form responses'!$C$2:$C76,"&gt;="&amp;$N$1,'Form responses'!$C$2:$C76,"&lt;="&amp;$Q$1,'Form responses'!$D$2:$D76,$A67))*Sum!$C$35)</f>
        <v>0</v>
      </c>
      <c r="D67" s="356">
        <f>((
sumifs('Form responses'!$S$2:$S76,'Form responses'!$C$2:$C76,"&gt;="&amp;$N$1,'Form responses'!$C$2:$C76,"&lt;="&amp;$Q$1,'Form responses'!$D$2:$D76,$A67)
+
sumifs('Form responses'!$T$2:$T76,'Form responses'!$C$2:$C76,"&gt;="&amp;$N$1,'Form responses'!$C$2:$C76,"&lt;="&amp;$Q$1,'Form responses'!$D$2:$D76,$A67)
)*Sum!$E$35
)</f>
        <v>0</v>
      </c>
      <c r="E67" s="356">
        <f>sumifs('Form responses'!$U$2:$U76,'Form responses'!$C$2:$C76,"&gt;="&amp;$N$1,'Form responses'!$C$2:$C76,"&lt;="&amp;$Q$1,'Form responses'!$D$2:$D76,$A67)
*Sum!$D$35</f>
        <v>0</v>
      </c>
      <c r="F67" s="357">
        <v>0.0</v>
      </c>
      <c r="G67" s="356">
        <f>((
sumifs('Form responses'!$V$2:$V76,'Form responses'!$C$2:$C76,"&gt;="&amp;$N$1,'Form responses'!$C$2:$C76,"&lt;="&amp;$Q$1,'Form responses'!$D$2:$D76,$A67)
)*
Sum!$F$35
)+((
sumifs('Form responses'!$W$2:$W76,'Form responses'!$C$2:$C76,"&gt;="&amp;$N$1,'Form responses'!$C$2:$C76,"&lt;="&amp;$Q$1,'Form responses'!$D$2:$D76,$A67)
)*
Sum!$G$35
)</f>
        <v>0</v>
      </c>
      <c r="H67" s="358">
        <f>((
sumifs('Form responses'!$X$2:$X76,'Form responses'!$C$2:$C76,"&gt;="&amp;$N$1,'Form responses'!$C$2:$C76,"&lt;="&amp;$Q$1,'Form responses'!$D$2:$D76,$A67)
)*Sum!$H$35)+((
sumifs('Form responses'!$Y$2:$Y76,'Form responses'!$C$2:$C76,"&gt;="&amp;$N$1,'Form responses'!$C$2:$C76,"&lt;="&amp;$Q$1,'Form responses'!$D$2:$D76,$A67)
)*Sum!$I$35)+((
sumifs('Form responses'!$Z$2:$Z76,'Form responses'!$C$2:$C76,"&gt;="&amp;$N$1,'Form responses'!$C$2:$C76,"&lt;="&amp;$Q$1,'Form responses'!$D$2:$D76,$A67)
)*Sum!$Z$35)</f>
        <v>0</v>
      </c>
      <c r="I67" s="356">
        <f t="shared" si="14"/>
        <v>0</v>
      </c>
      <c r="J67" s="356">
        <f>(
sumifs('Form responses'!$AV$2:$AV76,'Form responses'!$C$2:$C76,"&gt;="&amp;$N$1,'Form responses'!$C$2:$C76,"&lt;="&amp;$Q$1,'Form responses'!$D$2:$D76,$A67)
+
sumifs('Form responses'!$AW$2:$AW76,'Form responses'!$C$2:$C76,"&gt;="&amp;$N$1,'Form responses'!$C$2:$C76,"&lt;="&amp;$Q$1,'Form responses'!$D$2:$D76,$A67)
+
sumifs('Form responses'!$AX$2:$AX76,'Form responses'!$C$2:$C76,"&gt;="&amp;$N$1,'Form responses'!$C$2:$C76,"&lt;="&amp;$Q$1,'Form responses'!$D$2:$D76,$A67)
+
sumifs('Form responses'!$AY$2:$AY76,'Form responses'!$C$2:$C76,"&gt;="&amp;$N$1,'Form responses'!$C$2:$C76,"&lt;="&amp;$Q$1,'Form responses'!$D$2:$D76,$A67)
)*Sum!$Q$35</f>
        <v>0</v>
      </c>
      <c r="K67" s="356">
        <f>(
sumifs('Form responses'!$BD$2:$BD76,'Form responses'!$C$2:$C76,"&gt;="&amp;N$1,'Form responses'!$C$2:$C76,"&lt;="&amp;$Q$1,'Form responses'!$D$2:$D76,$A67)
+
sumifs('Form responses'!$BE$2:$BE76,'Form responses'!$C$2:$C76,"&gt;="&amp;N$1,'Form responses'!$C$2:$C76,"&lt;="&amp;$Q$1,'Form responses'!$D$2:$D76,$A67)
)*Sum!$R$35</f>
        <v>0</v>
      </c>
      <c r="L67" s="356">
        <f>(
sumifs('Form responses'!$BF$2:$BF76,'Form responses'!$C$2:$C76,"&gt;="&amp;$N$1,'Form responses'!$C$2:$C76,"&lt;="&amp;$Q$1,'Form responses'!$D$2:$D76,$A67)
+
sumifs('Form responses'!$BG$2:$BG76,'Form responses'!$C$2:$C76,"&gt;="&amp;$N$1,'Form responses'!$C$2:$C76,"&lt;="&amp;$Q$1,'Form responses'!$D$2:$D76,$A67)
)*Sum!$S$35</f>
        <v>0</v>
      </c>
      <c r="M67" s="356">
        <f>sumifs('Form responses'!$BL$2:$BL76,'Form responses'!$C$2:$C76,"&gt;="&amp;$N$1,'Form responses'!$C$2:$C76,"&lt;="&amp;$Q$1,'Form responses'!$D$2:$D76,$A67)
*Sum!$T$35</f>
        <v>0</v>
      </c>
      <c r="N67" s="356">
        <f t="shared" si="15"/>
        <v>0</v>
      </c>
      <c r="O67" s="356">
        <f>((sumifs('Form responses'!$BN$2:$BN76,'Form responses'!$C$2:$C76,"&gt;="&amp;$N$1,'Form responses'!$C$2:$C76,"&lt;="&amp;$Q$1,'Form responses'!$D$2:$D76,$A67)+
sumifs('Form responses'!$BO$2:$BO76,'Form responses'!$C$2:$C76,"&gt;="&amp;$N$1,'Form responses'!$C$2:$C76,"&lt;="&amp;$Q$1,'Form responses'!$D$2:$D76,$A67))*Sum!$U$35)</f>
        <v>0</v>
      </c>
      <c r="P67" s="356">
        <f t="shared" si="16"/>
        <v>0</v>
      </c>
      <c r="Q67" s="359">
        <f t="shared" si="17"/>
        <v>0</v>
      </c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</row>
    <row r="68" ht="24.75" customHeight="1">
      <c r="A68" s="198" t="s">
        <v>562</v>
      </c>
      <c r="B68" s="360">
        <f t="shared" ref="B68:Q68" si="18">SUM(B60:B67)</f>
        <v>0</v>
      </c>
      <c r="C68" s="361">
        <f t="shared" si="18"/>
        <v>0</v>
      </c>
      <c r="D68" s="361">
        <f t="shared" si="18"/>
        <v>0</v>
      </c>
      <c r="E68" s="361">
        <f t="shared" si="18"/>
        <v>0</v>
      </c>
      <c r="F68" s="361">
        <f t="shared" si="18"/>
        <v>0</v>
      </c>
      <c r="G68" s="361">
        <f t="shared" si="18"/>
        <v>0</v>
      </c>
      <c r="H68" s="361">
        <f t="shared" si="18"/>
        <v>0</v>
      </c>
      <c r="I68" s="361">
        <f t="shared" si="18"/>
        <v>0</v>
      </c>
      <c r="J68" s="361">
        <f t="shared" si="18"/>
        <v>0</v>
      </c>
      <c r="K68" s="361">
        <f t="shared" si="18"/>
        <v>0</v>
      </c>
      <c r="L68" s="361">
        <f t="shared" si="18"/>
        <v>0</v>
      </c>
      <c r="M68" s="361">
        <f t="shared" si="18"/>
        <v>0</v>
      </c>
      <c r="N68" s="361">
        <f t="shared" si="18"/>
        <v>0</v>
      </c>
      <c r="O68" s="361">
        <f t="shared" si="18"/>
        <v>0</v>
      </c>
      <c r="P68" s="361">
        <f t="shared" si="18"/>
        <v>0</v>
      </c>
      <c r="Q68" s="361">
        <f t="shared" si="18"/>
        <v>0</v>
      </c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</row>
    <row r="69" ht="17.25" customHeight="1">
      <c r="A69" s="362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207"/>
    </row>
    <row r="70" ht="32.25" customHeight="1">
      <c r="A70" s="363"/>
      <c r="B70" s="364" t="s">
        <v>563</v>
      </c>
      <c r="I70" s="365" t="str">
        <f>VLOOKUP(J1,Credentials!$C$2:$I$66,2,FALSE)</f>
        <v>authority</v>
      </c>
      <c r="M70" s="364" t="s">
        <v>564</v>
      </c>
      <c r="N70" s="364"/>
      <c r="O70" s="364"/>
      <c r="P70" s="364"/>
      <c r="Q70" s="364"/>
      <c r="R70" s="366"/>
      <c r="S70" s="366"/>
      <c r="T70" s="366"/>
      <c r="U70" s="366"/>
      <c r="V70" s="366"/>
      <c r="W70" s="366"/>
      <c r="X70" s="366"/>
      <c r="Y70" s="366"/>
      <c r="Z70" s="366"/>
      <c r="AA70" s="366"/>
      <c r="AB70" s="366"/>
    </row>
    <row r="71" ht="15.0" customHeight="1">
      <c r="A71" s="367"/>
      <c r="B71" s="368" t="s">
        <v>565</v>
      </c>
      <c r="C71" s="213">
        <f>((sumifs('Form responses'!$EU$2:$EU76,'Form responses'!$C$2:$C76,"&gt;="&amp;$N$1,'Form responses'!$C$2:$C76,"&lt;="&amp;$Q$1,'Form responses'!$D$2:$D76,$J$1)))</f>
        <v>0</v>
      </c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369"/>
      <c r="O71" s="370"/>
      <c r="P71" s="370"/>
      <c r="Q71" s="370"/>
      <c r="R71" s="213"/>
      <c r="S71" s="213"/>
      <c r="T71" s="222" t="str">
        <f>VLOOKUP(J1,Credentials!$C$2:$I$58,3,FALSE)</f>
        <v>Name</v>
      </c>
      <c r="U71" s="223"/>
      <c r="V71" s="223"/>
      <c r="W71" s="207"/>
      <c r="X71" s="207"/>
      <c r="Y71" s="207"/>
      <c r="Z71" s="213"/>
      <c r="AA71" s="213"/>
      <c r="AB71" s="213"/>
    </row>
    <row r="72" ht="15.0" customHeight="1">
      <c r="A72" s="367"/>
      <c r="B72" s="371" t="s">
        <v>566</v>
      </c>
      <c r="C72" s="372">
        <f>SUMIFS('Form responses'!A2:A76,'Form responses'!B2:B76,"="&amp;N1,'Form responses'!$D$2:$D76,"="&amp;J1)</f>
        <v>44962.66372</v>
      </c>
      <c r="E72" s="290"/>
      <c r="F72" s="373"/>
      <c r="G72" s="290"/>
      <c r="H72" s="290"/>
      <c r="I72" s="290"/>
      <c r="J72" s="290"/>
      <c r="K72" s="290"/>
      <c r="L72" s="290"/>
      <c r="M72" s="290"/>
      <c r="N72" s="290"/>
      <c r="O72" s="370"/>
      <c r="P72" s="370"/>
      <c r="Q72" s="370"/>
      <c r="R72" s="213"/>
      <c r="S72" s="213"/>
      <c r="T72" s="222" t="str">
        <f>VLOOKUP(J1,Credentials!$C$2:$I$58,4,FALSE)</f>
        <v>Designation</v>
      </c>
      <c r="U72" s="223"/>
      <c r="V72" s="223"/>
      <c r="W72" s="207"/>
      <c r="X72" s="207"/>
      <c r="Y72" s="207"/>
      <c r="Z72" s="213"/>
      <c r="AA72" s="213"/>
      <c r="AB72" s="213"/>
    </row>
    <row r="73" ht="18.0" customHeight="1">
      <c r="A73" s="367"/>
      <c r="B73" s="371" t="s">
        <v>567</v>
      </c>
      <c r="C73" s="238"/>
      <c r="D73" s="238"/>
      <c r="E73" s="290"/>
      <c r="F73" s="374"/>
      <c r="G73" s="290"/>
      <c r="H73" s="290"/>
      <c r="I73" s="290"/>
      <c r="J73" s="290"/>
      <c r="K73" s="290"/>
      <c r="L73" s="290"/>
      <c r="M73" s="290"/>
      <c r="N73" s="290"/>
      <c r="O73" s="370"/>
      <c r="P73" s="370"/>
      <c r="Q73" s="370"/>
      <c r="R73" s="213"/>
      <c r="S73" s="213"/>
      <c r="T73" s="266" t="str">
        <f>J1 &amp; ","</f>
        <v>Institute,</v>
      </c>
      <c r="U73" s="223"/>
      <c r="V73" s="223"/>
      <c r="W73" s="207"/>
      <c r="X73" s="207"/>
      <c r="Y73" s="207"/>
      <c r="Z73" s="213"/>
      <c r="AA73" s="213"/>
      <c r="AB73" s="213"/>
    </row>
    <row r="74" ht="14.25" customHeight="1">
      <c r="A74" s="367"/>
      <c r="B74" s="290"/>
      <c r="C74" s="290"/>
      <c r="D74" s="290"/>
      <c r="E74" s="290"/>
      <c r="F74" s="375"/>
      <c r="G74" s="290"/>
      <c r="H74" s="290"/>
      <c r="I74" s="290"/>
      <c r="J74" s="290"/>
      <c r="K74" s="290"/>
      <c r="L74" s="290"/>
      <c r="M74" s="290"/>
      <c r="N74" s="290"/>
      <c r="O74" s="370"/>
      <c r="P74" s="370"/>
      <c r="Q74" s="370"/>
      <c r="R74" s="213"/>
      <c r="S74" s="213"/>
      <c r="T74" s="222" t="s">
        <v>568</v>
      </c>
      <c r="W74" s="207"/>
      <c r="X74" s="207"/>
      <c r="Y74" s="207"/>
      <c r="Z74" s="213"/>
      <c r="AA74" s="213"/>
      <c r="AB74" s="213"/>
    </row>
    <row r="75" ht="14.25" customHeight="1">
      <c r="A75" s="367"/>
      <c r="B75" s="290"/>
      <c r="C75" s="290"/>
      <c r="D75" s="290"/>
      <c r="E75" s="290"/>
      <c r="F75" s="375"/>
      <c r="G75" s="290"/>
      <c r="H75" s="290"/>
      <c r="I75" s="290"/>
      <c r="J75" s="290"/>
      <c r="K75" s="290"/>
      <c r="L75" s="290"/>
      <c r="M75" s="290"/>
      <c r="N75" s="290"/>
      <c r="O75" s="370"/>
      <c r="P75" s="370"/>
      <c r="Q75" s="370"/>
      <c r="R75" s="213"/>
      <c r="S75" s="213"/>
      <c r="T75" s="222" t="s">
        <v>569</v>
      </c>
      <c r="U75" s="371" t="s">
        <v>226</v>
      </c>
      <c r="V75" s="238"/>
      <c r="W75" s="207"/>
      <c r="X75" s="207"/>
      <c r="Y75" s="207"/>
      <c r="Z75" s="213"/>
      <c r="AA75" s="213"/>
      <c r="AB75" s="213"/>
    </row>
    <row r="76" ht="18.0" customHeight="1">
      <c r="A76" s="367"/>
      <c r="B76" s="290"/>
      <c r="C76" s="290"/>
      <c r="D76" s="290"/>
      <c r="E76" s="375"/>
      <c r="F76" s="375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</row>
  </sheetData>
  <mergeCells count="97">
    <mergeCell ref="J3:M3"/>
    <mergeCell ref="N3:Q3"/>
    <mergeCell ref="R3:S3"/>
    <mergeCell ref="U3:V3"/>
    <mergeCell ref="W3:Y3"/>
    <mergeCell ref="G1:I1"/>
    <mergeCell ref="J1:L1"/>
    <mergeCell ref="N1:O1"/>
    <mergeCell ref="Q1:R1"/>
    <mergeCell ref="A2:B2"/>
    <mergeCell ref="B3:E3"/>
    <mergeCell ref="F3:I3"/>
    <mergeCell ref="Q9:S9"/>
    <mergeCell ref="T9:V9"/>
    <mergeCell ref="B8:F8"/>
    <mergeCell ref="A9:A10"/>
    <mergeCell ref="B9:D9"/>
    <mergeCell ref="E9:G9"/>
    <mergeCell ref="H9:J9"/>
    <mergeCell ref="K9:M9"/>
    <mergeCell ref="N9:P9"/>
    <mergeCell ref="Q13:S13"/>
    <mergeCell ref="R14:S14"/>
    <mergeCell ref="B13:D13"/>
    <mergeCell ref="E13:G13"/>
    <mergeCell ref="H13:J13"/>
    <mergeCell ref="K13:M13"/>
    <mergeCell ref="N13:P13"/>
    <mergeCell ref="T13:V13"/>
    <mergeCell ref="B14:H14"/>
    <mergeCell ref="L20:M20"/>
    <mergeCell ref="N20:O20"/>
    <mergeCell ref="B26:I26"/>
    <mergeCell ref="M26:T26"/>
    <mergeCell ref="U26:V26"/>
    <mergeCell ref="B27:C27"/>
    <mergeCell ref="D27:E27"/>
    <mergeCell ref="F27:G27"/>
    <mergeCell ref="H27:I27"/>
    <mergeCell ref="R27:S27"/>
    <mergeCell ref="J27:K27"/>
    <mergeCell ref="L27:M27"/>
    <mergeCell ref="B29:C29"/>
    <mergeCell ref="D29:E29"/>
    <mergeCell ref="F29:G29"/>
    <mergeCell ref="H29:I29"/>
    <mergeCell ref="J29:K29"/>
    <mergeCell ref="F34:F35"/>
    <mergeCell ref="G34:G35"/>
    <mergeCell ref="I35:J35"/>
    <mergeCell ref="K35:L35"/>
    <mergeCell ref="B33:F33"/>
    <mergeCell ref="I33:M33"/>
    <mergeCell ref="B34:B35"/>
    <mergeCell ref="C34:C35"/>
    <mergeCell ref="D34:D35"/>
    <mergeCell ref="E34:E35"/>
    <mergeCell ref="M34:M35"/>
    <mergeCell ref="B70:H70"/>
    <mergeCell ref="C72:D72"/>
    <mergeCell ref="T74:V74"/>
    <mergeCell ref="B39:L39"/>
    <mergeCell ref="P40:S40"/>
    <mergeCell ref="P44:S44"/>
    <mergeCell ref="P48:S48"/>
    <mergeCell ref="B53:E53"/>
    <mergeCell ref="B58:D58"/>
    <mergeCell ref="I70:L70"/>
    <mergeCell ref="P20:Q20"/>
    <mergeCell ref="R20:S20"/>
    <mergeCell ref="B19:G19"/>
    <mergeCell ref="U19:V19"/>
    <mergeCell ref="B20:C20"/>
    <mergeCell ref="D20:E20"/>
    <mergeCell ref="F20:G20"/>
    <mergeCell ref="H20:I20"/>
    <mergeCell ref="J20:K20"/>
    <mergeCell ref="P22:Q22"/>
    <mergeCell ref="R22:S22"/>
    <mergeCell ref="T22:U22"/>
    <mergeCell ref="B22:C22"/>
    <mergeCell ref="D22:E22"/>
    <mergeCell ref="F22:G22"/>
    <mergeCell ref="H22:I22"/>
    <mergeCell ref="J22:K22"/>
    <mergeCell ref="L22:M22"/>
    <mergeCell ref="N22:O22"/>
    <mergeCell ref="N27:O27"/>
    <mergeCell ref="P27:Q27"/>
    <mergeCell ref="L29:M29"/>
    <mergeCell ref="N29:O29"/>
    <mergeCell ref="P29:Q29"/>
    <mergeCell ref="R29:S29"/>
    <mergeCell ref="O33:S33"/>
    <mergeCell ref="S34:S35"/>
    <mergeCell ref="O35:P35"/>
    <mergeCell ref="Q35:R35"/>
  </mergeCells>
  <conditionalFormatting sqref="O46">
    <cfRule type="colorScale" priority="1">
      <colorScale>
        <cfvo type="min"/>
        <cfvo type="max"/>
        <color rgb="FFEA4335"/>
        <color rgb="FFEA4335"/>
      </colorScale>
    </cfRule>
  </conditionalFormatting>
  <dataValidations>
    <dataValidation type="custom" allowBlank="1" showDropDown="1" showInputMessage="1" showErrorMessage="1" prompt="Enter a valid date" sqref="Q1">
      <formula1>OR(NOT(ISERROR(DATEVALUE(Q1))), AND(ISNUMBER(Q1), LEFT(CELL("format", Q1))="D"))</formula1>
    </dataValidation>
    <dataValidation type="list" allowBlank="1" showInputMessage="1" showErrorMessage="1" prompt="Type to search an Institute" sqref="J1">
      <formula1>'Form responses'!$D$2:$D76</formula1>
    </dataValidation>
  </dataValidations>
  <printOptions horizontalCentered="1" verticalCentered="1"/>
  <pageMargins bottom="0.15748031496062992" footer="0.0" header="0.0" left="0.15748031496062992" right="0.15748031496062992" top="0.15748031496062992"/>
  <pageSetup paperSize="9" orientation="landscape"/>
  <rowBreaks count="2" manualBreakCount="2">
    <brk man="1"/>
    <brk id="38" man="1"/>
  </rowBreaks>
  <colBreaks count="2" manualBreakCount="2">
    <brk man="1"/>
    <brk id="2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8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10.38"/>
    <col customWidth="1" min="3" max="3" width="10.0"/>
    <col customWidth="1" min="4" max="4" width="18.88"/>
    <col customWidth="1" min="5" max="5" width="12.5"/>
    <col customWidth="1" min="6" max="25" width="8.75"/>
    <col customWidth="1" min="26" max="26" width="9.38"/>
    <col customWidth="1" min="27" max="146" width="8.75"/>
    <col customWidth="1" min="147" max="147" width="5.88"/>
    <col customWidth="1" min="148" max="148" width="6.25"/>
    <col customWidth="1" min="149" max="149" width="8.13"/>
    <col customWidth="1" min="150" max="150" width="7.0"/>
    <col customWidth="1" min="151" max="151" width="8.13"/>
  </cols>
  <sheetData>
    <row r="1">
      <c r="A1" s="64" t="s">
        <v>570</v>
      </c>
      <c r="B1" s="376" t="s">
        <v>571</v>
      </c>
      <c r="C1" s="377" t="s">
        <v>572</v>
      </c>
      <c r="D1" s="378" t="s">
        <v>573</v>
      </c>
      <c r="E1" s="379" t="s">
        <v>574</v>
      </c>
      <c r="F1" s="380" t="s">
        <v>575</v>
      </c>
      <c r="G1" s="64" t="s">
        <v>12</v>
      </c>
      <c r="H1" s="53" t="s">
        <v>13</v>
      </c>
      <c r="I1" s="53" t="s">
        <v>14</v>
      </c>
      <c r="J1" s="53" t="s">
        <v>15</v>
      </c>
      <c r="K1" s="53" t="s">
        <v>16</v>
      </c>
      <c r="L1" s="53" t="s">
        <v>17</v>
      </c>
      <c r="M1" s="53" t="s">
        <v>18</v>
      </c>
      <c r="N1" s="53" t="s">
        <v>19</v>
      </c>
      <c r="O1" s="54" t="s">
        <v>20</v>
      </c>
      <c r="P1" s="54" t="s">
        <v>21</v>
      </c>
      <c r="Q1" s="54" t="s">
        <v>22</v>
      </c>
      <c r="R1" s="54" t="s">
        <v>23</v>
      </c>
      <c r="S1" s="53" t="s">
        <v>24</v>
      </c>
      <c r="T1" s="53" t="s">
        <v>25</v>
      </c>
      <c r="U1" s="53" t="s">
        <v>26</v>
      </c>
      <c r="V1" s="53" t="s">
        <v>27</v>
      </c>
      <c r="W1" s="53" t="s">
        <v>28</v>
      </c>
      <c r="X1" s="53" t="s">
        <v>29</v>
      </c>
      <c r="Y1" s="53" t="s">
        <v>30</v>
      </c>
      <c r="Z1" s="378" t="s">
        <v>31</v>
      </c>
      <c r="AA1" s="53" t="s">
        <v>32</v>
      </c>
      <c r="AB1" s="53" t="s">
        <v>33</v>
      </c>
      <c r="AC1" s="53" t="s">
        <v>34</v>
      </c>
      <c r="AD1" s="54" t="s">
        <v>35</v>
      </c>
      <c r="AE1" s="54" t="s">
        <v>36</v>
      </c>
      <c r="AF1" s="54" t="s">
        <v>37</v>
      </c>
      <c r="AG1" s="53" t="s">
        <v>38</v>
      </c>
      <c r="AH1" s="53" t="s">
        <v>39</v>
      </c>
      <c r="AI1" s="53" t="s">
        <v>40</v>
      </c>
      <c r="AJ1" s="53" t="s">
        <v>41</v>
      </c>
      <c r="AK1" s="53" t="s">
        <v>42</v>
      </c>
      <c r="AL1" s="53" t="s">
        <v>43</v>
      </c>
      <c r="AM1" s="53" t="s">
        <v>44</v>
      </c>
      <c r="AN1" s="53" t="s">
        <v>45</v>
      </c>
      <c r="AO1" s="54" t="s">
        <v>46</v>
      </c>
      <c r="AP1" s="53" t="s">
        <v>47</v>
      </c>
      <c r="AQ1" s="53" t="s">
        <v>48</v>
      </c>
      <c r="AR1" s="53" t="s">
        <v>49</v>
      </c>
      <c r="AS1" s="53" t="s">
        <v>50</v>
      </c>
      <c r="AT1" s="53" t="s">
        <v>51</v>
      </c>
      <c r="AU1" s="53" t="s">
        <v>52</v>
      </c>
      <c r="AV1" s="53" t="s">
        <v>53</v>
      </c>
      <c r="AW1" s="53" t="s">
        <v>54</v>
      </c>
      <c r="AX1" s="53" t="s">
        <v>55</v>
      </c>
      <c r="AY1" s="53" t="s">
        <v>56</v>
      </c>
      <c r="AZ1" s="53" t="s">
        <v>57</v>
      </c>
      <c r="BA1" s="53" t="s">
        <v>58</v>
      </c>
      <c r="BB1" s="53" t="s">
        <v>59</v>
      </c>
      <c r="BC1" s="53" t="s">
        <v>60</v>
      </c>
      <c r="BD1" s="53" t="s">
        <v>61</v>
      </c>
      <c r="BE1" s="54" t="s">
        <v>62</v>
      </c>
      <c r="BF1" s="53" t="s">
        <v>63</v>
      </c>
      <c r="BG1" s="53" t="s">
        <v>64</v>
      </c>
      <c r="BH1" s="53" t="s">
        <v>65</v>
      </c>
      <c r="BI1" s="54" t="s">
        <v>66</v>
      </c>
      <c r="BJ1" s="53" t="s">
        <v>67</v>
      </c>
      <c r="BK1" s="53" t="s">
        <v>68</v>
      </c>
      <c r="BL1" s="53" t="s">
        <v>69</v>
      </c>
      <c r="BM1" s="53" t="s">
        <v>70</v>
      </c>
      <c r="BN1" s="53" t="s">
        <v>71</v>
      </c>
      <c r="BO1" s="53" t="s">
        <v>72</v>
      </c>
      <c r="BP1" s="53" t="s">
        <v>73</v>
      </c>
      <c r="BQ1" s="53" t="s">
        <v>74</v>
      </c>
      <c r="BR1" s="53" t="s">
        <v>75</v>
      </c>
      <c r="BS1" s="53" t="s">
        <v>76</v>
      </c>
      <c r="BT1" s="53" t="s">
        <v>77</v>
      </c>
      <c r="BU1" s="53" t="s">
        <v>78</v>
      </c>
      <c r="BV1" s="53" t="s">
        <v>79</v>
      </c>
      <c r="BW1" s="53" t="s">
        <v>80</v>
      </c>
      <c r="BX1" s="53" t="s">
        <v>81</v>
      </c>
      <c r="BY1" s="53" t="s">
        <v>82</v>
      </c>
      <c r="BZ1" s="53" t="s">
        <v>83</v>
      </c>
      <c r="CA1" s="53" t="s">
        <v>84</v>
      </c>
      <c r="CB1" s="54" t="s">
        <v>85</v>
      </c>
      <c r="CC1" s="54" t="s">
        <v>86</v>
      </c>
      <c r="CD1" s="53" t="s">
        <v>87</v>
      </c>
      <c r="CE1" s="53" t="s">
        <v>88</v>
      </c>
      <c r="CF1" s="53" t="s">
        <v>89</v>
      </c>
      <c r="CG1" s="53" t="s">
        <v>90</v>
      </c>
      <c r="CH1" s="53" t="s">
        <v>91</v>
      </c>
      <c r="CI1" s="53" t="s">
        <v>92</v>
      </c>
      <c r="CJ1" s="53" t="s">
        <v>93</v>
      </c>
      <c r="CK1" s="53" t="s">
        <v>94</v>
      </c>
      <c r="CL1" s="53" t="s">
        <v>95</v>
      </c>
      <c r="CM1" s="53" t="s">
        <v>96</v>
      </c>
      <c r="CN1" s="53" t="s">
        <v>97</v>
      </c>
      <c r="CO1" s="53" t="s">
        <v>98</v>
      </c>
      <c r="CP1" s="53" t="s">
        <v>99</v>
      </c>
      <c r="CQ1" s="53" t="s">
        <v>100</v>
      </c>
      <c r="CR1" s="53" t="s">
        <v>101</v>
      </c>
      <c r="CS1" s="53" t="s">
        <v>102</v>
      </c>
      <c r="CT1" s="53" t="s">
        <v>103</v>
      </c>
      <c r="CU1" s="53" t="s">
        <v>104</v>
      </c>
      <c r="CV1" s="53" t="s">
        <v>105</v>
      </c>
      <c r="CW1" s="53" t="s">
        <v>106</v>
      </c>
      <c r="CX1" s="54" t="s">
        <v>107</v>
      </c>
      <c r="CY1" s="54" t="s">
        <v>108</v>
      </c>
      <c r="CZ1" s="53" t="s">
        <v>109</v>
      </c>
      <c r="DA1" s="53" t="s">
        <v>110</v>
      </c>
      <c r="DB1" s="53" t="s">
        <v>111</v>
      </c>
      <c r="DC1" s="53" t="s">
        <v>112</v>
      </c>
      <c r="DD1" s="53" t="s">
        <v>113</v>
      </c>
      <c r="DE1" s="53" t="s">
        <v>114</v>
      </c>
      <c r="DF1" s="53" t="s">
        <v>115</v>
      </c>
      <c r="DG1" s="53" t="s">
        <v>116</v>
      </c>
      <c r="DH1" s="53" t="s">
        <v>117</v>
      </c>
      <c r="DI1" s="53" t="s">
        <v>118</v>
      </c>
      <c r="DJ1" s="53" t="s">
        <v>119</v>
      </c>
      <c r="DK1" s="53" t="s">
        <v>120</v>
      </c>
      <c r="DL1" s="53" t="s">
        <v>121</v>
      </c>
      <c r="DM1" s="53" t="s">
        <v>122</v>
      </c>
      <c r="DN1" s="53" t="s">
        <v>123</v>
      </c>
      <c r="DO1" s="54" t="s">
        <v>124</v>
      </c>
      <c r="DP1" s="53" t="s">
        <v>125</v>
      </c>
      <c r="DQ1" s="53" t="s">
        <v>126</v>
      </c>
      <c r="DR1" s="53" t="s">
        <v>127</v>
      </c>
      <c r="DS1" s="53" t="s">
        <v>128</v>
      </c>
      <c r="DT1" s="53" t="s">
        <v>129</v>
      </c>
      <c r="DU1" s="53" t="s">
        <v>130</v>
      </c>
      <c r="DV1" s="53" t="s">
        <v>131</v>
      </c>
      <c r="DW1" s="53" t="s">
        <v>132</v>
      </c>
      <c r="DX1" s="53" t="s">
        <v>133</v>
      </c>
      <c r="DY1" s="53" t="s">
        <v>134</v>
      </c>
      <c r="DZ1" s="54" t="s">
        <v>135</v>
      </c>
      <c r="EA1" s="53" t="s">
        <v>136</v>
      </c>
      <c r="EB1" s="53" t="s">
        <v>137</v>
      </c>
      <c r="EC1" s="53" t="s">
        <v>138</v>
      </c>
      <c r="ED1" s="53" t="s">
        <v>139</v>
      </c>
      <c r="EE1" s="53" t="s">
        <v>140</v>
      </c>
      <c r="EF1" s="54" t="s">
        <v>141</v>
      </c>
      <c r="EG1" s="54" t="s">
        <v>142</v>
      </c>
      <c r="EH1" s="54" t="s">
        <v>143</v>
      </c>
      <c r="EI1" s="54" t="s">
        <v>144</v>
      </c>
      <c r="EJ1" s="54" t="s">
        <v>145</v>
      </c>
      <c r="EK1" s="54" t="s">
        <v>146</v>
      </c>
      <c r="EL1" s="54" t="s">
        <v>147</v>
      </c>
      <c r="EM1" s="54" t="s">
        <v>148</v>
      </c>
      <c r="EN1" s="54" t="s">
        <v>149</v>
      </c>
      <c r="EO1" s="54" t="s">
        <v>150</v>
      </c>
      <c r="EP1" s="55" t="s">
        <v>151</v>
      </c>
      <c r="EQ1" s="378" t="s">
        <v>576</v>
      </c>
      <c r="ER1" s="378" t="s">
        <v>182</v>
      </c>
      <c r="ES1" s="378" t="s">
        <v>183</v>
      </c>
      <c r="ET1" s="378" t="s">
        <v>184</v>
      </c>
      <c r="EU1" s="378" t="s">
        <v>577</v>
      </c>
    </row>
    <row r="2">
      <c r="A2" s="381">
        <v>44962.66371635417</v>
      </c>
      <c r="B2" s="382">
        <v>44952.0</v>
      </c>
      <c r="C2" s="382">
        <v>44982.0</v>
      </c>
      <c r="D2" s="56" t="s">
        <v>212</v>
      </c>
      <c r="E2" s="56" t="s">
        <v>211</v>
      </c>
      <c r="F2" s="56">
        <v>2.0</v>
      </c>
      <c r="EQ2" s="56">
        <v>0.0</v>
      </c>
      <c r="ER2" s="56">
        <v>0.0</v>
      </c>
      <c r="ES2" s="56">
        <v>0.0</v>
      </c>
      <c r="ET2" s="56">
        <v>0.0</v>
      </c>
    </row>
    <row r="3">
      <c r="A3" s="381"/>
      <c r="B3" s="382"/>
      <c r="C3" s="382"/>
      <c r="E3" s="383"/>
    </row>
    <row r="4">
      <c r="A4" s="381">
        <v>44962.731257465275</v>
      </c>
      <c r="B4" s="382">
        <v>44952.0</v>
      </c>
      <c r="C4" s="382">
        <v>44982.0</v>
      </c>
      <c r="E4" s="56" t="s">
        <v>211</v>
      </c>
    </row>
    <row r="5">
      <c r="A5" s="381">
        <v>44962.73639372685</v>
      </c>
      <c r="B5" s="382">
        <v>44952.0</v>
      </c>
      <c r="C5" s="382">
        <v>44982.0</v>
      </c>
      <c r="E5" s="56" t="s">
        <v>211</v>
      </c>
    </row>
    <row r="6">
      <c r="A6" s="381">
        <v>44962.73793153935</v>
      </c>
      <c r="B6" s="382">
        <v>44952.0</v>
      </c>
      <c r="C6" s="382">
        <v>44982.0</v>
      </c>
      <c r="E6" s="56" t="s">
        <v>211</v>
      </c>
    </row>
    <row r="7">
      <c r="A7" s="381">
        <v>44962.739790023144</v>
      </c>
      <c r="B7" s="382">
        <v>44952.0</v>
      </c>
      <c r="C7" s="382">
        <v>44982.0</v>
      </c>
      <c r="E7" s="56" t="s">
        <v>211</v>
      </c>
    </row>
    <row r="8">
      <c r="A8" s="381">
        <v>44962.74001159723</v>
      </c>
      <c r="B8" s="382">
        <v>44952.0</v>
      </c>
      <c r="C8" s="382">
        <v>44982.0</v>
      </c>
      <c r="E8" s="56" t="s">
        <v>211</v>
      </c>
    </row>
    <row r="9">
      <c r="A9" s="381"/>
      <c r="B9" s="382"/>
      <c r="C9" s="382"/>
      <c r="D9" s="56"/>
      <c r="E9" s="56"/>
      <c r="F9" s="56"/>
      <c r="H9" s="56"/>
      <c r="I9" s="56"/>
      <c r="J9" s="56"/>
      <c r="L9" s="56"/>
      <c r="M9" s="56"/>
      <c r="N9" s="56"/>
      <c r="P9" s="56"/>
      <c r="W9" s="56"/>
      <c r="Z9" s="56"/>
      <c r="AA9" s="56"/>
      <c r="AB9" s="56"/>
      <c r="AC9" s="56"/>
      <c r="AV9" s="56"/>
      <c r="AZ9" s="56"/>
      <c r="BN9" s="56"/>
      <c r="BP9" s="56"/>
      <c r="BR9" s="56"/>
      <c r="BS9" s="56"/>
      <c r="BV9" s="56"/>
      <c r="BW9" s="56"/>
      <c r="BZ9" s="56"/>
      <c r="CA9" s="56"/>
      <c r="CJ9" s="56"/>
      <c r="CK9" s="56"/>
      <c r="CN9" s="56"/>
      <c r="CO9" s="56"/>
      <c r="CT9" s="56"/>
      <c r="CU9" s="56"/>
      <c r="CV9" s="56"/>
      <c r="CW9" s="56"/>
      <c r="DF9" s="56"/>
      <c r="DG9" s="56"/>
      <c r="DJ9" s="56"/>
      <c r="DS9" s="56"/>
      <c r="EF9" s="56"/>
      <c r="EO9" s="56"/>
    </row>
    <row r="10">
      <c r="A10" s="381"/>
      <c r="B10" s="382"/>
      <c r="C10" s="382"/>
      <c r="D10" s="56"/>
      <c r="E10" s="56"/>
      <c r="F10" s="56"/>
      <c r="H10" s="56"/>
      <c r="I10" s="56"/>
      <c r="J10" s="56"/>
      <c r="L10" s="56"/>
      <c r="M10" s="56"/>
      <c r="N10" s="56"/>
      <c r="P10" s="56"/>
      <c r="W10" s="56"/>
      <c r="Z10" s="56"/>
      <c r="AA10" s="56"/>
      <c r="AB10" s="56"/>
      <c r="AC10" s="56"/>
      <c r="AV10" s="56"/>
      <c r="AZ10" s="56"/>
      <c r="BN10" s="56"/>
      <c r="BP10" s="56"/>
      <c r="BR10" s="56"/>
      <c r="BS10" s="56"/>
      <c r="BV10" s="56"/>
      <c r="BW10" s="56"/>
      <c r="BZ10" s="56"/>
      <c r="CA10" s="56"/>
      <c r="CJ10" s="56"/>
      <c r="CK10" s="56"/>
      <c r="CN10" s="56"/>
      <c r="CO10" s="56"/>
      <c r="CT10" s="56"/>
      <c r="CU10" s="56"/>
      <c r="CV10" s="56"/>
      <c r="CW10" s="56"/>
      <c r="DF10" s="56"/>
      <c r="DG10" s="56"/>
      <c r="DJ10" s="56"/>
      <c r="DS10" s="56"/>
      <c r="EF10" s="56"/>
      <c r="EO10" s="56"/>
    </row>
    <row r="11">
      <c r="A11" s="381"/>
      <c r="B11" s="382"/>
      <c r="C11" s="382"/>
      <c r="D11" s="56"/>
      <c r="E11" s="56"/>
      <c r="F11" s="56"/>
      <c r="H11" s="56"/>
      <c r="I11" s="56"/>
      <c r="J11" s="56"/>
      <c r="L11" s="56"/>
      <c r="M11" s="56"/>
      <c r="N11" s="56"/>
      <c r="P11" s="56"/>
      <c r="W11" s="56"/>
      <c r="Z11" s="56"/>
      <c r="AA11" s="56"/>
      <c r="AB11" s="56"/>
      <c r="AC11" s="56"/>
      <c r="AV11" s="56"/>
      <c r="AZ11" s="56"/>
      <c r="BN11" s="56"/>
      <c r="BP11" s="56"/>
      <c r="BR11" s="56"/>
      <c r="BS11" s="56"/>
      <c r="BV11" s="56"/>
      <c r="BW11" s="56"/>
      <c r="BZ11" s="56"/>
      <c r="CA11" s="56"/>
      <c r="CJ11" s="56"/>
      <c r="CK11" s="56"/>
      <c r="CN11" s="56"/>
      <c r="CO11" s="56"/>
      <c r="CT11" s="56"/>
      <c r="CU11" s="56"/>
      <c r="CV11" s="56"/>
      <c r="CW11" s="56"/>
      <c r="DF11" s="56"/>
      <c r="DG11" s="56"/>
      <c r="DJ11" s="56"/>
      <c r="DS11" s="56"/>
      <c r="EF11" s="56"/>
      <c r="EO11" s="56"/>
    </row>
    <row r="12">
      <c r="A12" s="381"/>
      <c r="B12" s="382"/>
      <c r="C12" s="382"/>
      <c r="D12" s="56"/>
      <c r="E12" s="56"/>
      <c r="F12" s="56"/>
      <c r="H12" s="56"/>
      <c r="I12" s="56"/>
      <c r="J12" s="56"/>
      <c r="L12" s="56"/>
      <c r="M12" s="56"/>
      <c r="N12" s="56"/>
      <c r="P12" s="56"/>
      <c r="W12" s="56"/>
      <c r="Z12" s="56"/>
      <c r="AA12" s="56"/>
      <c r="AB12" s="56"/>
      <c r="AC12" s="56"/>
      <c r="AV12" s="56"/>
      <c r="AZ12" s="56"/>
      <c r="BN12" s="56"/>
      <c r="BP12" s="56"/>
      <c r="BR12" s="56"/>
      <c r="BS12" s="56"/>
      <c r="BV12" s="56"/>
      <c r="BW12" s="56"/>
      <c r="BZ12" s="56"/>
      <c r="CA12" s="56"/>
      <c r="CJ12" s="56"/>
      <c r="CK12" s="56"/>
      <c r="CN12" s="56"/>
      <c r="CO12" s="56"/>
      <c r="CT12" s="56"/>
      <c r="CU12" s="56"/>
      <c r="CV12" s="56"/>
      <c r="CW12" s="56"/>
      <c r="DF12" s="56"/>
      <c r="DG12" s="56"/>
      <c r="DJ12" s="56"/>
      <c r="DS12" s="56"/>
      <c r="EF12" s="56"/>
      <c r="EO12" s="56"/>
    </row>
    <row r="13">
      <c r="A13" s="381"/>
      <c r="B13" s="382"/>
      <c r="C13" s="382"/>
      <c r="D13" s="56"/>
      <c r="E13" s="56"/>
      <c r="F13" s="56"/>
      <c r="H13" s="56"/>
      <c r="I13" s="56"/>
      <c r="J13" s="56"/>
      <c r="L13" s="56"/>
      <c r="M13" s="56"/>
      <c r="N13" s="56"/>
      <c r="P13" s="56"/>
      <c r="W13" s="56"/>
      <c r="Z13" s="56"/>
      <c r="AA13" s="56"/>
      <c r="AB13" s="56"/>
      <c r="AC13" s="56"/>
      <c r="AV13" s="56"/>
      <c r="AZ13" s="56"/>
      <c r="BN13" s="56"/>
      <c r="BP13" s="56"/>
      <c r="BR13" s="56"/>
      <c r="BS13" s="56"/>
      <c r="BV13" s="56"/>
      <c r="BW13" s="56"/>
      <c r="BZ13" s="56"/>
      <c r="CA13" s="56"/>
      <c r="CJ13" s="56"/>
      <c r="CK13" s="56"/>
      <c r="CN13" s="56"/>
      <c r="CO13" s="56"/>
      <c r="CT13" s="56"/>
      <c r="CU13" s="56"/>
      <c r="CV13" s="56"/>
      <c r="CW13" s="56"/>
      <c r="DF13" s="56"/>
      <c r="DG13" s="56"/>
      <c r="DJ13" s="56"/>
      <c r="DS13" s="56"/>
      <c r="EF13" s="56"/>
      <c r="EO13" s="56"/>
    </row>
    <row r="14">
      <c r="A14" s="381"/>
      <c r="B14" s="382"/>
      <c r="C14" s="382"/>
      <c r="D14" s="56"/>
      <c r="E14" s="56"/>
      <c r="F14" s="56"/>
      <c r="H14" s="56"/>
      <c r="I14" s="56"/>
      <c r="J14" s="56"/>
      <c r="L14" s="56"/>
      <c r="M14" s="56"/>
      <c r="N14" s="56"/>
      <c r="P14" s="56"/>
      <c r="W14" s="56"/>
      <c r="Z14" s="56"/>
      <c r="AA14" s="56"/>
      <c r="AB14" s="56"/>
      <c r="AC14" s="56"/>
      <c r="AV14" s="56"/>
      <c r="AZ14" s="56"/>
      <c r="BN14" s="56"/>
      <c r="BP14" s="56"/>
      <c r="BR14" s="56"/>
      <c r="BS14" s="56"/>
      <c r="BV14" s="56"/>
      <c r="BW14" s="56"/>
      <c r="BZ14" s="56"/>
      <c r="CA14" s="56"/>
      <c r="CJ14" s="56"/>
      <c r="CK14" s="56"/>
      <c r="CN14" s="56"/>
      <c r="CO14" s="56"/>
      <c r="CT14" s="56"/>
      <c r="CU14" s="56"/>
      <c r="CV14" s="56"/>
      <c r="CW14" s="56"/>
      <c r="DF14" s="56"/>
      <c r="DG14" s="56"/>
      <c r="DJ14" s="56"/>
      <c r="DS14" s="56"/>
      <c r="EF14" s="56"/>
      <c r="EO14" s="56"/>
    </row>
    <row r="15">
      <c r="A15" s="381"/>
      <c r="B15" s="382"/>
      <c r="C15" s="382"/>
      <c r="D15" s="56"/>
      <c r="E15" s="56"/>
      <c r="F15" s="56"/>
      <c r="H15" s="56"/>
      <c r="I15" s="56"/>
      <c r="J15" s="56"/>
      <c r="L15" s="56"/>
      <c r="M15" s="56"/>
      <c r="N15" s="56"/>
      <c r="P15" s="56"/>
      <c r="W15" s="56"/>
      <c r="Z15" s="56"/>
      <c r="AA15" s="56"/>
      <c r="AB15" s="56"/>
      <c r="AC15" s="56"/>
      <c r="AV15" s="56"/>
      <c r="AZ15" s="56"/>
      <c r="BN15" s="56"/>
      <c r="BP15" s="56"/>
      <c r="BR15" s="56"/>
      <c r="BS15" s="56"/>
      <c r="BV15" s="56"/>
      <c r="BW15" s="56"/>
      <c r="BZ15" s="56"/>
      <c r="CA15" s="56"/>
      <c r="CJ15" s="56"/>
      <c r="CK15" s="56"/>
      <c r="CN15" s="56"/>
      <c r="CO15" s="56"/>
      <c r="CT15" s="56"/>
      <c r="CU15" s="56"/>
      <c r="CV15" s="56"/>
      <c r="CW15" s="56"/>
      <c r="DF15" s="56"/>
      <c r="DG15" s="56"/>
      <c r="DJ15" s="56"/>
      <c r="DS15" s="56"/>
      <c r="EF15" s="56"/>
      <c r="EO15" s="56"/>
    </row>
    <row r="16">
      <c r="A16" s="381"/>
      <c r="B16" s="382"/>
      <c r="C16" s="382"/>
      <c r="D16" s="56"/>
      <c r="E16" s="56"/>
      <c r="F16" s="56"/>
      <c r="H16" s="56"/>
      <c r="I16" s="56"/>
      <c r="J16" s="56"/>
      <c r="L16" s="56"/>
      <c r="M16" s="56"/>
      <c r="N16" s="56"/>
      <c r="P16" s="56"/>
      <c r="W16" s="56"/>
      <c r="Z16" s="56"/>
      <c r="AA16" s="56"/>
      <c r="AB16" s="56"/>
      <c r="AC16" s="56"/>
      <c r="AV16" s="56"/>
      <c r="AZ16" s="56"/>
      <c r="BN16" s="56"/>
      <c r="BP16" s="56"/>
      <c r="BR16" s="56"/>
      <c r="BS16" s="56"/>
      <c r="BV16" s="56"/>
      <c r="BW16" s="56"/>
      <c r="BZ16" s="56"/>
      <c r="CA16" s="56"/>
      <c r="CJ16" s="56"/>
      <c r="CK16" s="56"/>
      <c r="CN16" s="56"/>
      <c r="CO16" s="56"/>
      <c r="CT16" s="56"/>
      <c r="CU16" s="56"/>
      <c r="CV16" s="56"/>
      <c r="CW16" s="56"/>
      <c r="DF16" s="56"/>
      <c r="DG16" s="56"/>
      <c r="DJ16" s="56"/>
      <c r="DS16" s="56"/>
      <c r="EF16" s="56"/>
      <c r="EO16" s="56"/>
    </row>
    <row r="17">
      <c r="A17" s="381"/>
      <c r="B17" s="382"/>
      <c r="C17" s="382"/>
      <c r="D17" s="56"/>
      <c r="E17" s="56"/>
      <c r="F17" s="56"/>
      <c r="H17" s="56"/>
      <c r="I17" s="56"/>
      <c r="J17" s="56"/>
      <c r="L17" s="56"/>
      <c r="M17" s="56"/>
      <c r="N17" s="56"/>
      <c r="P17" s="56"/>
      <c r="W17" s="56"/>
      <c r="Z17" s="56"/>
      <c r="AA17" s="56"/>
      <c r="AB17" s="56"/>
      <c r="AC17" s="56"/>
      <c r="AV17" s="56"/>
      <c r="AZ17" s="56"/>
      <c r="BN17" s="56"/>
      <c r="BP17" s="56"/>
      <c r="BR17" s="56"/>
      <c r="BS17" s="56"/>
      <c r="BV17" s="56"/>
      <c r="BW17" s="56"/>
      <c r="BZ17" s="56"/>
      <c r="CA17" s="56"/>
      <c r="CJ17" s="56"/>
      <c r="CK17" s="56"/>
      <c r="CN17" s="56"/>
      <c r="CO17" s="56"/>
      <c r="CT17" s="56"/>
      <c r="CU17" s="56"/>
      <c r="CV17" s="56"/>
      <c r="CW17" s="56"/>
      <c r="DF17" s="56"/>
      <c r="DG17" s="56"/>
      <c r="DJ17" s="56"/>
      <c r="DS17" s="56"/>
      <c r="EF17" s="56"/>
      <c r="EO17" s="56"/>
    </row>
    <row r="18">
      <c r="A18" s="381"/>
      <c r="B18" s="382"/>
      <c r="C18" s="382"/>
      <c r="D18" s="56"/>
      <c r="E18" s="56"/>
      <c r="F18" s="56"/>
      <c r="H18" s="56"/>
      <c r="I18" s="56"/>
      <c r="J18" s="56"/>
      <c r="L18" s="56"/>
      <c r="M18" s="56"/>
      <c r="N18" s="56"/>
      <c r="P18" s="56"/>
      <c r="W18" s="56"/>
      <c r="Z18" s="56"/>
      <c r="AA18" s="56"/>
      <c r="AB18" s="56"/>
      <c r="AC18" s="56"/>
      <c r="AV18" s="56"/>
      <c r="AZ18" s="56"/>
      <c r="BN18" s="56"/>
      <c r="BP18" s="56"/>
      <c r="BR18" s="56"/>
      <c r="BS18" s="56"/>
      <c r="BV18" s="56"/>
      <c r="BW18" s="56"/>
      <c r="BZ18" s="56"/>
      <c r="CA18" s="56"/>
      <c r="CJ18" s="56"/>
      <c r="CK18" s="56"/>
      <c r="CN18" s="56"/>
      <c r="CO18" s="56"/>
      <c r="CT18" s="56"/>
      <c r="CU18" s="56"/>
      <c r="CV18" s="56"/>
      <c r="CW18" s="56"/>
      <c r="DF18" s="56"/>
      <c r="DG18" s="56"/>
      <c r="DJ18" s="56"/>
      <c r="DS18" s="56"/>
      <c r="EF18" s="56"/>
      <c r="EO18" s="56"/>
    </row>
  </sheetData>
  <autoFilter ref="$D$1:$D$18"/>
  <customSheetViews>
    <customSheetView guid="{1E8D625F-C4B6-4C93-9DC6-F5026202A214}" filter="1" showAutoFilter="1">
      <autoFilter ref="$D$1:$D$18"/>
    </customSheetView>
  </customSheetViews>
  <dataValidations>
    <dataValidation type="list" allowBlank="1" showDropDown="1" sqref="E2:E18">
      <formula1>Credentials!$A$3:$A18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38"/>
    <col customWidth="1" min="3" max="3" width="2.5"/>
    <col customWidth="1" min="4" max="4" width="7.63"/>
    <col customWidth="1" min="5" max="5" width="11.63"/>
  </cols>
  <sheetData>
    <row r="1" ht="27.0" customHeight="1">
      <c r="A1" s="384" t="s">
        <v>578</v>
      </c>
      <c r="B1" s="385"/>
      <c r="C1" s="385"/>
      <c r="D1" s="385"/>
      <c r="E1" s="385"/>
    </row>
    <row r="2" ht="21.75" customHeight="1">
      <c r="A2" s="386" t="str">
        <f>Reports!J1&amp;" "&amp; "For Month Of "&amp;TEXT(Reports!Q1,"mmmm-yyy")</f>
        <v>Institute For Month Of February-2023</v>
      </c>
    </row>
    <row r="3">
      <c r="A3" s="56"/>
      <c r="B3" s="56"/>
      <c r="C3" s="174"/>
      <c r="D3" s="387" t="str">
        <f>"Slip Number "&amp;Reports!C71 </f>
        <v>Slip Number 0</v>
      </c>
      <c r="E3" s="385"/>
    </row>
    <row r="4">
      <c r="A4" s="56" t="s">
        <v>579</v>
      </c>
      <c r="C4" s="174"/>
    </row>
    <row r="5" ht="18.75" customHeight="1">
      <c r="A5" s="388"/>
      <c r="B5" s="389" t="s">
        <v>580</v>
      </c>
      <c r="C5" s="390" t="str">
        <f t="shared" ref="C5:C12" si="1">"="</f>
        <v>=</v>
      </c>
      <c r="D5" s="391" t="str">
        <f>(Reports!B5+Reports!C5+Reports!D5)&amp;"X"&amp;Sum!B35&amp;" ="</f>
        <v>0X10 =</v>
      </c>
      <c r="E5" s="392">
        <f>Reports!B60</f>
        <v>0</v>
      </c>
    </row>
    <row r="6" ht="18.75" customHeight="1">
      <c r="A6" s="393"/>
      <c r="B6" s="394" t="s">
        <v>581</v>
      </c>
      <c r="C6" s="390" t="str">
        <f t="shared" si="1"/>
        <v>=</v>
      </c>
      <c r="D6" s="391" t="str">
        <f>(Reports!E$5)&amp;"X"&amp;Sum!C$35&amp;" ="</f>
        <v>0X50 =</v>
      </c>
      <c r="E6" s="395">
        <f>Reports!C60</f>
        <v>0</v>
      </c>
    </row>
    <row r="7" ht="18.75" customHeight="1">
      <c r="A7" s="388"/>
      <c r="B7" s="396" t="s">
        <v>582</v>
      </c>
      <c r="C7" s="390" t="str">
        <f t="shared" si="1"/>
        <v>=</v>
      </c>
      <c r="D7" s="391"/>
      <c r="E7" s="397">
        <f>Reports!D60</f>
        <v>0</v>
      </c>
    </row>
    <row r="8" ht="18.75" customHeight="1">
      <c r="A8" s="388"/>
      <c r="B8" s="396" t="s">
        <v>583</v>
      </c>
      <c r="C8" s="390" t="str">
        <f t="shared" si="1"/>
        <v>=</v>
      </c>
      <c r="D8" s="391"/>
      <c r="E8" s="395">
        <f>Reports!E60</f>
        <v>0</v>
      </c>
    </row>
    <row r="9" ht="18.75" customHeight="1">
      <c r="A9" s="388"/>
      <c r="B9" s="396" t="s">
        <v>584</v>
      </c>
      <c r="C9" s="390" t="str">
        <f t="shared" si="1"/>
        <v>=</v>
      </c>
      <c r="D9" s="391"/>
      <c r="E9" s="397">
        <f>Reports!F60</f>
        <v>0</v>
      </c>
    </row>
    <row r="10" ht="18.75" customHeight="1">
      <c r="A10" s="388"/>
      <c r="B10" s="396" t="s">
        <v>585</v>
      </c>
      <c r="C10" s="390" t="str">
        <f t="shared" si="1"/>
        <v>=</v>
      </c>
      <c r="D10" s="391"/>
      <c r="E10" s="395">
        <f>Reports!G60</f>
        <v>0</v>
      </c>
    </row>
    <row r="11" ht="18.75" customHeight="1">
      <c r="A11" s="393"/>
      <c r="B11" s="394" t="s">
        <v>586</v>
      </c>
      <c r="C11" s="390" t="str">
        <f t="shared" si="1"/>
        <v>=</v>
      </c>
      <c r="D11" s="391"/>
      <c r="E11" s="397">
        <f>Reports!H60</f>
        <v>0</v>
      </c>
    </row>
    <row r="12" ht="18.75" customHeight="1">
      <c r="A12" s="388"/>
      <c r="B12" s="388" t="s">
        <v>587</v>
      </c>
      <c r="C12" s="390" t="str">
        <f t="shared" si="1"/>
        <v>=</v>
      </c>
      <c r="D12" s="391"/>
      <c r="E12" s="398">
        <f>SUM(E5:E11)</f>
        <v>0</v>
      </c>
    </row>
    <row r="13" ht="18.75" customHeight="1">
      <c r="A13" s="399" t="s">
        <v>588</v>
      </c>
      <c r="C13" s="390"/>
      <c r="D13" s="391"/>
      <c r="E13" s="400"/>
    </row>
    <row r="14" ht="18.75" customHeight="1">
      <c r="A14" s="399"/>
      <c r="B14" s="389" t="s">
        <v>589</v>
      </c>
      <c r="C14" s="390" t="str">
        <f t="shared" ref="C14:C20" si="2">"="</f>
        <v>=</v>
      </c>
      <c r="D14" s="391" t="str">
        <f>sum(Reports!B$16:E$16)&amp;"x"&amp;Sum!Q$35&amp;" ="</f>
        <v>0x25 =</v>
      </c>
      <c r="E14" s="392">
        <f>Reports!J60</f>
        <v>0</v>
      </c>
    </row>
    <row r="15" ht="18.75" customHeight="1">
      <c r="A15" s="399"/>
      <c r="B15" s="396" t="s">
        <v>590</v>
      </c>
      <c r="C15" s="390" t="str">
        <f t="shared" si="2"/>
        <v>=</v>
      </c>
      <c r="D15" s="391" t="str">
        <f>sum(Reports!J$16:K$16)&amp;"x"&amp;Sum!R$35&amp;" ="</f>
        <v>0x35 =</v>
      </c>
      <c r="E15" s="401">
        <f>Reports!K60</f>
        <v>0</v>
      </c>
    </row>
    <row r="16" ht="18.75" customHeight="1">
      <c r="A16" s="399"/>
      <c r="B16" s="396" t="s">
        <v>591</v>
      </c>
      <c r="C16" s="390" t="str">
        <f t="shared" si="2"/>
        <v>=</v>
      </c>
      <c r="D16" s="391" t="str">
        <f>sum(Reports!L$16:M$16)&amp;"x"&amp;Sum!S$35&amp;" ="</f>
        <v>0x50 =</v>
      </c>
      <c r="E16" s="401">
        <f>Reports!L60</f>
        <v>0</v>
      </c>
    </row>
    <row r="17" ht="18.75" customHeight="1">
      <c r="A17" s="399"/>
      <c r="B17" s="396" t="s">
        <v>592</v>
      </c>
      <c r="C17" s="390" t="str">
        <f t="shared" si="2"/>
        <v>=</v>
      </c>
      <c r="D17" s="391" t="str">
        <f>Reports!R$16&amp;"x"&amp;Sum!T$35&amp;" ="</f>
        <v>0x50 =</v>
      </c>
      <c r="E17" s="397">
        <f>Reports!M60</f>
        <v>0</v>
      </c>
    </row>
    <row r="18" ht="18.75" customHeight="1">
      <c r="A18" s="399"/>
      <c r="B18" s="396" t="s">
        <v>593</v>
      </c>
      <c r="C18" s="390" t="str">
        <f t="shared" si="2"/>
        <v>=</v>
      </c>
      <c r="D18" s="391" t="str">
        <f>sum(Reports!B$36:C$36)&amp;"x"&amp;Sum!U$35&amp;" ="</f>
        <v>0x25 =</v>
      </c>
      <c r="E18" s="397">
        <f>Reports!O60</f>
        <v>0</v>
      </c>
    </row>
    <row r="19" ht="18.75" customHeight="1">
      <c r="A19" s="399"/>
      <c r="B19" s="396" t="s">
        <v>594</v>
      </c>
      <c r="C19" s="390" t="str">
        <f t="shared" si="2"/>
        <v>=</v>
      </c>
      <c r="D19" s="391"/>
      <c r="E19" s="402">
        <f>SUM(E14:E18)</f>
        <v>0</v>
      </c>
    </row>
    <row r="20" ht="18.75" customHeight="1">
      <c r="A20" s="393"/>
      <c r="B20" s="393" t="s">
        <v>595</v>
      </c>
      <c r="C20" s="390" t="str">
        <f t="shared" si="2"/>
        <v>=</v>
      </c>
      <c r="D20" s="403">
        <f>E12+E19</f>
        <v>0</v>
      </c>
    </row>
    <row r="21" ht="18.75" customHeight="1">
      <c r="A21" s="393" t="s">
        <v>596</v>
      </c>
      <c r="E21" s="404">
        <f>sum(Reports!Q61:Q67)</f>
        <v>0</v>
      </c>
    </row>
    <row r="22" ht="18.75" customHeight="1">
      <c r="A22" s="405" t="s">
        <v>597</v>
      </c>
      <c r="E22" s="404">
        <f>SUM(D20:E21)</f>
        <v>0</v>
      </c>
    </row>
    <row r="23">
      <c r="A23" s="406" t="str">
        <f>"It is certified that Incharge "&amp;Reports!J1&amp;" Deposted Sum of Rupees "&amp;D20+E21&amp;" as monthly fee of his institute and all attached institutes"</f>
        <v>It is certified that Incharge Institute Deposted Sum of Rupees 0 as monthly fee of his institute and all attached institutes</v>
      </c>
    </row>
    <row r="24">
      <c r="A24" s="407"/>
      <c r="B24" s="407"/>
      <c r="C24" s="174"/>
    </row>
    <row r="25">
      <c r="A25" s="407"/>
      <c r="B25" s="407"/>
      <c r="C25" s="174"/>
    </row>
    <row r="26">
      <c r="A26" s="407"/>
      <c r="B26" s="407"/>
      <c r="C26" s="174"/>
      <c r="D26" s="408" t="str">
        <f>Reports!I70</f>
        <v>authority</v>
      </c>
    </row>
  </sheetData>
  <mergeCells count="10">
    <mergeCell ref="A22:D22"/>
    <mergeCell ref="A23:E23"/>
    <mergeCell ref="D26:E26"/>
    <mergeCell ref="A1:E1"/>
    <mergeCell ref="A2:E2"/>
    <mergeCell ref="D3:E3"/>
    <mergeCell ref="A4:B4"/>
    <mergeCell ref="A13:B13"/>
    <mergeCell ref="D20:E20"/>
    <mergeCell ref="A21:D21"/>
  </mergeCells>
  <printOptions horizontalCentered="1"/>
  <pageMargins bottom="0.0" footer="0.0" header="0.0" left="0.18335353617667133" right="0.14770145969787413" top="0.0"/>
  <pageSetup fitToHeight="0" orientation="portrait" pageOrder="overThenDown" paperHeight="5.905511811023622in" paperWidth="3.937007874015748i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13"/>
    <col customWidth="1" min="2" max="2" width="24.63"/>
    <col customWidth="1" min="3" max="18" width="9.25"/>
  </cols>
  <sheetData>
    <row r="1" ht="35.25" customHeight="1">
      <c r="A1" s="409"/>
      <c r="B1" s="410"/>
      <c r="C1" s="411" t="s">
        <v>598</v>
      </c>
      <c r="L1" s="411" t="s">
        <v>429</v>
      </c>
      <c r="M1" s="412">
        <v>44921.0</v>
      </c>
      <c r="O1" s="413" t="s">
        <v>11</v>
      </c>
      <c r="P1" s="412">
        <v>44951.0</v>
      </c>
      <c r="R1" s="414"/>
    </row>
    <row r="2" ht="35.25" customHeight="1">
      <c r="A2" s="415" t="s">
        <v>599</v>
      </c>
      <c r="B2" s="416" t="s">
        <v>600</v>
      </c>
      <c r="C2" s="339" t="s">
        <v>548</v>
      </c>
      <c r="D2" s="242" t="s">
        <v>549</v>
      </c>
      <c r="E2" s="339" t="s">
        <v>550</v>
      </c>
      <c r="F2" s="339" t="s">
        <v>435</v>
      </c>
      <c r="G2" s="339" t="s">
        <v>551</v>
      </c>
      <c r="H2" s="339" t="s">
        <v>552</v>
      </c>
      <c r="I2" s="242" t="s">
        <v>553</v>
      </c>
      <c r="J2" s="339" t="s">
        <v>554</v>
      </c>
      <c r="K2" s="340" t="s">
        <v>555</v>
      </c>
      <c r="L2" s="341" t="s">
        <v>556</v>
      </c>
      <c r="M2" s="341" t="s">
        <v>557</v>
      </c>
      <c r="N2" s="340" t="s">
        <v>558</v>
      </c>
      <c r="O2" s="340" t="s">
        <v>554</v>
      </c>
      <c r="P2" s="340" t="s">
        <v>559</v>
      </c>
      <c r="Q2" s="242" t="s">
        <v>560</v>
      </c>
      <c r="R2" s="342" t="s">
        <v>561</v>
      </c>
    </row>
    <row r="3" ht="27.75" customHeight="1">
      <c r="A3" s="417">
        <v>1.0</v>
      </c>
      <c r="B3" s="418" t="s">
        <v>601</v>
      </c>
      <c r="C3" s="419">
        <f>((sumifs('Form responses'!$G$2:$G62,'Form responses'!$C$2:$C62,"&gt;="&amp;$M$1,'Form responses'!$C$2:$C62,"&lt;="&amp;$P$1,'Form responses'!$D$2:$D62,$B3)
+sumifs('Form responses'!$H$2:$H62,'Form responses'!$C$2:$C62,"&gt;="&amp;$M$1,'Form responses'!$C$2:$C62,"&lt;="&amp;$P$1,'Form responses'!$D$2:$D62,$B3)
+sumifs('Form responses'!$I$2:$I62,'Form responses'!$C$2:$C62,"&gt;="&amp;$M$1,'Form responses'!$C$2:$C62,"&lt;="&amp;$P$1,'Form responses'!$D$2:$D62,$B3)
)*Sum!$B$35)</f>
        <v>0</v>
      </c>
      <c r="D3" s="420">
        <f>((sumifs('Form responses'!$J$2:$J62,'Form responses'!$C$2:$C62,"&gt;="&amp;$M$1,'Form responses'!$C$2:$C62,"&lt;="&amp;$P$1,'Form responses'!$D$2:$D62,$B3))*Sum!$C$35)</f>
        <v>0</v>
      </c>
      <c r="E3" s="419">
        <f>((
sumifs('Form responses'!$S$2:$S62,'Form responses'!$C$2:$C62,"&gt;="&amp;$M$1,'Form responses'!$C$2:$C62,"&lt;="&amp;$P$1,'Form responses'!$D$2:$D62,$B3)
+
sumifs('Form responses'!$T$2:$T62,'Form responses'!$C$2:$C62,"&gt;="&amp;$M$1,'Form responses'!$C$2:$C62,"&lt;="&amp;$P$1,'Form responses'!$D$2:$D62,$B3)
)*Sum!$E$35
)</f>
        <v>0</v>
      </c>
      <c r="F3" s="419">
        <f>sumifs('Form responses'!$U$2:$U62,'Form responses'!$C$2:$C62,"&gt;="&amp;$M$1,'Form responses'!$C$2:$C62,"&lt;="&amp;$P$1,'Form responses'!$D$2:$D62,$B3)
*Sum!$D$35</f>
        <v>0</v>
      </c>
      <c r="G3" s="421">
        <f>sumifs('Form responses'!$EQ$2:$EQ62,'Form responses'!$B$2:$B62,"&gt;="&amp;$M$1,'Form responses'!$C$2:$C62,"&lt;="&amp;$P$1,'Form responses'!$D$2:$D62,$B3)*Sum!$V$35+sumifs('Form responses'!$ER$2:$ER62,'Form responses'!$B$2:$B62,"&gt;="&amp;$M$1,'Form responses'!$C$2:$C62,"&lt;="&amp;$P$1,'Form responses'!$D$2:$D62,$B3)*Sum!$W$35+sumifs('Form responses'!$ES$2:$ES62,'Form responses'!$B$2:$B62,"&gt;="&amp;$M$1,'Form responses'!$C$2:$C62,"&lt;="&amp;$P$1,'Form responses'!$D$2:$D62,$B3)*Sum!$X$35+sumifs('Form responses'!$ET$2:$ET62,'Form responses'!$B$2:$B62,"&gt;="&amp;$M$1,'Form responses'!$C$2:$C62,"&lt;="&amp;$P$1,'Form responses'!$D$2:$D62,$B3)*Sum!$Y$35</f>
        <v>0</v>
      </c>
      <c r="H3" s="419">
        <f>((
sumifs('Form responses'!$V$2:$V62,'Form responses'!$C$2:$C62,"&gt;="&amp;$M$1,'Form responses'!$C$2:$C62,"&lt;="&amp;$P$1,'Form responses'!$D$2:$D62,$B3)
)*
Sum!$F$35
)+((
sumifs('Form responses'!$W$2:$W62,'Form responses'!$C$2:$C62,"&gt;="&amp;$M$1,'Form responses'!$C$2:$C62,"&lt;="&amp;$P$1,'Form responses'!$D$2:$D62,$B3)
)*
Sum!$G$35
)</f>
        <v>0</v>
      </c>
      <c r="I3" s="419">
        <f>((
sumifs('Form responses'!$X$2:$X62,'Form responses'!$C$2:$C62,"&gt;="&amp;$M$1,'Form responses'!$C$2:$C62,"&lt;="&amp;$P$1,'Form responses'!$D$2:$D62,$B3)
)*Sum!$H$35)+((
sumifs('Form responses'!$Y$2:$Y62,'Form responses'!$C$2:$C62,"&gt;="&amp;$M$1,'Form responses'!$C$2:$C62,"&lt;="&amp;$P$1,'Form responses'!$D$2:$D62,$B3)
)*Sum!$I$35)+((
sumifs('Form responses'!$Z$2:$Z62,'Form responses'!$C$2:$C62,"&gt;="&amp;$M$1,'Form responses'!$C$2:$C62,"&lt;="&amp;$P$1,'Form responses'!$D$2:$D62,$B3)
)*Sum!$Z$35)</f>
        <v>0</v>
      </c>
      <c r="J3" s="419">
        <f t="shared" ref="J3:J56" si="1">SUM(C3:I3)</f>
        <v>0</v>
      </c>
      <c r="K3" s="419">
        <f>(
sumifs('Form responses'!$AV$2:$AV62,'Form responses'!$C$2:$C62,"&gt;="&amp;$M$1,'Form responses'!$C$2:$C62,"&lt;="&amp;$P$1,'Form responses'!$D$2:$D62,$B3)
+
sumifs('Form responses'!$AW$2:$AW62,'Form responses'!$C$2:$C62,"&gt;="&amp;$M$1,'Form responses'!$C$2:$C62,"&lt;="&amp;$P$1,'Form responses'!$D$2:$D62,$B3)
+
sumifs('Form responses'!$AX$2:$AX62,'Form responses'!$C$2:$C62,"&gt;="&amp;$M$1,'Form responses'!$C$2:$C62,"&lt;="&amp;$P$1,'Form responses'!$D$2:$D62,$B3)
+
sumifs('Form responses'!$AY$2:$AY62,'Form responses'!$C$2:$C62,"&gt;="&amp;$M$1,'Form responses'!$C$2:$C62,"&lt;="&amp;$P$1,'Form responses'!$D$2:$D62,$B3)
)*Sum!$Q$35</f>
        <v>0</v>
      </c>
      <c r="L3" s="422">
        <f>(
sumifs('Form responses'!$BD$2:$BD62,'Form responses'!$C$2:$C62,"&gt;="&amp;$M$1,'Form responses'!$C$2:$C62,"&lt;="&amp;$P$1,'Form responses'!$D$2:$D62,$B3)
+
sumifs('Form responses'!$BE$2:$BE62,'Form responses'!$C$2:$C62,"&gt;="&amp;$M$1,'Form responses'!$C$2:$C62,"&lt;="&amp;$P$1,'Form responses'!$D$2:$D62,$B3)
)*Sum!$R$35</f>
        <v>0</v>
      </c>
      <c r="M3" s="419">
        <f>(
sumifs('Form responses'!$BF$2:$BF62,'Form responses'!$C$2:$C62,"&gt;="&amp;$M$1,'Form responses'!$C$2:$C62,"&lt;="&amp;$P$1,'Form responses'!$D$2:$D62,$B3)
+
sumifs('Form responses'!$BG$2:$BG62,'Form responses'!$C$2:$C62,"&gt;="&amp;$M$1,'Form responses'!$C$2:$C62,"&lt;="&amp;$P$1,'Form responses'!$D$2:$D62,$B3)
)*Sum!$S$35</f>
        <v>0</v>
      </c>
      <c r="N3" s="419">
        <f>sumifs('Form responses'!$BL$2:$BL62,'Form responses'!$C$2:$C62,"&gt;="&amp;$M$1,'Form responses'!$C$2:$C62,"&lt;="&amp;$P$1,'Form responses'!$D$2:$D62,$B3)
*Sum!$T$35</f>
        <v>0</v>
      </c>
      <c r="O3" s="419">
        <f t="shared" ref="O3:O56" si="2">SUM(K3:N3)</f>
        <v>0</v>
      </c>
      <c r="P3" s="419">
        <f>((sumifs('Form responses'!$BN$2:$BN62,'Form responses'!$C$2:$C62,"&gt;="&amp;$M$1,'Form responses'!$C$2:$C62,"&lt;="&amp;$P$1,'Form responses'!$D$2:$D62,$B3)+
sumifs('Form responses'!$BO$2:$BO62,'Form responses'!$C$2:$C62,"&gt;="&amp;$M$1,'Form responses'!$C$2:$C62,"&lt;="&amp;$P$1,'Form responses'!$D$2:$D62,$B3))*Sum!$U$35)</f>
        <v>0</v>
      </c>
      <c r="Q3" s="419">
        <f t="shared" ref="Q3:Q56" si="3">O3+P3</f>
        <v>0</v>
      </c>
      <c r="R3" s="346">
        <f t="shared" ref="R3:R56" si="4">J3+Q3</f>
        <v>0</v>
      </c>
    </row>
    <row r="4" ht="27.75" customHeight="1">
      <c r="A4" s="417"/>
      <c r="B4" s="423" t="s">
        <v>602</v>
      </c>
      <c r="C4" s="419">
        <f>((sumifs('Form responses'!$G$2:$G62,'Form responses'!$C$2:$C62,"&gt;="&amp;$M$1,'Form responses'!$C$2:$C62,"&lt;="&amp;$P$1,'Form responses'!$D$2:$D62,$B4)
+sumifs('Form responses'!$H$2:$H62,'Form responses'!$C$2:$C62,"&gt;="&amp;$M$1,'Form responses'!$C$2:$C62,"&lt;="&amp;$P$1,'Form responses'!$D$2:$D62,$B4)
+sumifs('Form responses'!$I$2:$I62,'Form responses'!$C$2:$C62,"&gt;="&amp;$M$1,'Form responses'!$C$2:$C62,"&lt;="&amp;$P$1,'Form responses'!$D$2:$D62,$B4)
)*Sum!$B$35)</f>
        <v>0</v>
      </c>
      <c r="D4" s="420">
        <f>((sumifs('Form responses'!$J$2:$J62,'Form responses'!$C$2:$C62,"&gt;="&amp;$M$1,'Form responses'!$C$2:$C62,"&lt;="&amp;$P$1,'Form responses'!$D$2:$D62,$B4))*Sum!$C$35)</f>
        <v>0</v>
      </c>
      <c r="E4" s="419">
        <f>((
sumifs('Form responses'!$S$2:$S62,'Form responses'!$C$2:$C62,"&gt;="&amp;$M$1,'Form responses'!$C$2:$C62,"&lt;="&amp;$P$1,'Form responses'!$D$2:$D62,$B4)
+
sumifs('Form responses'!$T$2:$T62,'Form responses'!$C$2:$C62,"&gt;="&amp;$M$1,'Form responses'!$C$2:$C62,"&lt;="&amp;$P$1,'Form responses'!$D$2:$D62,$B4)
)*Sum!$E$35
)</f>
        <v>0</v>
      </c>
      <c r="F4" s="419">
        <f>sumifs('Form responses'!$U$2:$U62,'Form responses'!$C$2:$C62,"&gt;="&amp;$M$1,'Form responses'!$C$2:$C62,"&lt;="&amp;$P$1,'Form responses'!$D$2:$D62,$B4)
*Sum!$D$35</f>
        <v>0</v>
      </c>
      <c r="G4" s="421">
        <f>sumifs('Form responses'!$EQ$2:$EQ62,'Form responses'!$B$2:$B62,"&gt;="&amp;$M$1,'Form responses'!$C$2:$C62,"&lt;="&amp;$P$1,'Form responses'!$D$2:$D62,$B4)*Sum!$V$35+sumifs('Form responses'!$ER$2:$ER62,'Form responses'!$B$2:$B62,"&gt;="&amp;$M$1,'Form responses'!$C$2:$C62,"&lt;="&amp;$P$1,'Form responses'!$D$2:$D62,$B4)*Sum!$W$35+sumifs('Form responses'!$ES$2:$ES62,'Form responses'!$B$2:$B62,"&gt;="&amp;$M$1,'Form responses'!$C$2:$C62,"&lt;="&amp;$P$1,'Form responses'!$D$2:$D62,$B4)*Sum!$X$35+sumifs('Form responses'!$ET$2:$ET62,'Form responses'!$B$2:$B62,"&gt;="&amp;$M$1,'Form responses'!$C$2:$C62,"&lt;="&amp;$P$1,'Form responses'!$D$2:$D62,$B4)*Sum!$Y$35</f>
        <v>0</v>
      </c>
      <c r="H4" s="419">
        <f>((
sumifs('Form responses'!$V$2:$V62,'Form responses'!$C$2:$C62,"&gt;="&amp;$M$1,'Form responses'!$C$2:$C62,"&lt;="&amp;$P$1,'Form responses'!$D$2:$D62,$B4)
)*
Sum!$F$35
)+((
sumifs('Form responses'!$W$2:$W62,'Form responses'!$C$2:$C62,"&gt;="&amp;$M$1,'Form responses'!$C$2:$C62,"&lt;="&amp;$P$1,'Form responses'!$D$2:$D62,$B4)
)*
Sum!$G$35
)</f>
        <v>0</v>
      </c>
      <c r="I4" s="419">
        <f>((
sumifs('Form responses'!$X$2:$X62,'Form responses'!$C$2:$C62,"&gt;="&amp;$M$1,'Form responses'!$C$2:$C62,"&lt;="&amp;$P$1,'Form responses'!$D$2:$D62,$B4)
)*Sum!$H$35)+((
sumifs('Form responses'!$Y$2:$Y62,'Form responses'!$C$2:$C62,"&gt;="&amp;$M$1,'Form responses'!$C$2:$C62,"&lt;="&amp;$P$1,'Form responses'!$D$2:$D62,$B4)
)*Sum!$I$35)+((
sumifs('Form responses'!$Z$2:$Z62,'Form responses'!$C$2:$C62,"&gt;="&amp;$M$1,'Form responses'!$C$2:$C62,"&lt;="&amp;$P$1,'Form responses'!$D$2:$D62,$B4)
)*Sum!$Z$35)</f>
        <v>0</v>
      </c>
      <c r="J4" s="419">
        <f t="shared" si="1"/>
        <v>0</v>
      </c>
      <c r="K4" s="419">
        <f>(
sumifs('Form responses'!$AV$2:$AV62,'Form responses'!$C$2:$C62,"&gt;="&amp;$M$1,'Form responses'!$C$2:$C62,"&lt;="&amp;$P$1,'Form responses'!$D$2:$D62,$B4)
+
sumifs('Form responses'!$AW$2:$AW62,'Form responses'!$C$2:$C62,"&gt;="&amp;$M$1,'Form responses'!$C$2:$C62,"&lt;="&amp;$P$1,'Form responses'!$D$2:$D62,$B4)
+
sumifs('Form responses'!$AX$2:$AX62,'Form responses'!$C$2:$C62,"&gt;="&amp;$M$1,'Form responses'!$C$2:$C62,"&lt;="&amp;$P$1,'Form responses'!$D$2:$D62,$B4)
+
sumifs('Form responses'!$AY$2:$AY62,'Form responses'!$C$2:$C62,"&gt;="&amp;$M$1,'Form responses'!$C$2:$C62,"&lt;="&amp;$P$1,'Form responses'!$D$2:$D62,$B4)
)*Sum!$Q$35</f>
        <v>0</v>
      </c>
      <c r="L4" s="419">
        <f>(
sumifs('Form responses'!$BD$2:$BD62,'Form responses'!$C$2:$C62,"&gt;="&amp;$M$1,'Form responses'!$C$2:$C62,"&lt;="&amp;$P$1,'Form responses'!$D$2:$D62,$B4)
+
sumifs('Form responses'!$BE$2:$BE62,'Form responses'!$C$2:$C62,"&gt;="&amp;$M$1,'Form responses'!$C$2:$C62,"&lt;="&amp;$P$1,'Form responses'!$D$2:$D62,$B4)
)*Sum!$R$35</f>
        <v>0</v>
      </c>
      <c r="M4" s="419">
        <f>(
sumifs('Form responses'!$BF$2:$BF62,'Form responses'!$C$2:$C62,"&gt;="&amp;$M$1,'Form responses'!$C$2:$C62,"&lt;="&amp;$P$1,'Form responses'!$D$2:$D62,$B4)
+
sumifs('Form responses'!$BG$2:$BG62,'Form responses'!$C$2:$C62,"&gt;="&amp;$M$1,'Form responses'!$C$2:$C62,"&lt;="&amp;$P$1,'Form responses'!$D$2:$D62,$B4)
)*Sum!$S$35</f>
        <v>0</v>
      </c>
      <c r="N4" s="419">
        <f>sumifs('Form responses'!$BL$2:$BL62,'Form responses'!$C$2:$C62,"&gt;="&amp;$M$1,'Form responses'!$C$2:$C62,"&lt;="&amp;$P$1,'Form responses'!$D$2:$D62,$B4)
*Sum!$T$35</f>
        <v>0</v>
      </c>
      <c r="O4" s="419">
        <f t="shared" si="2"/>
        <v>0</v>
      </c>
      <c r="P4" s="419">
        <f>((sumifs('Form responses'!$BN$2:$BN62,'Form responses'!$C$2:$C62,"&gt;="&amp;$M$1,'Form responses'!$C$2:$C62,"&lt;="&amp;$P$1,'Form responses'!$D$2:$D62,$B4)+
sumifs('Form responses'!$BO$2:$BO62,'Form responses'!$C$2:$C62,"&gt;="&amp;$M$1,'Form responses'!$C$2:$C62,"&lt;="&amp;$P$1,'Form responses'!$D$2:$D62,$B4))*Sum!$U$35)</f>
        <v>0</v>
      </c>
      <c r="Q4" s="419">
        <f t="shared" si="3"/>
        <v>0</v>
      </c>
      <c r="R4" s="346">
        <f t="shared" si="4"/>
        <v>0</v>
      </c>
    </row>
    <row r="5" ht="27.75" customHeight="1">
      <c r="A5" s="417"/>
      <c r="B5" s="418" t="s">
        <v>603</v>
      </c>
      <c r="C5" s="419">
        <f>((sumifs('Form responses'!$G$2:$G62,'Form responses'!$C$2:$C62,"&gt;="&amp;$M$1,'Form responses'!$C$2:$C62,"&lt;="&amp;$P$1,'Form responses'!$D$2:$D62,$B5)
+sumifs('Form responses'!$H$2:$H62,'Form responses'!$C$2:$C62,"&gt;="&amp;$M$1,'Form responses'!$C$2:$C62,"&lt;="&amp;$P$1,'Form responses'!$D$2:$D62,$B5)
+sumifs('Form responses'!$I$2:$I62,'Form responses'!$C$2:$C62,"&gt;="&amp;$M$1,'Form responses'!$C$2:$C62,"&lt;="&amp;$P$1,'Form responses'!$D$2:$D62,$B5)
)*Sum!$B$35)</f>
        <v>0</v>
      </c>
      <c r="D5" s="420">
        <f>((sumifs('Form responses'!$J$2:$J62,'Form responses'!$C$2:$C62,"&gt;="&amp;$M$1,'Form responses'!$C$2:$C62,"&lt;="&amp;$P$1,'Form responses'!$D$2:$D62,$B5))*Sum!$C$35)</f>
        <v>0</v>
      </c>
      <c r="E5" s="419">
        <f>((
sumifs('Form responses'!$S$2:$S62,'Form responses'!$C$2:$C62,"&gt;="&amp;$M$1,'Form responses'!$C$2:$C62,"&lt;="&amp;$P$1,'Form responses'!$D$2:$D62,$B5)
+
sumifs('Form responses'!$T$2:$T62,'Form responses'!$C$2:$C62,"&gt;="&amp;$M$1,'Form responses'!$C$2:$C62,"&lt;="&amp;$P$1,'Form responses'!$D$2:$D62,$B5)
)*Sum!$E$35
)</f>
        <v>0</v>
      </c>
      <c r="F5" s="419">
        <f>sumifs('Form responses'!$U$2:$U62,'Form responses'!$C$2:$C62,"&gt;="&amp;$M$1,'Form responses'!$C$2:$C62,"&lt;="&amp;$P$1,'Form responses'!$D$2:$D62,$B5)
*Sum!$D$35</f>
        <v>0</v>
      </c>
      <c r="G5" s="421">
        <f>sumifs('Form responses'!$EQ$2:$EQ62,'Form responses'!$B$2:$B62,"&gt;="&amp;$M$1,'Form responses'!$C$2:$C62,"&lt;="&amp;$P$1,'Form responses'!$D$2:$D62,$B5)*Sum!$V$35+sumifs('Form responses'!$ER$2:$ER62,'Form responses'!$B$2:$B62,"&gt;="&amp;$M$1,'Form responses'!$C$2:$C62,"&lt;="&amp;$P$1,'Form responses'!$D$2:$D62,$B5)*Sum!$W$35+sumifs('Form responses'!$ES$2:$ES62,'Form responses'!$B$2:$B62,"&gt;="&amp;$M$1,'Form responses'!$C$2:$C62,"&lt;="&amp;$P$1,'Form responses'!$D$2:$D62,$B5)*Sum!$X$35+sumifs('Form responses'!$ET$2:$ET62,'Form responses'!$B$2:$B62,"&gt;="&amp;$M$1,'Form responses'!$C$2:$C62,"&lt;="&amp;$P$1,'Form responses'!$D$2:$D62,$B5)*Sum!$Y$35</f>
        <v>0</v>
      </c>
      <c r="H5" s="419">
        <f>((
sumifs('Form responses'!$V$2:$V62,'Form responses'!$C$2:$C62,"&gt;="&amp;$M$1,'Form responses'!$C$2:$C62,"&lt;="&amp;$P$1,'Form responses'!$D$2:$D62,$B5)
)*
Sum!$F$35
)+((
sumifs('Form responses'!$W$2:$W62,'Form responses'!$C$2:$C62,"&gt;="&amp;$M$1,'Form responses'!$C$2:$C62,"&lt;="&amp;$P$1,'Form responses'!$D$2:$D62,$B5)
)*
Sum!$G$35
)</f>
        <v>0</v>
      </c>
      <c r="I5" s="419">
        <f>((
sumifs('Form responses'!$X$2:$X62,'Form responses'!$C$2:$C62,"&gt;="&amp;$M$1,'Form responses'!$C$2:$C62,"&lt;="&amp;$P$1,'Form responses'!$D$2:$D62,$B5)
)*Sum!$H$35)+((
sumifs('Form responses'!$Y$2:$Y62,'Form responses'!$C$2:$C62,"&gt;="&amp;$M$1,'Form responses'!$C$2:$C62,"&lt;="&amp;$P$1,'Form responses'!$D$2:$D62,$B5)
)*Sum!$I$35)+((
sumifs('Form responses'!$Z$2:$Z62,'Form responses'!$C$2:$C62,"&gt;="&amp;$M$1,'Form responses'!$C$2:$C62,"&lt;="&amp;$P$1,'Form responses'!$D$2:$D62,$B5)
)*Sum!$Z$35)</f>
        <v>0</v>
      </c>
      <c r="J5" s="419">
        <f t="shared" si="1"/>
        <v>0</v>
      </c>
      <c r="K5" s="419">
        <f>(
sumifs('Form responses'!$AV$2:$AV62,'Form responses'!$C$2:$C62,"&gt;="&amp;$M$1,'Form responses'!$C$2:$C62,"&lt;="&amp;$P$1,'Form responses'!$D$2:$D62,$B5)
+
sumifs('Form responses'!$AW$2:$AW62,'Form responses'!$C$2:$C62,"&gt;="&amp;$M$1,'Form responses'!$C$2:$C62,"&lt;="&amp;$P$1,'Form responses'!$D$2:$D62,$B5)
+
sumifs('Form responses'!$AX$2:$AX62,'Form responses'!$C$2:$C62,"&gt;="&amp;$M$1,'Form responses'!$C$2:$C62,"&lt;="&amp;$P$1,'Form responses'!$D$2:$D62,$B5)
+
sumifs('Form responses'!$AY$2:$AY62,'Form responses'!$C$2:$C62,"&gt;="&amp;$M$1,'Form responses'!$C$2:$C62,"&lt;="&amp;$P$1,'Form responses'!$D$2:$D62,$B5)
)*Sum!$Q$35</f>
        <v>0</v>
      </c>
      <c r="L5" s="419">
        <f>(
sumifs('Form responses'!$BD$2:$BD62,'Form responses'!$C$2:$C62,"&gt;="&amp;$M$1,'Form responses'!$C$2:$C62,"&lt;="&amp;$P$1,'Form responses'!$D$2:$D62,$B5)
+
sumifs('Form responses'!$BE$2:$BE62,'Form responses'!$C$2:$C62,"&gt;="&amp;$M$1,'Form responses'!$C$2:$C62,"&lt;="&amp;$P$1,'Form responses'!$D$2:$D62,$B5)
)*Sum!$R$35</f>
        <v>0</v>
      </c>
      <c r="M5" s="419">
        <f>(
sumifs('Form responses'!$BF$2:$BF62,'Form responses'!$C$2:$C62,"&gt;="&amp;$M$1,'Form responses'!$C$2:$C62,"&lt;="&amp;$P$1,'Form responses'!$D$2:$D62,$B5)
+
sumifs('Form responses'!$BG$2:$BG62,'Form responses'!$C$2:$C62,"&gt;="&amp;$M$1,'Form responses'!$C$2:$C62,"&lt;="&amp;$P$1,'Form responses'!$D$2:$D62,$B5)
)*Sum!$S$35</f>
        <v>0</v>
      </c>
      <c r="N5" s="419">
        <f>sumifs('Form responses'!$BL$2:$BL62,'Form responses'!$C$2:$C62,"&gt;="&amp;$M$1,'Form responses'!$C$2:$C62,"&lt;="&amp;$P$1,'Form responses'!$D$2:$D62,$B5)
*Sum!$T$35</f>
        <v>0</v>
      </c>
      <c r="O5" s="419">
        <f t="shared" si="2"/>
        <v>0</v>
      </c>
      <c r="P5" s="419">
        <f>((sumifs('Form responses'!$BN$2:$BN62,'Form responses'!$C$2:$C62,"&gt;="&amp;$M$1,'Form responses'!$C$2:$C62,"&lt;="&amp;$P$1,'Form responses'!$D$2:$D62,$B5)+
sumifs('Form responses'!$BO$2:$BO62,'Form responses'!$C$2:$C62,"&gt;="&amp;$M$1,'Form responses'!$C$2:$C62,"&lt;="&amp;$P$1,'Form responses'!$D$2:$D62,$B5))*Sum!$U$35)</f>
        <v>0</v>
      </c>
      <c r="Q5" s="419">
        <f t="shared" si="3"/>
        <v>0</v>
      </c>
      <c r="R5" s="346">
        <f t="shared" si="4"/>
        <v>0</v>
      </c>
    </row>
    <row r="6" ht="27.75" customHeight="1">
      <c r="A6" s="417"/>
      <c r="B6" s="423" t="s">
        <v>604</v>
      </c>
      <c r="C6" s="419">
        <f>((sumifs('Form responses'!$G$2:$G62,'Form responses'!$C$2:$C62,"&gt;="&amp;$M$1,'Form responses'!$C$2:$C62,"&lt;="&amp;$P$1,'Form responses'!$D$2:$D62,$B6)
+sumifs('Form responses'!$H$2:$H62,'Form responses'!$C$2:$C62,"&gt;="&amp;$M$1,'Form responses'!$C$2:$C62,"&lt;="&amp;$P$1,'Form responses'!$D$2:$D62,$B6)
+sumifs('Form responses'!$I$2:$I62,'Form responses'!$C$2:$C62,"&gt;="&amp;$M$1,'Form responses'!$C$2:$C62,"&lt;="&amp;$P$1,'Form responses'!$D$2:$D62,$B6)
)*Sum!$B$35)</f>
        <v>0</v>
      </c>
      <c r="D6" s="420">
        <f>((sumifs('Form responses'!$J$2:$J62,'Form responses'!$C$2:$C62,"&gt;="&amp;$M$1,'Form responses'!$C$2:$C62,"&lt;="&amp;$P$1,'Form responses'!$D$2:$D62,$B6))*Sum!$C$35)</f>
        <v>0</v>
      </c>
      <c r="E6" s="419">
        <f>((
sumifs('Form responses'!$S$2:$S62,'Form responses'!$C$2:$C62,"&gt;="&amp;$M$1,'Form responses'!$C$2:$C62,"&lt;="&amp;$P$1,'Form responses'!$D$2:$D62,$B6)
+
sumifs('Form responses'!$T$2:$T62,'Form responses'!$C$2:$C62,"&gt;="&amp;$M$1,'Form responses'!$C$2:$C62,"&lt;="&amp;$P$1,'Form responses'!$D$2:$D62,$B6)
)*Sum!$E$35
)</f>
        <v>0</v>
      </c>
      <c r="F6" s="419">
        <f>sumifs('Form responses'!$U$2:$U62,'Form responses'!$C$2:$C62,"&gt;="&amp;$M$1,'Form responses'!$C$2:$C62,"&lt;="&amp;$P$1,'Form responses'!$D$2:$D62,$B6)
*Sum!$D$35</f>
        <v>0</v>
      </c>
      <c r="G6" s="421">
        <f>sumifs('Form responses'!$EQ$2:$EQ62,'Form responses'!$B$2:$B62,"&gt;="&amp;$M$1,'Form responses'!$C$2:$C62,"&lt;="&amp;$P$1,'Form responses'!$D$2:$D62,$B6)*Sum!$V$35+sumifs('Form responses'!$ER$2:$ER62,'Form responses'!$B$2:$B62,"&gt;="&amp;$M$1,'Form responses'!$C$2:$C62,"&lt;="&amp;$P$1,'Form responses'!$D$2:$D62,$B6)*Sum!$W$35+sumifs('Form responses'!$ES$2:$ES62,'Form responses'!$B$2:$B62,"&gt;="&amp;$M$1,'Form responses'!$C$2:$C62,"&lt;="&amp;$P$1,'Form responses'!$D$2:$D62,$B6)*Sum!$X$35+sumifs('Form responses'!$ET$2:$ET62,'Form responses'!$B$2:$B62,"&gt;="&amp;$M$1,'Form responses'!$C$2:$C62,"&lt;="&amp;$P$1,'Form responses'!$D$2:$D62,$B6)*Sum!$Y$35</f>
        <v>0</v>
      </c>
      <c r="H6" s="419">
        <f>((
sumifs('Form responses'!$V$2:$V62,'Form responses'!$C$2:$C62,"&gt;="&amp;$M$1,'Form responses'!$C$2:$C62,"&lt;="&amp;$P$1,'Form responses'!$D$2:$D62,$B6)
)*
Sum!$F$35
)+((
sumifs('Form responses'!$W$2:$W62,'Form responses'!$C$2:$C62,"&gt;="&amp;$M$1,'Form responses'!$C$2:$C62,"&lt;="&amp;$P$1,'Form responses'!$D$2:$D62,$B6)
)*
Sum!$G$35
)</f>
        <v>0</v>
      </c>
      <c r="I6" s="419">
        <f>((
sumifs('Form responses'!$X$2:$X62,'Form responses'!$C$2:$C62,"&gt;="&amp;$M$1,'Form responses'!$C$2:$C62,"&lt;="&amp;$P$1,'Form responses'!$D$2:$D62,$B6)
)*Sum!$H$35)+((
sumifs('Form responses'!$Y$2:$Y62,'Form responses'!$C$2:$C62,"&gt;="&amp;$M$1,'Form responses'!$C$2:$C62,"&lt;="&amp;$P$1,'Form responses'!$D$2:$D62,$B6)
)*Sum!$I$35)+((
sumifs('Form responses'!$Z$2:$Z62,'Form responses'!$C$2:$C62,"&gt;="&amp;$M$1,'Form responses'!$C$2:$C62,"&lt;="&amp;$P$1,'Form responses'!$D$2:$D62,$B6)
)*Sum!$Z$35)</f>
        <v>0</v>
      </c>
      <c r="J6" s="419">
        <f t="shared" si="1"/>
        <v>0</v>
      </c>
      <c r="K6" s="419">
        <f>(
sumifs('Form responses'!$AV$2:$AV62,'Form responses'!$C$2:$C62,"&gt;="&amp;$M$1,'Form responses'!$C$2:$C62,"&lt;="&amp;$P$1,'Form responses'!$D$2:$D62,$B6)
+
sumifs('Form responses'!$AW$2:$AW62,'Form responses'!$C$2:$C62,"&gt;="&amp;$M$1,'Form responses'!$C$2:$C62,"&lt;="&amp;$P$1,'Form responses'!$D$2:$D62,$B6)
+
sumifs('Form responses'!$AX$2:$AX62,'Form responses'!$C$2:$C62,"&gt;="&amp;$M$1,'Form responses'!$C$2:$C62,"&lt;="&amp;$P$1,'Form responses'!$D$2:$D62,$B6)
+
sumifs('Form responses'!$AY$2:$AY62,'Form responses'!$C$2:$C62,"&gt;="&amp;$M$1,'Form responses'!$C$2:$C62,"&lt;="&amp;$P$1,'Form responses'!$D$2:$D62,$B6)
)*Sum!$Q$35</f>
        <v>0</v>
      </c>
      <c r="L6" s="419">
        <f>(
sumifs('Form responses'!$BD$2:$BD62,'Form responses'!$C$2:$C62,"&gt;="&amp;$M$1,'Form responses'!$C$2:$C62,"&lt;="&amp;$P$1,'Form responses'!$D$2:$D62,$B6)
+
sumifs('Form responses'!$BE$2:$BE62,'Form responses'!$C$2:$C62,"&gt;="&amp;$M$1,'Form responses'!$C$2:$C62,"&lt;="&amp;$P$1,'Form responses'!$D$2:$D62,$B6)
)*Sum!$R$35</f>
        <v>0</v>
      </c>
      <c r="M6" s="419">
        <f>(
sumifs('Form responses'!$BF$2:$BF62,'Form responses'!$C$2:$C62,"&gt;="&amp;$M$1,'Form responses'!$C$2:$C62,"&lt;="&amp;$P$1,'Form responses'!$D$2:$D62,$B6)
+
sumifs('Form responses'!$BG$2:$BG62,'Form responses'!$C$2:$C62,"&gt;="&amp;$M$1,'Form responses'!$C$2:$C62,"&lt;="&amp;$P$1,'Form responses'!$D$2:$D62,$B6)
)*Sum!$S$35</f>
        <v>0</v>
      </c>
      <c r="N6" s="419">
        <f>sumifs('Form responses'!$BL$2:$BL62,'Form responses'!$C$2:$C62,"&gt;="&amp;$M$1,'Form responses'!$C$2:$C62,"&lt;="&amp;$P$1,'Form responses'!$D$2:$D62,$B6)
*Sum!$T$35</f>
        <v>0</v>
      </c>
      <c r="O6" s="419">
        <f t="shared" si="2"/>
        <v>0</v>
      </c>
      <c r="P6" s="419">
        <f>((sumifs('Form responses'!$BN$2:$BN62,'Form responses'!$C$2:$C62,"&gt;="&amp;$M$1,'Form responses'!$C$2:$C62,"&lt;="&amp;$P$1,'Form responses'!$D$2:$D62,$B6)+
sumifs('Form responses'!$BO$2:$BO62,'Form responses'!$C$2:$C62,"&gt;="&amp;$M$1,'Form responses'!$C$2:$C62,"&lt;="&amp;$P$1,'Form responses'!$D$2:$D62,$B6))*Sum!$U$35)</f>
        <v>0</v>
      </c>
      <c r="Q6" s="419">
        <f t="shared" si="3"/>
        <v>0</v>
      </c>
      <c r="R6" s="346">
        <f t="shared" si="4"/>
        <v>0</v>
      </c>
    </row>
    <row r="7" ht="27.75" customHeight="1">
      <c r="A7" s="417"/>
      <c r="B7" s="418" t="s">
        <v>605</v>
      </c>
      <c r="C7" s="419">
        <f>((sumifs('Form responses'!$G$2:$G62,'Form responses'!$C$2:$C62,"&gt;="&amp;$M$1,'Form responses'!$C$2:$C62,"&lt;="&amp;$P$1,'Form responses'!$D$2:$D62,$B7)
+sumifs('Form responses'!$H$2:$H62,'Form responses'!$C$2:$C62,"&gt;="&amp;$M$1,'Form responses'!$C$2:$C62,"&lt;="&amp;$P$1,'Form responses'!$D$2:$D62,$B7)
+sumifs('Form responses'!$I$2:$I62,'Form responses'!$C$2:$C62,"&gt;="&amp;$M$1,'Form responses'!$C$2:$C62,"&lt;="&amp;$P$1,'Form responses'!$D$2:$D62,$B7)
)*Sum!$B$35)</f>
        <v>0</v>
      </c>
      <c r="D7" s="420">
        <f>((sumifs('Form responses'!$J$2:$J62,'Form responses'!$C$2:$C62,"&gt;="&amp;$M$1,'Form responses'!$C$2:$C62,"&lt;="&amp;$P$1,'Form responses'!$D$2:$D62,$B7))*Sum!$C$35)</f>
        <v>0</v>
      </c>
      <c r="E7" s="419">
        <f>((
sumifs('Form responses'!$S$2:$S62,'Form responses'!$C$2:$C62,"&gt;="&amp;$M$1,'Form responses'!$C$2:$C62,"&lt;="&amp;$P$1,'Form responses'!$D$2:$D62,$B7)
+
sumifs('Form responses'!$T$2:$T62,'Form responses'!$C$2:$C62,"&gt;="&amp;$M$1,'Form responses'!$C$2:$C62,"&lt;="&amp;$P$1,'Form responses'!$D$2:$D62,$B7)
)*Sum!$E$35
)</f>
        <v>0</v>
      </c>
      <c r="F7" s="419">
        <f>sumifs('Form responses'!$U$2:$U62,'Form responses'!$C$2:$C62,"&gt;="&amp;$M$1,'Form responses'!$C$2:$C62,"&lt;="&amp;$P$1,'Form responses'!$D$2:$D62,$B7)
*Sum!$D$35</f>
        <v>0</v>
      </c>
      <c r="G7" s="421">
        <f>sumifs('Form responses'!$EQ$2:$EQ62,'Form responses'!$B$2:$B62,"&gt;="&amp;$M$1,'Form responses'!$C$2:$C62,"&lt;="&amp;$P$1,'Form responses'!$D$2:$D62,$B7)*Sum!$V$35+sumifs('Form responses'!$ER$2:$ER62,'Form responses'!$B$2:$B62,"&gt;="&amp;$M$1,'Form responses'!$C$2:$C62,"&lt;="&amp;$P$1,'Form responses'!$D$2:$D62,$B7)*Sum!$W$35+sumifs('Form responses'!$ES$2:$ES62,'Form responses'!$B$2:$B62,"&gt;="&amp;$M$1,'Form responses'!$C$2:$C62,"&lt;="&amp;$P$1,'Form responses'!$D$2:$D62,$B7)*Sum!$X$35+sumifs('Form responses'!$ET$2:$ET62,'Form responses'!$B$2:$B62,"&gt;="&amp;$M$1,'Form responses'!$C$2:$C62,"&lt;="&amp;$P$1,'Form responses'!$D$2:$D62,$B7)*Sum!$Y$35</f>
        <v>0</v>
      </c>
      <c r="H7" s="419">
        <f>((
sumifs('Form responses'!$V$2:$V62,'Form responses'!$C$2:$C62,"&gt;="&amp;$M$1,'Form responses'!$C$2:$C62,"&lt;="&amp;$P$1,'Form responses'!$D$2:$D62,$B7)
)*
Sum!$F$35
)+((
sumifs('Form responses'!$W$2:$W62,'Form responses'!$C$2:$C62,"&gt;="&amp;$M$1,'Form responses'!$C$2:$C62,"&lt;="&amp;$P$1,'Form responses'!$D$2:$D62,$B7)
)*
Sum!$G$35
)</f>
        <v>0</v>
      </c>
      <c r="I7" s="419">
        <f>((
sumifs('Form responses'!$X$2:$X62,'Form responses'!$C$2:$C62,"&gt;="&amp;$M$1,'Form responses'!$C$2:$C62,"&lt;="&amp;$P$1,'Form responses'!$D$2:$D62,$B7)
)*Sum!$H$35)+((
sumifs('Form responses'!$Y$2:$Y62,'Form responses'!$C$2:$C62,"&gt;="&amp;$M$1,'Form responses'!$C$2:$C62,"&lt;="&amp;$P$1,'Form responses'!$D$2:$D62,$B7)
)*Sum!$I$35)+((
sumifs('Form responses'!$Z$2:$Z62,'Form responses'!$C$2:$C62,"&gt;="&amp;$M$1,'Form responses'!$C$2:$C62,"&lt;="&amp;$P$1,'Form responses'!$D$2:$D62,$B7)
)*Sum!$Z$35)</f>
        <v>0</v>
      </c>
      <c r="J7" s="419">
        <f t="shared" si="1"/>
        <v>0</v>
      </c>
      <c r="K7" s="419">
        <f>(
sumifs('Form responses'!$AV$2:$AV62,'Form responses'!$C$2:$C62,"&gt;="&amp;$M$1,'Form responses'!$C$2:$C62,"&lt;="&amp;$P$1,'Form responses'!$D$2:$D62,$B7)
+
sumifs('Form responses'!$AW$2:$AW62,'Form responses'!$C$2:$C62,"&gt;="&amp;$M$1,'Form responses'!$C$2:$C62,"&lt;="&amp;$P$1,'Form responses'!$D$2:$D62,$B7)
+
sumifs('Form responses'!$AX$2:$AX62,'Form responses'!$C$2:$C62,"&gt;="&amp;$M$1,'Form responses'!$C$2:$C62,"&lt;="&amp;$P$1,'Form responses'!$D$2:$D62,$B7)
+
sumifs('Form responses'!$AY$2:$AY62,'Form responses'!$C$2:$C62,"&gt;="&amp;$M$1,'Form responses'!$C$2:$C62,"&lt;="&amp;$P$1,'Form responses'!$D$2:$D62,$B7)
)*Sum!$Q$35</f>
        <v>0</v>
      </c>
      <c r="L7" s="419">
        <f>(
sumifs('Form responses'!$BD$2:$BD62,'Form responses'!$C$2:$C62,"&gt;="&amp;$M$1,'Form responses'!$C$2:$C62,"&lt;="&amp;$P$1,'Form responses'!$D$2:$D62,$B7)
+
sumifs('Form responses'!$BE$2:$BE62,'Form responses'!$C$2:$C62,"&gt;="&amp;$M$1,'Form responses'!$C$2:$C62,"&lt;="&amp;$P$1,'Form responses'!$D$2:$D62,$B7)
)*Sum!$R$35</f>
        <v>0</v>
      </c>
      <c r="M7" s="419">
        <f>(
sumifs('Form responses'!$BF$2:$BF62,'Form responses'!$C$2:$C62,"&gt;="&amp;$M$1,'Form responses'!$C$2:$C62,"&lt;="&amp;$P$1,'Form responses'!$D$2:$D62,$B7)
+
sumifs('Form responses'!$BG$2:$BG62,'Form responses'!$C$2:$C62,"&gt;="&amp;$M$1,'Form responses'!$C$2:$C62,"&lt;="&amp;$P$1,'Form responses'!$D$2:$D62,$B7)
)*Sum!$S$35</f>
        <v>0</v>
      </c>
      <c r="N7" s="419">
        <f>sumifs('Form responses'!$BL$2:$BL62,'Form responses'!$C$2:$C62,"&gt;="&amp;$M$1,'Form responses'!$C$2:$C62,"&lt;="&amp;$P$1,'Form responses'!$D$2:$D62,$B7)
*Sum!$T$35</f>
        <v>0</v>
      </c>
      <c r="O7" s="419">
        <f t="shared" si="2"/>
        <v>0</v>
      </c>
      <c r="P7" s="419">
        <f>((sumifs('Form responses'!$BN$2:$BN62,'Form responses'!$C$2:$C62,"&gt;="&amp;$M$1,'Form responses'!$C$2:$C62,"&lt;="&amp;$P$1,'Form responses'!$D$2:$D62,$B7)+
sumifs('Form responses'!$BO$2:$BO62,'Form responses'!$C$2:$C62,"&gt;="&amp;$M$1,'Form responses'!$C$2:$C62,"&lt;="&amp;$P$1,'Form responses'!$D$2:$D62,$B7))*Sum!$U$35)</f>
        <v>0</v>
      </c>
      <c r="Q7" s="419">
        <f t="shared" si="3"/>
        <v>0</v>
      </c>
      <c r="R7" s="346">
        <f t="shared" si="4"/>
        <v>0</v>
      </c>
    </row>
    <row r="8" ht="27.75" customHeight="1">
      <c r="A8" s="417"/>
      <c r="B8" s="423" t="s">
        <v>606</v>
      </c>
      <c r="C8" s="419">
        <f>((sumifs('Form responses'!$G$2:$G62,'Form responses'!$C$2:$C62,"&gt;="&amp;$M$1,'Form responses'!$C$2:$C62,"&lt;="&amp;$P$1,'Form responses'!$D$2:$D62,$B8)
+sumifs('Form responses'!$H$2:$H62,'Form responses'!$C$2:$C62,"&gt;="&amp;$M$1,'Form responses'!$C$2:$C62,"&lt;="&amp;$P$1,'Form responses'!$D$2:$D62,$B8)
+sumifs('Form responses'!$I$2:$I62,'Form responses'!$C$2:$C62,"&gt;="&amp;$M$1,'Form responses'!$C$2:$C62,"&lt;="&amp;$P$1,'Form responses'!$D$2:$D62,$B8)
)*Sum!$B$35)</f>
        <v>0</v>
      </c>
      <c r="D8" s="420">
        <f>((sumifs('Form responses'!$J$2:$J62,'Form responses'!$C$2:$C62,"&gt;="&amp;$M$1,'Form responses'!$C$2:$C62,"&lt;="&amp;$P$1,'Form responses'!$D$2:$D62,$B8))*Sum!$C$35)</f>
        <v>0</v>
      </c>
      <c r="E8" s="419">
        <f>((
sumifs('Form responses'!$S$2:$S62,'Form responses'!$C$2:$C62,"&gt;="&amp;$M$1,'Form responses'!$C$2:$C62,"&lt;="&amp;$P$1,'Form responses'!$D$2:$D62,$B8)
+
sumifs('Form responses'!$T$2:$T62,'Form responses'!$C$2:$C62,"&gt;="&amp;$M$1,'Form responses'!$C$2:$C62,"&lt;="&amp;$P$1,'Form responses'!$D$2:$D62,$B8)
)*Sum!$E$35
)</f>
        <v>0</v>
      </c>
      <c r="F8" s="419">
        <f>sumifs('Form responses'!$U$2:$U62,'Form responses'!$C$2:$C62,"&gt;="&amp;$M$1,'Form responses'!$C$2:$C62,"&lt;="&amp;$P$1,'Form responses'!$D$2:$D62,$B8)
*Sum!$D$35</f>
        <v>0</v>
      </c>
      <c r="G8" s="421">
        <f>sumifs('Form responses'!$EQ$2:$EQ62,'Form responses'!$B$2:$B62,"&gt;="&amp;$M$1,'Form responses'!$C$2:$C62,"&lt;="&amp;$P$1,'Form responses'!$D$2:$D62,$B8)*Sum!$V$35+sumifs('Form responses'!$ER$2:$ER62,'Form responses'!$B$2:$B62,"&gt;="&amp;$M$1,'Form responses'!$C$2:$C62,"&lt;="&amp;$P$1,'Form responses'!$D$2:$D62,$B8)*Sum!$W$35+sumifs('Form responses'!$ES$2:$ES62,'Form responses'!$B$2:$B62,"&gt;="&amp;$M$1,'Form responses'!$C$2:$C62,"&lt;="&amp;$P$1,'Form responses'!$D$2:$D62,$B8)*Sum!$X$35+sumifs('Form responses'!$ET$2:$ET62,'Form responses'!$B$2:$B62,"&gt;="&amp;$M$1,'Form responses'!$C$2:$C62,"&lt;="&amp;$P$1,'Form responses'!$D$2:$D62,$B8)*Sum!$Y$35</f>
        <v>0</v>
      </c>
      <c r="H8" s="419">
        <f>((
sumifs('Form responses'!$V$2:$V62,'Form responses'!$C$2:$C62,"&gt;="&amp;$M$1,'Form responses'!$C$2:$C62,"&lt;="&amp;$P$1,'Form responses'!$D$2:$D62,$B8)
)*
Sum!$F$35
)+((
sumifs('Form responses'!$W$2:$W62,'Form responses'!$C$2:$C62,"&gt;="&amp;$M$1,'Form responses'!$C$2:$C62,"&lt;="&amp;$P$1,'Form responses'!$D$2:$D62,$B8)
)*
Sum!$G$35
)</f>
        <v>0</v>
      </c>
      <c r="I8" s="419">
        <f>((
sumifs('Form responses'!$X$2:$X62,'Form responses'!$C$2:$C62,"&gt;="&amp;$M$1,'Form responses'!$C$2:$C62,"&lt;="&amp;$P$1,'Form responses'!$D$2:$D62,$B8)
)*Sum!$H$35)+((
sumifs('Form responses'!$Y$2:$Y62,'Form responses'!$C$2:$C62,"&gt;="&amp;$M$1,'Form responses'!$C$2:$C62,"&lt;="&amp;$P$1,'Form responses'!$D$2:$D62,$B8)
)*Sum!$I$35)+((
sumifs('Form responses'!$Z$2:$Z62,'Form responses'!$C$2:$C62,"&gt;="&amp;$M$1,'Form responses'!$C$2:$C62,"&lt;="&amp;$P$1,'Form responses'!$D$2:$D62,$B8)
)*Sum!$Z$35)</f>
        <v>0</v>
      </c>
      <c r="J8" s="419">
        <f t="shared" si="1"/>
        <v>0</v>
      </c>
      <c r="K8" s="419">
        <f>(
sumifs('Form responses'!$AV$2:$AV62,'Form responses'!$C$2:$C62,"&gt;="&amp;$M$1,'Form responses'!$C$2:$C62,"&lt;="&amp;$P$1,'Form responses'!$D$2:$D62,$B8)
+
sumifs('Form responses'!$AW$2:$AW62,'Form responses'!$C$2:$C62,"&gt;="&amp;$M$1,'Form responses'!$C$2:$C62,"&lt;="&amp;$P$1,'Form responses'!$D$2:$D62,$B8)
+
sumifs('Form responses'!$AX$2:$AX62,'Form responses'!$C$2:$C62,"&gt;="&amp;$M$1,'Form responses'!$C$2:$C62,"&lt;="&amp;$P$1,'Form responses'!$D$2:$D62,$B8)
+
sumifs('Form responses'!$AY$2:$AY62,'Form responses'!$C$2:$C62,"&gt;="&amp;$M$1,'Form responses'!$C$2:$C62,"&lt;="&amp;$P$1,'Form responses'!$D$2:$D62,$B8)
)*Sum!$Q$35</f>
        <v>0</v>
      </c>
      <c r="L8" s="419">
        <f>(
sumifs('Form responses'!$BD$2:$BD62,'Form responses'!$C$2:$C62,"&gt;="&amp;$M$1,'Form responses'!$C$2:$C62,"&lt;="&amp;$P$1,'Form responses'!$D$2:$D62,$B8)
+
sumifs('Form responses'!$BE$2:$BE62,'Form responses'!$C$2:$C62,"&gt;="&amp;$M$1,'Form responses'!$C$2:$C62,"&lt;="&amp;$P$1,'Form responses'!$D$2:$D62,$B8)
)*Sum!$R$35</f>
        <v>0</v>
      </c>
      <c r="M8" s="419">
        <f>(
sumifs('Form responses'!$BF$2:$BF62,'Form responses'!$C$2:$C62,"&gt;="&amp;$M$1,'Form responses'!$C$2:$C62,"&lt;="&amp;$P$1,'Form responses'!$D$2:$D62,$B8)
+
sumifs('Form responses'!$BG$2:$BG62,'Form responses'!$C$2:$C62,"&gt;="&amp;$M$1,'Form responses'!$C$2:$C62,"&lt;="&amp;$P$1,'Form responses'!$D$2:$D62,$B8)
)*Sum!$S$35</f>
        <v>0</v>
      </c>
      <c r="N8" s="419">
        <f>sumifs('Form responses'!$BL$2:$BL62,'Form responses'!$C$2:$C62,"&gt;="&amp;$M$1,'Form responses'!$C$2:$C62,"&lt;="&amp;$P$1,'Form responses'!$D$2:$D62,$B8)
*Sum!$T$35</f>
        <v>0</v>
      </c>
      <c r="O8" s="419">
        <f t="shared" si="2"/>
        <v>0</v>
      </c>
      <c r="P8" s="419">
        <f>((sumifs('Form responses'!$BN$2:$BN62,'Form responses'!$C$2:$C62,"&gt;="&amp;$M$1,'Form responses'!$C$2:$C62,"&lt;="&amp;$P$1,'Form responses'!$D$2:$D62,$B8)+
sumifs('Form responses'!$BO$2:$BO62,'Form responses'!$C$2:$C62,"&gt;="&amp;$M$1,'Form responses'!$C$2:$C62,"&lt;="&amp;$P$1,'Form responses'!$D$2:$D62,$B8))*Sum!$U$35)</f>
        <v>0</v>
      </c>
      <c r="Q8" s="419">
        <f t="shared" si="3"/>
        <v>0</v>
      </c>
      <c r="R8" s="346">
        <f t="shared" si="4"/>
        <v>0</v>
      </c>
    </row>
    <row r="9" ht="27.75" customHeight="1">
      <c r="A9" s="424">
        <v>2.0</v>
      </c>
      <c r="B9" s="423" t="s">
        <v>607</v>
      </c>
      <c r="C9" s="419">
        <f>((sumifs('Form responses'!$G$2:$G62,'Form responses'!$C$2:$C62,"&gt;="&amp;$M$1,'Form responses'!$C$2:$C62,"&lt;="&amp;$P$1,'Form responses'!$D$2:$D62,$B9)
+sumifs('Form responses'!$H$2:$H62,'Form responses'!$C$2:$C62,"&gt;="&amp;$M$1,'Form responses'!$C$2:$C62,"&lt;="&amp;$P$1,'Form responses'!$D$2:$D62,$B9)
+sumifs('Form responses'!$I$2:$I62,'Form responses'!$C$2:$C62,"&gt;="&amp;$M$1,'Form responses'!$C$2:$C62,"&lt;="&amp;$P$1,'Form responses'!$D$2:$D62,$B9)
)*Sum!$B$35)</f>
        <v>0</v>
      </c>
      <c r="D9" s="420">
        <f>((sumifs('Form responses'!$J$2:$J62,'Form responses'!$C$2:$C62,"&gt;="&amp;$M$1,'Form responses'!$C$2:$C62,"&lt;="&amp;$P$1,'Form responses'!$D$2:$D62,$B9))*Sum!$C$35)</f>
        <v>0</v>
      </c>
      <c r="E9" s="419">
        <f>((
sumifs('Form responses'!$S$2:$S62,'Form responses'!$C$2:$C62,"&gt;="&amp;$M$1,'Form responses'!$C$2:$C62,"&lt;="&amp;$P$1,'Form responses'!$D$2:$D62,$B9)
+
sumifs('Form responses'!$T$2:$T62,'Form responses'!$C$2:$C62,"&gt;="&amp;$M$1,'Form responses'!$C$2:$C62,"&lt;="&amp;$P$1,'Form responses'!$D$2:$D62,$B9)
)*Sum!$E$35
)</f>
        <v>0</v>
      </c>
      <c r="F9" s="419">
        <f>sumifs('Form responses'!$U$2:$U62,'Form responses'!$C$2:$C62,"&gt;="&amp;$M$1,'Form responses'!$C$2:$C62,"&lt;="&amp;$P$1,'Form responses'!$D$2:$D62,$B9)
*Sum!$D$35</f>
        <v>0</v>
      </c>
      <c r="G9" s="421">
        <f>sumifs('Form responses'!$EQ$2:$EQ62,'Form responses'!$B$2:$B62,"&gt;="&amp;$M$1,'Form responses'!$C$2:$C62,"&lt;="&amp;$P$1,'Form responses'!$D$2:$D62,$B9)*Sum!$V$35+sumifs('Form responses'!$ER$2:$ER62,'Form responses'!$B$2:$B62,"&gt;="&amp;$M$1,'Form responses'!$C$2:$C62,"&lt;="&amp;$P$1,'Form responses'!$D$2:$D62,$B9)*Sum!$W$35+sumifs('Form responses'!$ES$2:$ES62,'Form responses'!$B$2:$B62,"&gt;="&amp;$M$1,'Form responses'!$C$2:$C62,"&lt;="&amp;$P$1,'Form responses'!$D$2:$D62,$B9)*Sum!$X$35+sumifs('Form responses'!$ET$2:$ET62,'Form responses'!$B$2:$B62,"&gt;="&amp;$M$1,'Form responses'!$C$2:$C62,"&lt;="&amp;$P$1,'Form responses'!$D$2:$D62,$B9)*Sum!$Y$35</f>
        <v>0</v>
      </c>
      <c r="H9" s="419">
        <f>((
sumifs('Form responses'!$V$2:$V62,'Form responses'!$C$2:$C62,"&gt;="&amp;$M$1,'Form responses'!$C$2:$C62,"&lt;="&amp;$P$1,'Form responses'!$D$2:$D62,$B9)
)*
Sum!$F$35
)+((
sumifs('Form responses'!$W$2:$W62,'Form responses'!$C$2:$C62,"&gt;="&amp;$M$1,'Form responses'!$C$2:$C62,"&lt;="&amp;$P$1,'Form responses'!$D$2:$D62,$B9)
)*
Sum!$G$35
)</f>
        <v>0</v>
      </c>
      <c r="I9" s="419">
        <f>((
sumifs('Form responses'!$X$2:$X62,'Form responses'!$C$2:$C62,"&gt;="&amp;$M$1,'Form responses'!$C$2:$C62,"&lt;="&amp;$P$1,'Form responses'!$D$2:$D62,$B9)
)*Sum!$H$35)+((
sumifs('Form responses'!$Y$2:$Y62,'Form responses'!$C$2:$C62,"&gt;="&amp;$M$1,'Form responses'!$C$2:$C62,"&lt;="&amp;$P$1,'Form responses'!$D$2:$D62,$B9)
)*Sum!$I$35)+((
sumifs('Form responses'!$Z$2:$Z62,'Form responses'!$C$2:$C62,"&gt;="&amp;$M$1,'Form responses'!$C$2:$C62,"&lt;="&amp;$P$1,'Form responses'!$D$2:$D62,$B9)
)*Sum!$Z$35)</f>
        <v>0</v>
      </c>
      <c r="J9" s="419">
        <f t="shared" si="1"/>
        <v>0</v>
      </c>
      <c r="K9" s="419">
        <f>(
sumifs('Form responses'!$AV$2:$AV62,'Form responses'!$C$2:$C62,"&gt;="&amp;$M$1,'Form responses'!$C$2:$C62,"&lt;="&amp;$P$1,'Form responses'!$D$2:$D62,$B9)
+
sumifs('Form responses'!$AW$2:$AW62,'Form responses'!$C$2:$C62,"&gt;="&amp;$M$1,'Form responses'!$C$2:$C62,"&lt;="&amp;$P$1,'Form responses'!$D$2:$D62,$B9)
+
sumifs('Form responses'!$AX$2:$AX62,'Form responses'!$C$2:$C62,"&gt;="&amp;$M$1,'Form responses'!$C$2:$C62,"&lt;="&amp;$P$1,'Form responses'!$D$2:$D62,$B9)
+
sumifs('Form responses'!$AY$2:$AY62,'Form responses'!$C$2:$C62,"&gt;="&amp;$M$1,'Form responses'!$C$2:$C62,"&lt;="&amp;$P$1,'Form responses'!$D$2:$D62,$B9)
)*Sum!$Q$35</f>
        <v>0</v>
      </c>
      <c r="L9" s="419">
        <f>(
sumifs('Form responses'!$BD$2:$BD62,'Form responses'!$C$2:$C62,"&gt;="&amp;$M$1,'Form responses'!$C$2:$C62,"&lt;="&amp;$P$1,'Form responses'!$D$2:$D62,$B9)
+
sumifs('Form responses'!$BE$2:$BE62,'Form responses'!$C$2:$C62,"&gt;="&amp;$M$1,'Form responses'!$C$2:$C62,"&lt;="&amp;$P$1,'Form responses'!$D$2:$D62,$B9)
)*Sum!$R$35</f>
        <v>0</v>
      </c>
      <c r="M9" s="419">
        <f>(
sumifs('Form responses'!$BF$2:$BF62,'Form responses'!$C$2:$C62,"&gt;="&amp;$M$1,'Form responses'!$C$2:$C62,"&lt;="&amp;$P$1,'Form responses'!$D$2:$D62,$B9)
+
sumifs('Form responses'!$BG$2:$BG62,'Form responses'!$C$2:$C62,"&gt;="&amp;$M$1,'Form responses'!$C$2:$C62,"&lt;="&amp;$P$1,'Form responses'!$D$2:$D62,$B9)
)*Sum!$S$35</f>
        <v>0</v>
      </c>
      <c r="N9" s="419">
        <f>sumifs('Form responses'!$BL$2:$BL62,'Form responses'!$C$2:$C62,"&gt;="&amp;$M$1,'Form responses'!$C$2:$C62,"&lt;="&amp;$P$1,'Form responses'!$D$2:$D62,$B9)
*Sum!$T$35</f>
        <v>0</v>
      </c>
      <c r="O9" s="419">
        <f t="shared" si="2"/>
        <v>0</v>
      </c>
      <c r="P9" s="419">
        <f>((sumifs('Form responses'!$BN$2:$BN62,'Form responses'!$C$2:$C62,"&gt;="&amp;$M$1,'Form responses'!$C$2:$C62,"&lt;="&amp;$P$1,'Form responses'!$D$2:$D62,$B9)+
sumifs('Form responses'!$BO$2:$BO62,'Form responses'!$C$2:$C62,"&gt;="&amp;$M$1,'Form responses'!$C$2:$C62,"&lt;="&amp;$P$1,'Form responses'!$D$2:$D62,$B9))*Sum!$U$35)</f>
        <v>0</v>
      </c>
      <c r="Q9" s="419">
        <f t="shared" si="3"/>
        <v>0</v>
      </c>
      <c r="R9" s="346">
        <f t="shared" si="4"/>
        <v>0</v>
      </c>
    </row>
    <row r="10" ht="27.75" customHeight="1">
      <c r="A10" s="424"/>
      <c r="B10" s="418" t="s">
        <v>608</v>
      </c>
      <c r="C10" s="419">
        <f>((sumifs('Form responses'!$G$2:$G62,'Form responses'!$C$2:$C62,"&gt;="&amp;$M$1,'Form responses'!$C$2:$C62,"&lt;="&amp;$P$1,'Form responses'!$D$2:$D62,$B10)
+sumifs('Form responses'!$H$2:$H62,'Form responses'!$C$2:$C62,"&gt;="&amp;$M$1,'Form responses'!$C$2:$C62,"&lt;="&amp;$P$1,'Form responses'!$D$2:$D62,$B10)
+sumifs('Form responses'!$I$2:$I62,'Form responses'!$C$2:$C62,"&gt;="&amp;$M$1,'Form responses'!$C$2:$C62,"&lt;="&amp;$P$1,'Form responses'!$D$2:$D62,$B10)
)*Sum!$B$35)</f>
        <v>0</v>
      </c>
      <c r="D10" s="420">
        <f>((sumifs('Form responses'!$J$2:$J62,'Form responses'!$C$2:$C62,"&gt;="&amp;$M$1,'Form responses'!$C$2:$C62,"&lt;="&amp;$P$1,'Form responses'!$D$2:$D62,$B10))*Sum!$C$35)</f>
        <v>0</v>
      </c>
      <c r="E10" s="419">
        <f>((
sumifs('Form responses'!$S$2:$S62,'Form responses'!$C$2:$C62,"&gt;="&amp;$M$1,'Form responses'!$C$2:$C62,"&lt;="&amp;$P$1,'Form responses'!$D$2:$D62,$B10)
+
sumifs('Form responses'!$T$2:$T62,'Form responses'!$C$2:$C62,"&gt;="&amp;$M$1,'Form responses'!$C$2:$C62,"&lt;="&amp;$P$1,'Form responses'!$D$2:$D62,$B10)
)*Sum!$E$35
)</f>
        <v>0</v>
      </c>
      <c r="F10" s="419">
        <f>sumifs('Form responses'!$U$2:$U62,'Form responses'!$C$2:$C62,"&gt;="&amp;$M$1,'Form responses'!$C$2:$C62,"&lt;="&amp;$P$1,'Form responses'!$D$2:$D62,$B10)
*Sum!$D$35</f>
        <v>0</v>
      </c>
      <c r="G10" s="421">
        <f>sumifs('Form responses'!$EQ$2:$EQ62,'Form responses'!$B$2:$B62,"&gt;="&amp;$M$1,'Form responses'!$C$2:$C62,"&lt;="&amp;$P$1,'Form responses'!$D$2:$D62,$B10)*Sum!$V$35+sumifs('Form responses'!$ER$2:$ER62,'Form responses'!$B$2:$B62,"&gt;="&amp;$M$1,'Form responses'!$C$2:$C62,"&lt;="&amp;$P$1,'Form responses'!$D$2:$D62,$B10)*Sum!$W$35+sumifs('Form responses'!$ES$2:$ES62,'Form responses'!$B$2:$B62,"&gt;="&amp;$M$1,'Form responses'!$C$2:$C62,"&lt;="&amp;$P$1,'Form responses'!$D$2:$D62,$B10)*Sum!$X$35+sumifs('Form responses'!$ET$2:$ET62,'Form responses'!$B$2:$B62,"&gt;="&amp;$M$1,'Form responses'!$C$2:$C62,"&lt;="&amp;$P$1,'Form responses'!$D$2:$D62,$B10)*Sum!$Y$35</f>
        <v>0</v>
      </c>
      <c r="H10" s="419">
        <f>((
sumifs('Form responses'!$V$2:$V62,'Form responses'!$C$2:$C62,"&gt;="&amp;$M$1,'Form responses'!$C$2:$C62,"&lt;="&amp;$P$1,'Form responses'!$D$2:$D62,$B10)
)*
Sum!$F$35
)+((
sumifs('Form responses'!$W$2:$W62,'Form responses'!$C$2:$C62,"&gt;="&amp;$M$1,'Form responses'!$C$2:$C62,"&lt;="&amp;$P$1,'Form responses'!$D$2:$D62,$B10)
)*
Sum!$G$35
)</f>
        <v>0</v>
      </c>
      <c r="I10" s="419">
        <f>((
sumifs('Form responses'!$X$2:$X62,'Form responses'!$C$2:$C62,"&gt;="&amp;$M$1,'Form responses'!$C$2:$C62,"&lt;="&amp;$P$1,'Form responses'!$D$2:$D62,$B10)
)*Sum!$H$35)+((
sumifs('Form responses'!$Y$2:$Y62,'Form responses'!$C$2:$C62,"&gt;="&amp;$M$1,'Form responses'!$C$2:$C62,"&lt;="&amp;$P$1,'Form responses'!$D$2:$D62,$B10)
)*Sum!$I$35)+((
sumifs('Form responses'!$Z$2:$Z62,'Form responses'!$C$2:$C62,"&gt;="&amp;$M$1,'Form responses'!$C$2:$C62,"&lt;="&amp;$P$1,'Form responses'!$D$2:$D62,$B10)
)*Sum!$Z$35)</f>
        <v>0</v>
      </c>
      <c r="J10" s="419">
        <f t="shared" si="1"/>
        <v>0</v>
      </c>
      <c r="K10" s="419">
        <f>(
sumifs('Form responses'!$AV$2:$AV62,'Form responses'!$C$2:$C62,"&gt;="&amp;$M$1,'Form responses'!$C$2:$C62,"&lt;="&amp;$P$1,'Form responses'!$D$2:$D62,$B10)
+
sumifs('Form responses'!$AW$2:$AW62,'Form responses'!$C$2:$C62,"&gt;="&amp;$M$1,'Form responses'!$C$2:$C62,"&lt;="&amp;$P$1,'Form responses'!$D$2:$D62,$B10)
+
sumifs('Form responses'!$AX$2:$AX62,'Form responses'!$C$2:$C62,"&gt;="&amp;$M$1,'Form responses'!$C$2:$C62,"&lt;="&amp;$P$1,'Form responses'!$D$2:$D62,$B10)
+
sumifs('Form responses'!$AY$2:$AY62,'Form responses'!$C$2:$C62,"&gt;="&amp;$M$1,'Form responses'!$C$2:$C62,"&lt;="&amp;$P$1,'Form responses'!$D$2:$D62,$B10)
)*Sum!$Q$35</f>
        <v>0</v>
      </c>
      <c r="L10" s="419">
        <f>(
sumifs('Form responses'!$BD$2:$BD62,'Form responses'!$C$2:$C62,"&gt;="&amp;$M$1,'Form responses'!$C$2:$C62,"&lt;="&amp;$P$1,'Form responses'!$D$2:$D62,$B10)
+
sumifs('Form responses'!$BE$2:$BE62,'Form responses'!$C$2:$C62,"&gt;="&amp;$M$1,'Form responses'!$C$2:$C62,"&lt;="&amp;$P$1,'Form responses'!$D$2:$D62,$B10)
)*Sum!$R$35</f>
        <v>0</v>
      </c>
      <c r="M10" s="419">
        <f>(
sumifs('Form responses'!$BF$2:$BF62,'Form responses'!$C$2:$C62,"&gt;="&amp;$M$1,'Form responses'!$C$2:$C62,"&lt;="&amp;$P$1,'Form responses'!$D$2:$D62,$B10)
+
sumifs('Form responses'!$BG$2:$BG62,'Form responses'!$C$2:$C62,"&gt;="&amp;$M$1,'Form responses'!$C$2:$C62,"&lt;="&amp;$P$1,'Form responses'!$D$2:$D62,$B10)
)*Sum!$S$35</f>
        <v>0</v>
      </c>
      <c r="N10" s="419">
        <f>sumifs('Form responses'!$BL$2:$BL62,'Form responses'!$C$2:$C62,"&gt;="&amp;$M$1,'Form responses'!$C$2:$C62,"&lt;="&amp;$P$1,'Form responses'!$D$2:$D62,$B10)
*Sum!$T$35</f>
        <v>0</v>
      </c>
      <c r="O10" s="419">
        <f t="shared" si="2"/>
        <v>0</v>
      </c>
      <c r="P10" s="419">
        <f>((sumifs('Form responses'!$BN$2:$BN62,'Form responses'!$C$2:$C62,"&gt;="&amp;$M$1,'Form responses'!$C$2:$C62,"&lt;="&amp;$P$1,'Form responses'!$D$2:$D62,$B10)+
sumifs('Form responses'!$BO$2:$BO62,'Form responses'!$C$2:$C62,"&gt;="&amp;$M$1,'Form responses'!$C$2:$C62,"&lt;="&amp;$P$1,'Form responses'!$D$2:$D62,$B10))*Sum!$U$35)</f>
        <v>0</v>
      </c>
      <c r="Q10" s="419">
        <f t="shared" si="3"/>
        <v>0</v>
      </c>
      <c r="R10" s="346">
        <f t="shared" si="4"/>
        <v>0</v>
      </c>
    </row>
    <row r="11" ht="27.75" customHeight="1">
      <c r="A11" s="417"/>
      <c r="B11" s="423" t="s">
        <v>609</v>
      </c>
      <c r="C11" s="419">
        <f>((sumifs('Form responses'!$G$2:$G62,'Form responses'!$C$2:$C62,"&gt;="&amp;$M$1,'Form responses'!$C$2:$C62,"&lt;="&amp;$P$1,'Form responses'!$D$2:$D62,$B11)
+sumifs('Form responses'!$H$2:$H62,'Form responses'!$C$2:$C62,"&gt;="&amp;$M$1,'Form responses'!$C$2:$C62,"&lt;="&amp;$P$1,'Form responses'!$D$2:$D62,$B11)
+sumifs('Form responses'!$I$2:$I62,'Form responses'!$C$2:$C62,"&gt;="&amp;$M$1,'Form responses'!$C$2:$C62,"&lt;="&amp;$P$1,'Form responses'!$D$2:$D62,$B11)
)*Sum!$B$35)</f>
        <v>0</v>
      </c>
      <c r="D11" s="420">
        <f>((sumifs('Form responses'!$J$2:$J62,'Form responses'!$C$2:$C62,"&gt;="&amp;$M$1,'Form responses'!$C$2:$C62,"&lt;="&amp;$P$1,'Form responses'!$D$2:$D62,$B11))*Sum!$C$35)</f>
        <v>0</v>
      </c>
      <c r="E11" s="419">
        <f>((
sumifs('Form responses'!$S$2:$S62,'Form responses'!$C$2:$C62,"&gt;="&amp;$M$1,'Form responses'!$C$2:$C62,"&lt;="&amp;$P$1,'Form responses'!$D$2:$D62,$B11)
+
sumifs('Form responses'!$T$2:$T62,'Form responses'!$C$2:$C62,"&gt;="&amp;$M$1,'Form responses'!$C$2:$C62,"&lt;="&amp;$P$1,'Form responses'!$D$2:$D62,$B11)
)*Sum!$E$35
)</f>
        <v>0</v>
      </c>
      <c r="F11" s="419">
        <f>sumifs('Form responses'!$U$2:$U62,'Form responses'!$C$2:$C62,"&gt;="&amp;$M$1,'Form responses'!$C$2:$C62,"&lt;="&amp;$P$1,'Form responses'!$D$2:$D62,$B11)
*Sum!$D$35</f>
        <v>0</v>
      </c>
      <c r="G11" s="421">
        <f>sumifs('Form responses'!$EQ$2:$EQ62,'Form responses'!$B$2:$B62,"&gt;="&amp;$M$1,'Form responses'!$C$2:$C62,"&lt;="&amp;$P$1,'Form responses'!$D$2:$D62,$B11)*Sum!$V$35+sumifs('Form responses'!$ER$2:$ER62,'Form responses'!$B$2:$B62,"&gt;="&amp;$M$1,'Form responses'!$C$2:$C62,"&lt;="&amp;$P$1,'Form responses'!$D$2:$D62,$B11)*Sum!$W$35+sumifs('Form responses'!$ES$2:$ES62,'Form responses'!$B$2:$B62,"&gt;="&amp;$M$1,'Form responses'!$C$2:$C62,"&lt;="&amp;$P$1,'Form responses'!$D$2:$D62,$B11)*Sum!$X$35+sumifs('Form responses'!$ET$2:$ET62,'Form responses'!$B$2:$B62,"&gt;="&amp;$M$1,'Form responses'!$C$2:$C62,"&lt;="&amp;$P$1,'Form responses'!$D$2:$D62,$B11)*Sum!$Y$35</f>
        <v>0</v>
      </c>
      <c r="H11" s="419">
        <f>((
sumifs('Form responses'!$V$2:$V62,'Form responses'!$C$2:$C62,"&gt;="&amp;$M$1,'Form responses'!$C$2:$C62,"&lt;="&amp;$P$1,'Form responses'!$D$2:$D62,$B11)
)*
Sum!$F$35
)+((
sumifs('Form responses'!$W$2:$W62,'Form responses'!$C$2:$C62,"&gt;="&amp;$M$1,'Form responses'!$C$2:$C62,"&lt;="&amp;$P$1,'Form responses'!$D$2:$D62,$B11)
)*
Sum!$G$35
)</f>
        <v>0</v>
      </c>
      <c r="I11" s="419">
        <f>((
sumifs('Form responses'!$X$2:$X62,'Form responses'!$C$2:$C62,"&gt;="&amp;$M$1,'Form responses'!$C$2:$C62,"&lt;="&amp;$P$1,'Form responses'!$D$2:$D62,$B11)
)*Sum!$H$35)+((
sumifs('Form responses'!$Y$2:$Y62,'Form responses'!$C$2:$C62,"&gt;="&amp;$M$1,'Form responses'!$C$2:$C62,"&lt;="&amp;$P$1,'Form responses'!$D$2:$D62,$B11)
)*Sum!$I$35)+((
sumifs('Form responses'!$Z$2:$Z62,'Form responses'!$C$2:$C62,"&gt;="&amp;$M$1,'Form responses'!$C$2:$C62,"&lt;="&amp;$P$1,'Form responses'!$D$2:$D62,$B11)
)*Sum!$Z$35)</f>
        <v>0</v>
      </c>
      <c r="J11" s="419">
        <f t="shared" si="1"/>
        <v>0</v>
      </c>
      <c r="K11" s="419">
        <f>(
sumifs('Form responses'!$AV$2:$AV62,'Form responses'!$C$2:$C62,"&gt;="&amp;$M$1,'Form responses'!$C$2:$C62,"&lt;="&amp;$P$1,'Form responses'!$D$2:$D62,$B11)
+
sumifs('Form responses'!$AW$2:$AW62,'Form responses'!$C$2:$C62,"&gt;="&amp;$M$1,'Form responses'!$C$2:$C62,"&lt;="&amp;$P$1,'Form responses'!$D$2:$D62,$B11)
+
sumifs('Form responses'!$AX$2:$AX62,'Form responses'!$C$2:$C62,"&gt;="&amp;$M$1,'Form responses'!$C$2:$C62,"&lt;="&amp;$P$1,'Form responses'!$D$2:$D62,$B11)
+
sumifs('Form responses'!$AY$2:$AY62,'Form responses'!$C$2:$C62,"&gt;="&amp;$M$1,'Form responses'!$C$2:$C62,"&lt;="&amp;$P$1,'Form responses'!$D$2:$D62,$B11)
)*Sum!$Q$35</f>
        <v>0</v>
      </c>
      <c r="L11" s="419">
        <f>(
sumifs('Form responses'!$BD$2:$BD62,'Form responses'!$C$2:$C62,"&gt;="&amp;$M$1,'Form responses'!$C$2:$C62,"&lt;="&amp;$P$1,'Form responses'!$D$2:$D62,$B11)
+
sumifs('Form responses'!$BE$2:$BE62,'Form responses'!$C$2:$C62,"&gt;="&amp;$M$1,'Form responses'!$C$2:$C62,"&lt;="&amp;$P$1,'Form responses'!$D$2:$D62,$B11)
)*Sum!$R$35</f>
        <v>0</v>
      </c>
      <c r="M11" s="419">
        <f>(
sumifs('Form responses'!$BF$2:$BF62,'Form responses'!$C$2:$C62,"&gt;="&amp;$M$1,'Form responses'!$C$2:$C62,"&lt;="&amp;$P$1,'Form responses'!$D$2:$D62,$B11)
+
sumifs('Form responses'!$BG$2:$BG62,'Form responses'!$C$2:$C62,"&gt;="&amp;$M$1,'Form responses'!$C$2:$C62,"&lt;="&amp;$P$1,'Form responses'!$D$2:$D62,$B11)
)*Sum!$S$35</f>
        <v>0</v>
      </c>
      <c r="N11" s="419">
        <f>sumifs('Form responses'!$BL$2:$BL62,'Form responses'!$C$2:$C62,"&gt;="&amp;$M$1,'Form responses'!$C$2:$C62,"&lt;="&amp;$P$1,'Form responses'!$D$2:$D62,$B11)
*Sum!$T$35</f>
        <v>0</v>
      </c>
      <c r="O11" s="419">
        <f t="shared" si="2"/>
        <v>0</v>
      </c>
      <c r="P11" s="419">
        <f>((sumifs('Form responses'!$BN$2:$BN62,'Form responses'!$C$2:$C62,"&gt;="&amp;$M$1,'Form responses'!$C$2:$C62,"&lt;="&amp;$P$1,'Form responses'!$D$2:$D62,$B11)+
sumifs('Form responses'!$BO$2:$BO62,'Form responses'!$C$2:$C62,"&gt;="&amp;$M$1,'Form responses'!$C$2:$C62,"&lt;="&amp;$P$1,'Form responses'!$D$2:$D62,$B11))*Sum!$U$35)</f>
        <v>0</v>
      </c>
      <c r="Q11" s="419">
        <f t="shared" si="3"/>
        <v>0</v>
      </c>
      <c r="R11" s="346">
        <f t="shared" si="4"/>
        <v>0</v>
      </c>
    </row>
    <row r="12" ht="27.75" customHeight="1">
      <c r="A12" s="424"/>
      <c r="B12" s="423" t="s">
        <v>610</v>
      </c>
      <c r="C12" s="419">
        <f>((sumifs('Form responses'!$G$2:$G62,'Form responses'!$C$2:$C62,"&gt;="&amp;$M$1,'Form responses'!$C$2:$C62,"&lt;="&amp;$P$1,'Form responses'!$D$2:$D62,$B12)
+sumifs('Form responses'!$H$2:$H62,'Form responses'!$C$2:$C62,"&gt;="&amp;$M$1,'Form responses'!$C$2:$C62,"&lt;="&amp;$P$1,'Form responses'!$D$2:$D62,$B12)
+sumifs('Form responses'!$I$2:$I62,'Form responses'!$C$2:$C62,"&gt;="&amp;$M$1,'Form responses'!$C$2:$C62,"&lt;="&amp;$P$1,'Form responses'!$D$2:$D62,$B12)
)*Sum!$B$35)</f>
        <v>0</v>
      </c>
      <c r="D12" s="420">
        <f>((sumifs('Form responses'!$J$2:$J62,'Form responses'!$C$2:$C62,"&gt;="&amp;$M$1,'Form responses'!$C$2:$C62,"&lt;="&amp;$P$1,'Form responses'!$D$2:$D62,$B12))*Sum!$C$35)</f>
        <v>0</v>
      </c>
      <c r="E12" s="419">
        <f>((
sumifs('Form responses'!$S$2:$S62,'Form responses'!$C$2:$C62,"&gt;="&amp;$M$1,'Form responses'!$C$2:$C62,"&lt;="&amp;$P$1,'Form responses'!$D$2:$D62,$B12)
+
sumifs('Form responses'!$T$2:$T62,'Form responses'!$C$2:$C62,"&gt;="&amp;$M$1,'Form responses'!$C$2:$C62,"&lt;="&amp;$P$1,'Form responses'!$D$2:$D62,$B12)
)*Sum!$E$35
)</f>
        <v>0</v>
      </c>
      <c r="F12" s="419">
        <f>sumifs('Form responses'!$U$2:$U62,'Form responses'!$C$2:$C62,"&gt;="&amp;$M$1,'Form responses'!$C$2:$C62,"&lt;="&amp;$P$1,'Form responses'!$D$2:$D62,$B12)
*Sum!$D$35</f>
        <v>0</v>
      </c>
      <c r="G12" s="421">
        <f>sumifs('Form responses'!$EQ$2:$EQ62,'Form responses'!$B$2:$B62,"&gt;="&amp;$M$1,'Form responses'!$C$2:$C62,"&lt;="&amp;$P$1,'Form responses'!$D$2:$D62,$B12)*Sum!$V$35+sumifs('Form responses'!$ER$2:$ER62,'Form responses'!$B$2:$B62,"&gt;="&amp;$M$1,'Form responses'!$C$2:$C62,"&lt;="&amp;$P$1,'Form responses'!$D$2:$D62,$B12)*Sum!$W$35+sumifs('Form responses'!$ES$2:$ES62,'Form responses'!$B$2:$B62,"&gt;="&amp;$M$1,'Form responses'!$C$2:$C62,"&lt;="&amp;$P$1,'Form responses'!$D$2:$D62,$B12)*Sum!$X$35+sumifs('Form responses'!$ET$2:$ET62,'Form responses'!$B$2:$B62,"&gt;="&amp;$M$1,'Form responses'!$C$2:$C62,"&lt;="&amp;$P$1,'Form responses'!$D$2:$D62,$B12)*Sum!$Y$35</f>
        <v>0</v>
      </c>
      <c r="H12" s="419">
        <f>((
sumifs('Form responses'!$V$2:$V62,'Form responses'!$C$2:$C62,"&gt;="&amp;$M$1,'Form responses'!$C$2:$C62,"&lt;="&amp;$P$1,'Form responses'!$D$2:$D62,$B12)
)*
Sum!$F$35
)+((
sumifs('Form responses'!$W$2:$W62,'Form responses'!$C$2:$C62,"&gt;="&amp;$M$1,'Form responses'!$C$2:$C62,"&lt;="&amp;$P$1,'Form responses'!$D$2:$D62,$B12)
)*
Sum!$G$35
)</f>
        <v>0</v>
      </c>
      <c r="I12" s="419">
        <f>((
sumifs('Form responses'!$X$2:$X62,'Form responses'!$C$2:$C62,"&gt;="&amp;$M$1,'Form responses'!$C$2:$C62,"&lt;="&amp;$P$1,'Form responses'!$D$2:$D62,$B12)
)*Sum!$H$35)+((
sumifs('Form responses'!$Y$2:$Y62,'Form responses'!$C$2:$C62,"&gt;="&amp;$M$1,'Form responses'!$C$2:$C62,"&lt;="&amp;$P$1,'Form responses'!$D$2:$D62,$B12)
)*Sum!$I$35)+((
sumifs('Form responses'!$Z$2:$Z62,'Form responses'!$C$2:$C62,"&gt;="&amp;$M$1,'Form responses'!$C$2:$C62,"&lt;="&amp;$P$1,'Form responses'!$D$2:$D62,$B12)
)*Sum!$Z$35)</f>
        <v>0</v>
      </c>
      <c r="J12" s="419">
        <f t="shared" si="1"/>
        <v>0</v>
      </c>
      <c r="K12" s="419">
        <f>(
sumifs('Form responses'!$AV$2:$AV62,'Form responses'!$C$2:$C62,"&gt;="&amp;$M$1,'Form responses'!$C$2:$C62,"&lt;="&amp;$P$1,'Form responses'!$D$2:$D62,$B12)
+
sumifs('Form responses'!$AW$2:$AW62,'Form responses'!$C$2:$C62,"&gt;="&amp;$M$1,'Form responses'!$C$2:$C62,"&lt;="&amp;$P$1,'Form responses'!$D$2:$D62,$B12)
+
sumifs('Form responses'!$AX$2:$AX62,'Form responses'!$C$2:$C62,"&gt;="&amp;$M$1,'Form responses'!$C$2:$C62,"&lt;="&amp;$P$1,'Form responses'!$D$2:$D62,$B12)
+
sumifs('Form responses'!$AY$2:$AY62,'Form responses'!$C$2:$C62,"&gt;="&amp;$M$1,'Form responses'!$C$2:$C62,"&lt;="&amp;$P$1,'Form responses'!$D$2:$D62,$B12)
)*Sum!$Q$35</f>
        <v>0</v>
      </c>
      <c r="L12" s="419">
        <f>(
sumifs('Form responses'!$BD$2:$BD62,'Form responses'!$C$2:$C62,"&gt;="&amp;$M$1,'Form responses'!$C$2:$C62,"&lt;="&amp;$P$1,'Form responses'!$D$2:$D62,$B12)
+
sumifs('Form responses'!$BE$2:$BE62,'Form responses'!$C$2:$C62,"&gt;="&amp;$M$1,'Form responses'!$C$2:$C62,"&lt;="&amp;$P$1,'Form responses'!$D$2:$D62,$B12)
)*Sum!$R$35</f>
        <v>0</v>
      </c>
      <c r="M12" s="419">
        <f>(
sumifs('Form responses'!$BF$2:$BF62,'Form responses'!$C$2:$C62,"&gt;="&amp;$M$1,'Form responses'!$C$2:$C62,"&lt;="&amp;$P$1,'Form responses'!$D$2:$D62,$B12)
+
sumifs('Form responses'!$BG$2:$BG62,'Form responses'!$C$2:$C62,"&gt;="&amp;$M$1,'Form responses'!$C$2:$C62,"&lt;="&amp;$P$1,'Form responses'!$D$2:$D62,$B12)
)*Sum!$S$35</f>
        <v>0</v>
      </c>
      <c r="N12" s="419">
        <f>sumifs('Form responses'!$BL$2:$BL62,'Form responses'!$C$2:$C62,"&gt;="&amp;$M$1,'Form responses'!$C$2:$C62,"&lt;="&amp;$P$1,'Form responses'!$D$2:$D62,$B12)
*Sum!$T$35</f>
        <v>0</v>
      </c>
      <c r="O12" s="419">
        <f t="shared" si="2"/>
        <v>0</v>
      </c>
      <c r="P12" s="419">
        <f>((sumifs('Form responses'!$BN$2:$BN62,'Form responses'!$C$2:$C62,"&gt;="&amp;$M$1,'Form responses'!$C$2:$C62,"&lt;="&amp;$P$1,'Form responses'!$D$2:$D62,$B12)+
sumifs('Form responses'!$BO$2:$BO62,'Form responses'!$C$2:$C62,"&gt;="&amp;$M$1,'Form responses'!$C$2:$C62,"&lt;="&amp;$P$1,'Form responses'!$D$2:$D62,$B12))*Sum!$U$35)</f>
        <v>0</v>
      </c>
      <c r="Q12" s="419">
        <f t="shared" si="3"/>
        <v>0</v>
      </c>
      <c r="R12" s="346">
        <f t="shared" si="4"/>
        <v>0</v>
      </c>
    </row>
    <row r="13" ht="27.75" customHeight="1">
      <c r="A13" s="417"/>
      <c r="B13" s="418" t="s">
        <v>611</v>
      </c>
      <c r="C13" s="419">
        <f>((sumifs('Form responses'!$G$2:$G62,'Form responses'!$C$2:$C62,"&gt;="&amp;$M$1,'Form responses'!$C$2:$C62,"&lt;="&amp;$P$1,'Form responses'!$D$2:$D62,$B13)
+sumifs('Form responses'!$H$2:$H62,'Form responses'!$C$2:$C62,"&gt;="&amp;$M$1,'Form responses'!$C$2:$C62,"&lt;="&amp;$P$1,'Form responses'!$D$2:$D62,$B13)
+sumifs('Form responses'!$I$2:$I62,'Form responses'!$C$2:$C62,"&gt;="&amp;$M$1,'Form responses'!$C$2:$C62,"&lt;="&amp;$P$1,'Form responses'!$D$2:$D62,$B13)
)*Sum!$B$35)</f>
        <v>0</v>
      </c>
      <c r="D13" s="420">
        <f>((sumifs('Form responses'!$J$2:$J62,'Form responses'!$C$2:$C62,"&gt;="&amp;$M$1,'Form responses'!$C$2:$C62,"&lt;="&amp;$P$1,'Form responses'!$D$2:$D62,$B13))*Sum!$C$35)</f>
        <v>0</v>
      </c>
      <c r="E13" s="419">
        <f>((
sumifs('Form responses'!$S$2:$S62,'Form responses'!$C$2:$C62,"&gt;="&amp;$M$1,'Form responses'!$C$2:$C62,"&lt;="&amp;$P$1,'Form responses'!$D$2:$D62,$B13)
+
sumifs('Form responses'!$T$2:$T62,'Form responses'!$C$2:$C62,"&gt;="&amp;$M$1,'Form responses'!$C$2:$C62,"&lt;="&amp;$P$1,'Form responses'!$D$2:$D62,$B13)
)*Sum!$E$35
)</f>
        <v>0</v>
      </c>
      <c r="F13" s="419">
        <f>sumifs('Form responses'!$U$2:$U62,'Form responses'!$C$2:$C62,"&gt;="&amp;$M$1,'Form responses'!$C$2:$C62,"&lt;="&amp;$P$1,'Form responses'!$D$2:$D62,$B13)
*Sum!$D$35</f>
        <v>0</v>
      </c>
      <c r="G13" s="421">
        <f>sumifs('Form responses'!$EQ$2:$EQ62,'Form responses'!$B$2:$B62,"&gt;="&amp;$M$1,'Form responses'!$C$2:$C62,"&lt;="&amp;$P$1,'Form responses'!$D$2:$D62,$B13)*Sum!$V$35+sumifs('Form responses'!$ER$2:$ER62,'Form responses'!$B$2:$B62,"&gt;="&amp;$M$1,'Form responses'!$C$2:$C62,"&lt;="&amp;$P$1,'Form responses'!$D$2:$D62,$B13)*Sum!$W$35+sumifs('Form responses'!$ES$2:$ES62,'Form responses'!$B$2:$B62,"&gt;="&amp;$M$1,'Form responses'!$C$2:$C62,"&lt;="&amp;$P$1,'Form responses'!$D$2:$D62,$B13)*Sum!$X$35+sumifs('Form responses'!$ET$2:$ET62,'Form responses'!$B$2:$B62,"&gt;="&amp;$M$1,'Form responses'!$C$2:$C62,"&lt;="&amp;$P$1,'Form responses'!$D$2:$D62,$B13)*Sum!$Y$35</f>
        <v>0</v>
      </c>
      <c r="H13" s="419">
        <f>((
sumifs('Form responses'!$V$2:$V62,'Form responses'!$C$2:$C62,"&gt;="&amp;$M$1,'Form responses'!$C$2:$C62,"&lt;="&amp;$P$1,'Form responses'!$D$2:$D62,$B13)
)*
Sum!$F$35
)+((
sumifs('Form responses'!$W$2:$W62,'Form responses'!$C$2:$C62,"&gt;="&amp;$M$1,'Form responses'!$C$2:$C62,"&lt;="&amp;$P$1,'Form responses'!$D$2:$D62,$B13)
)*
Sum!$G$35
)</f>
        <v>0</v>
      </c>
      <c r="I13" s="419">
        <f>((
sumifs('Form responses'!$X$2:$X62,'Form responses'!$C$2:$C62,"&gt;="&amp;$M$1,'Form responses'!$C$2:$C62,"&lt;="&amp;$P$1,'Form responses'!$D$2:$D62,$B13)
)*Sum!$H$35)+((
sumifs('Form responses'!$Y$2:$Y62,'Form responses'!$C$2:$C62,"&gt;="&amp;$M$1,'Form responses'!$C$2:$C62,"&lt;="&amp;$P$1,'Form responses'!$D$2:$D62,$B13)
)*Sum!$I$35)+((
sumifs('Form responses'!$Z$2:$Z62,'Form responses'!$C$2:$C62,"&gt;="&amp;$M$1,'Form responses'!$C$2:$C62,"&lt;="&amp;$P$1,'Form responses'!$D$2:$D62,$B13)
)*Sum!$Z$35)</f>
        <v>0</v>
      </c>
      <c r="J13" s="419">
        <f t="shared" si="1"/>
        <v>0</v>
      </c>
      <c r="K13" s="419">
        <f>(
sumifs('Form responses'!$AV$2:$AV62,'Form responses'!$C$2:$C62,"&gt;="&amp;$M$1,'Form responses'!$C$2:$C62,"&lt;="&amp;$P$1,'Form responses'!$D$2:$D62,$B13)
+
sumifs('Form responses'!$AW$2:$AW62,'Form responses'!$C$2:$C62,"&gt;="&amp;$M$1,'Form responses'!$C$2:$C62,"&lt;="&amp;$P$1,'Form responses'!$D$2:$D62,$B13)
+
sumifs('Form responses'!$AX$2:$AX62,'Form responses'!$C$2:$C62,"&gt;="&amp;$M$1,'Form responses'!$C$2:$C62,"&lt;="&amp;$P$1,'Form responses'!$D$2:$D62,$B13)
+
sumifs('Form responses'!$AY$2:$AY62,'Form responses'!$C$2:$C62,"&gt;="&amp;$M$1,'Form responses'!$C$2:$C62,"&lt;="&amp;$P$1,'Form responses'!$D$2:$D62,$B13)
)*Sum!$Q$35</f>
        <v>0</v>
      </c>
      <c r="L13" s="419">
        <f>(
sumifs('Form responses'!$BD$2:$BD62,'Form responses'!$C$2:$C62,"&gt;="&amp;$M$1,'Form responses'!$C$2:$C62,"&lt;="&amp;$P$1,'Form responses'!$D$2:$D62,$B13)
+
sumifs('Form responses'!$BE$2:$BE62,'Form responses'!$C$2:$C62,"&gt;="&amp;$M$1,'Form responses'!$C$2:$C62,"&lt;="&amp;$P$1,'Form responses'!$D$2:$D62,$B13)
)*Sum!$R$35</f>
        <v>0</v>
      </c>
      <c r="M13" s="419">
        <f>(
sumifs('Form responses'!$BF$2:$BF62,'Form responses'!$C$2:$C62,"&gt;="&amp;$M$1,'Form responses'!$C$2:$C62,"&lt;="&amp;$P$1,'Form responses'!$D$2:$D62,$B13)
+
sumifs('Form responses'!$BG$2:$BG62,'Form responses'!$C$2:$C62,"&gt;="&amp;$M$1,'Form responses'!$C$2:$C62,"&lt;="&amp;$P$1,'Form responses'!$D$2:$D62,$B13)
)*Sum!$S$35</f>
        <v>0</v>
      </c>
      <c r="N13" s="419">
        <f>sumifs('Form responses'!$BL$2:$BL62,'Form responses'!$C$2:$C62,"&gt;="&amp;$M$1,'Form responses'!$C$2:$C62,"&lt;="&amp;$P$1,'Form responses'!$D$2:$D62,$B13)
*Sum!$T$35</f>
        <v>0</v>
      </c>
      <c r="O13" s="419">
        <f t="shared" si="2"/>
        <v>0</v>
      </c>
      <c r="P13" s="419">
        <f>((sumifs('Form responses'!$BN$2:$BN62,'Form responses'!$C$2:$C62,"&gt;="&amp;$M$1,'Form responses'!$C$2:$C62,"&lt;="&amp;$P$1,'Form responses'!$D$2:$D62,$B13)+
sumifs('Form responses'!$BO$2:$BO62,'Form responses'!$C$2:$C62,"&gt;="&amp;$M$1,'Form responses'!$C$2:$C62,"&lt;="&amp;$P$1,'Form responses'!$D$2:$D62,$B13))*Sum!$U$35)</f>
        <v>0</v>
      </c>
      <c r="Q13" s="419">
        <f t="shared" si="3"/>
        <v>0</v>
      </c>
      <c r="R13" s="346">
        <f t="shared" si="4"/>
        <v>0</v>
      </c>
    </row>
    <row r="14" ht="27.75" customHeight="1">
      <c r="A14" s="424">
        <v>3.0</v>
      </c>
      <c r="B14" s="418" t="s">
        <v>612</v>
      </c>
      <c r="C14" s="419">
        <f>((sumifs('Form responses'!$G$2:$G62,'Form responses'!$C$2:$C62,"&gt;="&amp;$M$1,'Form responses'!$C$2:$C62,"&lt;="&amp;$P$1,'Form responses'!$D$2:$D62,$B14)
+sumifs('Form responses'!$H$2:$H62,'Form responses'!$C$2:$C62,"&gt;="&amp;$M$1,'Form responses'!$C$2:$C62,"&lt;="&amp;$P$1,'Form responses'!$D$2:$D62,$B14)
+sumifs('Form responses'!$I$2:$I62,'Form responses'!$C$2:$C62,"&gt;="&amp;$M$1,'Form responses'!$C$2:$C62,"&lt;="&amp;$P$1,'Form responses'!$D$2:$D62,$B14)
)*Sum!$B$35)</f>
        <v>0</v>
      </c>
      <c r="D14" s="420">
        <f>((sumifs('Form responses'!$J$2:$J62,'Form responses'!$C$2:$C62,"&gt;="&amp;$M$1,'Form responses'!$C$2:$C62,"&lt;="&amp;$P$1,'Form responses'!$D$2:$D62,$B14))*Sum!$C$35)</f>
        <v>0</v>
      </c>
      <c r="E14" s="419">
        <f>((
sumifs('Form responses'!$S$2:$S62,'Form responses'!$C$2:$C62,"&gt;="&amp;$M$1,'Form responses'!$C$2:$C62,"&lt;="&amp;$P$1,'Form responses'!$D$2:$D62,$B14)
+
sumifs('Form responses'!$T$2:$T62,'Form responses'!$C$2:$C62,"&gt;="&amp;$M$1,'Form responses'!$C$2:$C62,"&lt;="&amp;$P$1,'Form responses'!$D$2:$D62,$B14)
)*Sum!$E$35
)</f>
        <v>0</v>
      </c>
      <c r="F14" s="419">
        <f>sumifs('Form responses'!$U$2:$U62,'Form responses'!$C$2:$C62,"&gt;="&amp;$M$1,'Form responses'!$C$2:$C62,"&lt;="&amp;$P$1,'Form responses'!$D$2:$D62,$B14)
*Sum!$D$35</f>
        <v>0</v>
      </c>
      <c r="G14" s="421">
        <f>sumifs('Form responses'!$EQ$2:$EQ62,'Form responses'!$B$2:$B62,"&gt;="&amp;$M$1,'Form responses'!$C$2:$C62,"&lt;="&amp;$P$1,'Form responses'!$D$2:$D62,$B14)*Sum!$V$35+sumifs('Form responses'!$ER$2:$ER62,'Form responses'!$B$2:$B62,"&gt;="&amp;$M$1,'Form responses'!$C$2:$C62,"&lt;="&amp;$P$1,'Form responses'!$D$2:$D62,$B14)*Sum!$W$35+sumifs('Form responses'!$ES$2:$ES62,'Form responses'!$B$2:$B62,"&gt;="&amp;$M$1,'Form responses'!$C$2:$C62,"&lt;="&amp;$P$1,'Form responses'!$D$2:$D62,$B14)*Sum!$X$35+sumifs('Form responses'!$ET$2:$ET62,'Form responses'!$B$2:$B62,"&gt;="&amp;$M$1,'Form responses'!$C$2:$C62,"&lt;="&amp;$P$1,'Form responses'!$D$2:$D62,$B14)*Sum!$Y$35</f>
        <v>0</v>
      </c>
      <c r="H14" s="419">
        <f>((
sumifs('Form responses'!$V$2:$V62,'Form responses'!$C$2:$C62,"&gt;="&amp;$M$1,'Form responses'!$C$2:$C62,"&lt;="&amp;$P$1,'Form responses'!$D$2:$D62,$B14)
)*
Sum!$F$35
)+((
sumifs('Form responses'!$W$2:$W62,'Form responses'!$C$2:$C62,"&gt;="&amp;$M$1,'Form responses'!$C$2:$C62,"&lt;="&amp;$P$1,'Form responses'!$D$2:$D62,$B14)
)*
Sum!$G$35
)</f>
        <v>0</v>
      </c>
      <c r="I14" s="419">
        <f>((
sumifs('Form responses'!$X$2:$X62,'Form responses'!$C$2:$C62,"&gt;="&amp;$M$1,'Form responses'!$C$2:$C62,"&lt;="&amp;$P$1,'Form responses'!$D$2:$D62,$B14)
)*Sum!$H$35)+((
sumifs('Form responses'!$Y$2:$Y62,'Form responses'!$C$2:$C62,"&gt;="&amp;$M$1,'Form responses'!$C$2:$C62,"&lt;="&amp;$P$1,'Form responses'!$D$2:$D62,$B14)
)*Sum!$I$35)+((
sumifs('Form responses'!$Z$2:$Z62,'Form responses'!$C$2:$C62,"&gt;="&amp;$M$1,'Form responses'!$C$2:$C62,"&lt;="&amp;$P$1,'Form responses'!$D$2:$D62,$B14)
)*Sum!$Z$35)</f>
        <v>0</v>
      </c>
      <c r="J14" s="419">
        <f t="shared" si="1"/>
        <v>0</v>
      </c>
      <c r="K14" s="419">
        <f>(
sumifs('Form responses'!$AV$2:$AV62,'Form responses'!$C$2:$C62,"&gt;="&amp;$M$1,'Form responses'!$C$2:$C62,"&lt;="&amp;$P$1,'Form responses'!$D$2:$D62,$B14)
+
sumifs('Form responses'!$AW$2:$AW62,'Form responses'!$C$2:$C62,"&gt;="&amp;$M$1,'Form responses'!$C$2:$C62,"&lt;="&amp;$P$1,'Form responses'!$D$2:$D62,$B14)
+
sumifs('Form responses'!$AX$2:$AX62,'Form responses'!$C$2:$C62,"&gt;="&amp;$M$1,'Form responses'!$C$2:$C62,"&lt;="&amp;$P$1,'Form responses'!$D$2:$D62,$B14)
+
sumifs('Form responses'!$AY$2:$AY62,'Form responses'!$C$2:$C62,"&gt;="&amp;$M$1,'Form responses'!$C$2:$C62,"&lt;="&amp;$P$1,'Form responses'!$D$2:$D62,$B14)
)*Sum!$Q$35</f>
        <v>0</v>
      </c>
      <c r="L14" s="419">
        <f>(
sumifs('Form responses'!$BD$2:$BD62,'Form responses'!$C$2:$C62,"&gt;="&amp;$M$1,'Form responses'!$C$2:$C62,"&lt;="&amp;$P$1,'Form responses'!$D$2:$D62,$B14)
+
sumifs('Form responses'!$BE$2:$BE62,'Form responses'!$C$2:$C62,"&gt;="&amp;$M$1,'Form responses'!$C$2:$C62,"&lt;="&amp;$P$1,'Form responses'!$D$2:$D62,$B14)
)*Sum!$R$35</f>
        <v>0</v>
      </c>
      <c r="M14" s="419">
        <f>(
sumifs('Form responses'!$BF$2:$BF62,'Form responses'!$C$2:$C62,"&gt;="&amp;$M$1,'Form responses'!$C$2:$C62,"&lt;="&amp;$P$1,'Form responses'!$D$2:$D62,$B14)
+
sumifs('Form responses'!$BG$2:$BG62,'Form responses'!$C$2:$C62,"&gt;="&amp;$M$1,'Form responses'!$C$2:$C62,"&lt;="&amp;$P$1,'Form responses'!$D$2:$D62,$B14)
)*Sum!$S$35</f>
        <v>0</v>
      </c>
      <c r="N14" s="419">
        <f>sumifs('Form responses'!$BL$2:$BL62,'Form responses'!$C$2:$C62,"&gt;="&amp;$M$1,'Form responses'!$C$2:$C62,"&lt;="&amp;$P$1,'Form responses'!$D$2:$D62,$B14)
*Sum!$T$35</f>
        <v>0</v>
      </c>
      <c r="O14" s="419">
        <f t="shared" si="2"/>
        <v>0</v>
      </c>
      <c r="P14" s="419">
        <f>((sumifs('Form responses'!$BN$2:$BN62,'Form responses'!$C$2:$C62,"&gt;="&amp;$M$1,'Form responses'!$C$2:$C62,"&lt;="&amp;$P$1,'Form responses'!$D$2:$D62,$B14)+
sumifs('Form responses'!$BO$2:$BO62,'Form responses'!$C$2:$C62,"&gt;="&amp;$M$1,'Form responses'!$C$2:$C62,"&lt;="&amp;$P$1,'Form responses'!$D$2:$D62,$B14))*Sum!$U$35)</f>
        <v>0</v>
      </c>
      <c r="Q14" s="419">
        <f t="shared" si="3"/>
        <v>0</v>
      </c>
      <c r="R14" s="346">
        <f t="shared" si="4"/>
        <v>0</v>
      </c>
    </row>
    <row r="15" ht="27.75" customHeight="1">
      <c r="A15" s="417"/>
      <c r="B15" s="418" t="s">
        <v>613</v>
      </c>
      <c r="C15" s="419">
        <f>((sumifs('Form responses'!$G$2:$G62,'Form responses'!$C$2:$C62,"&gt;="&amp;$M$1,'Form responses'!$C$2:$C62,"&lt;="&amp;$P$1,'Form responses'!$D$2:$D62,$B15)
+sumifs('Form responses'!$H$2:$H62,'Form responses'!$C$2:$C62,"&gt;="&amp;$M$1,'Form responses'!$C$2:$C62,"&lt;="&amp;$P$1,'Form responses'!$D$2:$D62,$B15)
+sumifs('Form responses'!$I$2:$I62,'Form responses'!$C$2:$C62,"&gt;="&amp;$M$1,'Form responses'!$C$2:$C62,"&lt;="&amp;$P$1,'Form responses'!$D$2:$D62,$B15)
)*Sum!$B$35)</f>
        <v>0</v>
      </c>
      <c r="D15" s="420">
        <f>((sumifs('Form responses'!$J$2:$J62,'Form responses'!$C$2:$C62,"&gt;="&amp;$M$1,'Form responses'!$C$2:$C62,"&lt;="&amp;$P$1,'Form responses'!$D$2:$D62,$B15))*Sum!$C$35)</f>
        <v>0</v>
      </c>
      <c r="E15" s="419">
        <f>((
sumifs('Form responses'!$S$2:$S62,'Form responses'!$C$2:$C62,"&gt;="&amp;$M$1,'Form responses'!$C$2:$C62,"&lt;="&amp;$P$1,'Form responses'!$D$2:$D62,$B15)
+
sumifs('Form responses'!$T$2:$T62,'Form responses'!$C$2:$C62,"&gt;="&amp;$M$1,'Form responses'!$C$2:$C62,"&lt;="&amp;$P$1,'Form responses'!$D$2:$D62,$B15)
)*Sum!$E$35
)</f>
        <v>0</v>
      </c>
      <c r="F15" s="419">
        <f>sumifs('Form responses'!$U$2:$U62,'Form responses'!$C$2:$C62,"&gt;="&amp;$M$1,'Form responses'!$C$2:$C62,"&lt;="&amp;$P$1,'Form responses'!$D$2:$D62,$B15)
*Sum!$D$35</f>
        <v>0</v>
      </c>
      <c r="G15" s="421">
        <f>sumifs('Form responses'!$EQ$2:$EQ62,'Form responses'!$B$2:$B62,"&gt;="&amp;$M$1,'Form responses'!$C$2:$C62,"&lt;="&amp;$P$1,'Form responses'!$D$2:$D62,$B15)*Sum!$V$35+sumifs('Form responses'!$ER$2:$ER62,'Form responses'!$B$2:$B62,"&gt;="&amp;$M$1,'Form responses'!$C$2:$C62,"&lt;="&amp;$P$1,'Form responses'!$D$2:$D62,$B15)*Sum!$W$35+sumifs('Form responses'!$ES$2:$ES62,'Form responses'!$B$2:$B62,"&gt;="&amp;$M$1,'Form responses'!$C$2:$C62,"&lt;="&amp;$P$1,'Form responses'!$D$2:$D62,$B15)*Sum!$X$35+sumifs('Form responses'!$ET$2:$ET62,'Form responses'!$B$2:$B62,"&gt;="&amp;$M$1,'Form responses'!$C$2:$C62,"&lt;="&amp;$P$1,'Form responses'!$D$2:$D62,$B15)*Sum!$Y$35</f>
        <v>0</v>
      </c>
      <c r="H15" s="419">
        <f>((
sumifs('Form responses'!$V$2:$V62,'Form responses'!$C$2:$C62,"&gt;="&amp;$M$1,'Form responses'!$C$2:$C62,"&lt;="&amp;$P$1,'Form responses'!$D$2:$D62,$B15)
)*
Sum!$F$35
)+((
sumifs('Form responses'!$W$2:$W62,'Form responses'!$C$2:$C62,"&gt;="&amp;$M$1,'Form responses'!$C$2:$C62,"&lt;="&amp;$P$1,'Form responses'!$D$2:$D62,$B15)
)*
Sum!$G$35
)</f>
        <v>0</v>
      </c>
      <c r="I15" s="419">
        <f>((
sumifs('Form responses'!$X$2:$X62,'Form responses'!$C$2:$C62,"&gt;="&amp;$M$1,'Form responses'!$C$2:$C62,"&lt;="&amp;$P$1,'Form responses'!$D$2:$D62,$B15)
)*Sum!$H$35)+((
sumifs('Form responses'!$Y$2:$Y62,'Form responses'!$C$2:$C62,"&gt;="&amp;$M$1,'Form responses'!$C$2:$C62,"&lt;="&amp;$P$1,'Form responses'!$D$2:$D62,$B15)
)*Sum!$I$35)+((
sumifs('Form responses'!$Z$2:$Z62,'Form responses'!$C$2:$C62,"&gt;="&amp;$M$1,'Form responses'!$C$2:$C62,"&lt;="&amp;$P$1,'Form responses'!$D$2:$D62,$B15)
)*Sum!$Z$35)</f>
        <v>0</v>
      </c>
      <c r="J15" s="419">
        <f t="shared" si="1"/>
        <v>0</v>
      </c>
      <c r="K15" s="419">
        <f>(
sumifs('Form responses'!$AV$2:$AV62,'Form responses'!$C$2:$C62,"&gt;="&amp;$M$1,'Form responses'!$C$2:$C62,"&lt;="&amp;$P$1,'Form responses'!$D$2:$D62,$B15)
+
sumifs('Form responses'!$AW$2:$AW62,'Form responses'!$C$2:$C62,"&gt;="&amp;$M$1,'Form responses'!$C$2:$C62,"&lt;="&amp;$P$1,'Form responses'!$D$2:$D62,$B15)
+
sumifs('Form responses'!$AX$2:$AX62,'Form responses'!$C$2:$C62,"&gt;="&amp;$M$1,'Form responses'!$C$2:$C62,"&lt;="&amp;$P$1,'Form responses'!$D$2:$D62,$B15)
+
sumifs('Form responses'!$AY$2:$AY62,'Form responses'!$C$2:$C62,"&gt;="&amp;$M$1,'Form responses'!$C$2:$C62,"&lt;="&amp;$P$1,'Form responses'!$D$2:$D62,$B15)
)*Sum!$Q$35</f>
        <v>0</v>
      </c>
      <c r="L15" s="419">
        <f>(
sumifs('Form responses'!$BD$2:$BD62,'Form responses'!$C$2:$C62,"&gt;="&amp;$M$1,'Form responses'!$C$2:$C62,"&lt;="&amp;$P$1,'Form responses'!$D$2:$D62,$B15)
+
sumifs('Form responses'!$BE$2:$BE62,'Form responses'!$C$2:$C62,"&gt;="&amp;$M$1,'Form responses'!$C$2:$C62,"&lt;="&amp;$P$1,'Form responses'!$D$2:$D62,$B15)
)*Sum!$R$35</f>
        <v>0</v>
      </c>
      <c r="M15" s="419">
        <f>(
sumifs('Form responses'!$BF$2:$BF62,'Form responses'!$C$2:$C62,"&gt;="&amp;$M$1,'Form responses'!$C$2:$C62,"&lt;="&amp;$P$1,'Form responses'!$D$2:$D62,$B15)
+
sumifs('Form responses'!$BG$2:$BG62,'Form responses'!$C$2:$C62,"&gt;="&amp;$M$1,'Form responses'!$C$2:$C62,"&lt;="&amp;$P$1,'Form responses'!$D$2:$D62,$B15)
)*Sum!$S$35</f>
        <v>0</v>
      </c>
      <c r="N15" s="419">
        <f>sumifs('Form responses'!$BL$2:$BL62,'Form responses'!$C$2:$C62,"&gt;="&amp;$M$1,'Form responses'!$C$2:$C62,"&lt;="&amp;$P$1,'Form responses'!$D$2:$D62,$B15)
*Sum!$T$35</f>
        <v>0</v>
      </c>
      <c r="O15" s="419">
        <f t="shared" si="2"/>
        <v>0</v>
      </c>
      <c r="P15" s="419">
        <f>((sumifs('Form responses'!$BN$2:$BN62,'Form responses'!$C$2:$C62,"&gt;="&amp;$M$1,'Form responses'!$C$2:$C62,"&lt;="&amp;$P$1,'Form responses'!$D$2:$D62,$B15)+
sumifs('Form responses'!$BO$2:$BO62,'Form responses'!$C$2:$C62,"&gt;="&amp;$M$1,'Form responses'!$C$2:$C62,"&lt;="&amp;$P$1,'Form responses'!$D$2:$D62,$B15))*Sum!$U$35)</f>
        <v>0</v>
      </c>
      <c r="Q15" s="419">
        <f t="shared" si="3"/>
        <v>0</v>
      </c>
      <c r="R15" s="346">
        <f t="shared" si="4"/>
        <v>0</v>
      </c>
    </row>
    <row r="16" ht="27.75" customHeight="1">
      <c r="A16" s="417"/>
      <c r="B16" s="418" t="s">
        <v>614</v>
      </c>
      <c r="C16" s="419">
        <f>((sumifs('Form responses'!$G$2:$G62,'Form responses'!$C$2:$C62,"&gt;="&amp;$M$1,'Form responses'!$C$2:$C62,"&lt;="&amp;$P$1,'Form responses'!$D$2:$D62,$B16)
+sumifs('Form responses'!$H$2:$H62,'Form responses'!$C$2:$C62,"&gt;="&amp;$M$1,'Form responses'!$C$2:$C62,"&lt;="&amp;$P$1,'Form responses'!$D$2:$D62,$B16)
+sumifs('Form responses'!$I$2:$I62,'Form responses'!$C$2:$C62,"&gt;="&amp;$M$1,'Form responses'!$C$2:$C62,"&lt;="&amp;$P$1,'Form responses'!$D$2:$D62,$B16)
)*Sum!$B$35)</f>
        <v>0</v>
      </c>
      <c r="D16" s="420">
        <f>((sumifs('Form responses'!$J$2:$J62,'Form responses'!$C$2:$C62,"&gt;="&amp;$M$1,'Form responses'!$C$2:$C62,"&lt;="&amp;$P$1,'Form responses'!$D$2:$D62,$B16))*Sum!$C$35)</f>
        <v>0</v>
      </c>
      <c r="E16" s="419">
        <f>((
sumifs('Form responses'!$S$2:$S62,'Form responses'!$C$2:$C62,"&gt;="&amp;$M$1,'Form responses'!$C$2:$C62,"&lt;="&amp;$P$1,'Form responses'!$D$2:$D62,$B16)
+
sumifs('Form responses'!$T$2:$T62,'Form responses'!$C$2:$C62,"&gt;="&amp;$M$1,'Form responses'!$C$2:$C62,"&lt;="&amp;$P$1,'Form responses'!$D$2:$D62,$B16)
)*Sum!$E$35
)</f>
        <v>0</v>
      </c>
      <c r="F16" s="419">
        <f>sumifs('Form responses'!$U$2:$U62,'Form responses'!$C$2:$C62,"&gt;="&amp;$M$1,'Form responses'!$C$2:$C62,"&lt;="&amp;$P$1,'Form responses'!$D$2:$D62,$B16)
*Sum!$D$35</f>
        <v>0</v>
      </c>
      <c r="G16" s="421">
        <f>sumifs('Form responses'!$EQ$2:$EQ62,'Form responses'!$B$2:$B62,"&gt;="&amp;$M$1,'Form responses'!$C$2:$C62,"&lt;="&amp;$P$1,'Form responses'!$D$2:$D62,$B16)*Sum!$V$35+sumifs('Form responses'!$ER$2:$ER62,'Form responses'!$B$2:$B62,"&gt;="&amp;$M$1,'Form responses'!$C$2:$C62,"&lt;="&amp;$P$1,'Form responses'!$D$2:$D62,$B16)*Sum!$W$35+sumifs('Form responses'!$ES$2:$ES62,'Form responses'!$B$2:$B62,"&gt;="&amp;$M$1,'Form responses'!$C$2:$C62,"&lt;="&amp;$P$1,'Form responses'!$D$2:$D62,$B16)*Sum!$X$35+sumifs('Form responses'!$ET$2:$ET62,'Form responses'!$B$2:$B62,"&gt;="&amp;$M$1,'Form responses'!$C$2:$C62,"&lt;="&amp;$P$1,'Form responses'!$D$2:$D62,$B16)*Sum!$Y$35</f>
        <v>0</v>
      </c>
      <c r="H16" s="419">
        <f>((
sumifs('Form responses'!$V$2:$V62,'Form responses'!$C$2:$C62,"&gt;="&amp;$M$1,'Form responses'!$C$2:$C62,"&lt;="&amp;$P$1,'Form responses'!$D$2:$D62,$B16)
)*
Sum!$F$35
)+((
sumifs('Form responses'!$W$2:$W62,'Form responses'!$C$2:$C62,"&gt;="&amp;$M$1,'Form responses'!$C$2:$C62,"&lt;="&amp;$P$1,'Form responses'!$D$2:$D62,$B16)
)*
Sum!$G$35
)</f>
        <v>0</v>
      </c>
      <c r="I16" s="419">
        <f>((
sumifs('Form responses'!$X$2:$X62,'Form responses'!$C$2:$C62,"&gt;="&amp;$M$1,'Form responses'!$C$2:$C62,"&lt;="&amp;$P$1,'Form responses'!$D$2:$D62,$B16)
)*Sum!$H$35)+((
sumifs('Form responses'!$Y$2:$Y62,'Form responses'!$C$2:$C62,"&gt;="&amp;$M$1,'Form responses'!$C$2:$C62,"&lt;="&amp;$P$1,'Form responses'!$D$2:$D62,$B16)
)*Sum!$I$35)+((
sumifs('Form responses'!$Z$2:$Z62,'Form responses'!$C$2:$C62,"&gt;="&amp;$M$1,'Form responses'!$C$2:$C62,"&lt;="&amp;$P$1,'Form responses'!$D$2:$D62,$B16)
)*Sum!$Z$35)</f>
        <v>0</v>
      </c>
      <c r="J16" s="419">
        <f t="shared" si="1"/>
        <v>0</v>
      </c>
      <c r="K16" s="419">
        <f>(
sumifs('Form responses'!$AV$2:$AV62,'Form responses'!$C$2:$C62,"&gt;="&amp;$M$1,'Form responses'!$C$2:$C62,"&lt;="&amp;$P$1,'Form responses'!$D$2:$D62,$B16)
+
sumifs('Form responses'!$AW$2:$AW62,'Form responses'!$C$2:$C62,"&gt;="&amp;$M$1,'Form responses'!$C$2:$C62,"&lt;="&amp;$P$1,'Form responses'!$D$2:$D62,$B16)
+
sumifs('Form responses'!$AX$2:$AX62,'Form responses'!$C$2:$C62,"&gt;="&amp;$M$1,'Form responses'!$C$2:$C62,"&lt;="&amp;$P$1,'Form responses'!$D$2:$D62,$B16)
+
sumifs('Form responses'!$AY$2:$AY62,'Form responses'!$C$2:$C62,"&gt;="&amp;$M$1,'Form responses'!$C$2:$C62,"&lt;="&amp;$P$1,'Form responses'!$D$2:$D62,$B16)
)*Sum!$Q$35</f>
        <v>0</v>
      </c>
      <c r="L16" s="419">
        <f>(
sumifs('Form responses'!$BD$2:$BD62,'Form responses'!$C$2:$C62,"&gt;="&amp;$M$1,'Form responses'!$C$2:$C62,"&lt;="&amp;$P$1,'Form responses'!$D$2:$D62,$B16)
+
sumifs('Form responses'!$BE$2:$BE62,'Form responses'!$C$2:$C62,"&gt;="&amp;$M$1,'Form responses'!$C$2:$C62,"&lt;="&amp;$P$1,'Form responses'!$D$2:$D62,$B16)
)*Sum!$R$35</f>
        <v>0</v>
      </c>
      <c r="M16" s="419">
        <f>(
sumifs('Form responses'!$BF$2:$BF62,'Form responses'!$C$2:$C62,"&gt;="&amp;$M$1,'Form responses'!$C$2:$C62,"&lt;="&amp;$P$1,'Form responses'!$D$2:$D62,$B16)
+
sumifs('Form responses'!$BG$2:$BG62,'Form responses'!$C$2:$C62,"&gt;="&amp;$M$1,'Form responses'!$C$2:$C62,"&lt;="&amp;$P$1,'Form responses'!$D$2:$D62,$B16)
)*Sum!$S$35</f>
        <v>0</v>
      </c>
      <c r="N16" s="419">
        <f>sumifs('Form responses'!$BL$2:$BL62,'Form responses'!$C$2:$C62,"&gt;="&amp;$M$1,'Form responses'!$C$2:$C62,"&lt;="&amp;$P$1,'Form responses'!$D$2:$D62,$B16)
*Sum!$T$35</f>
        <v>0</v>
      </c>
      <c r="O16" s="419">
        <f t="shared" si="2"/>
        <v>0</v>
      </c>
      <c r="P16" s="419">
        <f>((sumifs('Form responses'!$BN$2:$BN62,'Form responses'!$C$2:$C62,"&gt;="&amp;$M$1,'Form responses'!$C$2:$C62,"&lt;="&amp;$P$1,'Form responses'!$D$2:$D62,$B16)+
sumifs('Form responses'!$BO$2:$BO62,'Form responses'!$C$2:$C62,"&gt;="&amp;$M$1,'Form responses'!$C$2:$C62,"&lt;="&amp;$P$1,'Form responses'!$D$2:$D62,$B16))*Sum!$U$35)</f>
        <v>0</v>
      </c>
      <c r="Q16" s="419">
        <f t="shared" si="3"/>
        <v>0</v>
      </c>
      <c r="R16" s="346">
        <f t="shared" si="4"/>
        <v>0</v>
      </c>
    </row>
    <row r="17" ht="27.75" customHeight="1">
      <c r="A17" s="417"/>
      <c r="B17" s="418" t="s">
        <v>615</v>
      </c>
      <c r="C17" s="419">
        <f>((sumifs('Form responses'!$G$2:$G62,'Form responses'!$C$2:$C62,"&gt;="&amp;$M$1,'Form responses'!$C$2:$C62,"&lt;="&amp;$P$1,'Form responses'!$D$2:$D62,$B17)
+sumifs('Form responses'!$H$2:$H62,'Form responses'!$C$2:$C62,"&gt;="&amp;$M$1,'Form responses'!$C$2:$C62,"&lt;="&amp;$P$1,'Form responses'!$D$2:$D62,$B17)
+sumifs('Form responses'!$I$2:$I62,'Form responses'!$C$2:$C62,"&gt;="&amp;$M$1,'Form responses'!$C$2:$C62,"&lt;="&amp;$P$1,'Form responses'!$D$2:$D62,$B17)
)*Sum!$B$35)</f>
        <v>0</v>
      </c>
      <c r="D17" s="420">
        <f>((sumifs('Form responses'!$J$2:$J62,'Form responses'!$C$2:$C62,"&gt;="&amp;$M$1,'Form responses'!$C$2:$C62,"&lt;="&amp;$P$1,'Form responses'!$D$2:$D62,$B17))*Sum!$C$35)</f>
        <v>0</v>
      </c>
      <c r="E17" s="419">
        <f>((
sumifs('Form responses'!$S$2:$S62,'Form responses'!$C$2:$C62,"&gt;="&amp;$M$1,'Form responses'!$C$2:$C62,"&lt;="&amp;$P$1,'Form responses'!$D$2:$D62,$B17)
+
sumifs('Form responses'!$T$2:$T62,'Form responses'!$C$2:$C62,"&gt;="&amp;$M$1,'Form responses'!$C$2:$C62,"&lt;="&amp;$P$1,'Form responses'!$D$2:$D62,$B17)
)*Sum!$E$35
)</f>
        <v>0</v>
      </c>
      <c r="F17" s="419">
        <f>sumifs('Form responses'!$U$2:$U62,'Form responses'!$C$2:$C62,"&gt;="&amp;$M$1,'Form responses'!$C$2:$C62,"&lt;="&amp;$P$1,'Form responses'!$D$2:$D62,$B17)
*Sum!$D$35</f>
        <v>0</v>
      </c>
      <c r="G17" s="421">
        <f>sumifs('Form responses'!$EQ$2:$EQ62,'Form responses'!$B$2:$B62,"&gt;="&amp;$M$1,'Form responses'!$C$2:$C62,"&lt;="&amp;$P$1,'Form responses'!$D$2:$D62,$B17)*Sum!$V$35+sumifs('Form responses'!$ER$2:$ER62,'Form responses'!$B$2:$B62,"&gt;="&amp;$M$1,'Form responses'!$C$2:$C62,"&lt;="&amp;$P$1,'Form responses'!$D$2:$D62,$B17)*Sum!$W$35+sumifs('Form responses'!$ES$2:$ES62,'Form responses'!$B$2:$B62,"&gt;="&amp;$M$1,'Form responses'!$C$2:$C62,"&lt;="&amp;$P$1,'Form responses'!$D$2:$D62,$B17)*Sum!$X$35+sumifs('Form responses'!$ET$2:$ET62,'Form responses'!$B$2:$B62,"&gt;="&amp;$M$1,'Form responses'!$C$2:$C62,"&lt;="&amp;$P$1,'Form responses'!$D$2:$D62,$B17)*Sum!$Y$35</f>
        <v>0</v>
      </c>
      <c r="H17" s="419">
        <f>((
sumifs('Form responses'!$V$2:$V62,'Form responses'!$C$2:$C62,"&gt;="&amp;$M$1,'Form responses'!$C$2:$C62,"&lt;="&amp;$P$1,'Form responses'!$D$2:$D62,$B17)
)*
Sum!$F$35
)+((
sumifs('Form responses'!$W$2:$W62,'Form responses'!$C$2:$C62,"&gt;="&amp;$M$1,'Form responses'!$C$2:$C62,"&lt;="&amp;$P$1,'Form responses'!$D$2:$D62,$B17)
)*
Sum!$G$35
)</f>
        <v>0</v>
      </c>
      <c r="I17" s="419">
        <f>((
sumifs('Form responses'!$X$2:$X62,'Form responses'!$C$2:$C62,"&gt;="&amp;$M$1,'Form responses'!$C$2:$C62,"&lt;="&amp;$P$1,'Form responses'!$D$2:$D62,$B17)
)*Sum!$H$35)+((
sumifs('Form responses'!$Y$2:$Y62,'Form responses'!$C$2:$C62,"&gt;="&amp;$M$1,'Form responses'!$C$2:$C62,"&lt;="&amp;$P$1,'Form responses'!$D$2:$D62,$B17)
)*Sum!$I$35)+((
sumifs('Form responses'!$Z$2:$Z62,'Form responses'!$C$2:$C62,"&gt;="&amp;$M$1,'Form responses'!$C$2:$C62,"&lt;="&amp;$P$1,'Form responses'!$D$2:$D62,$B17)
)*Sum!$Z$35)</f>
        <v>0</v>
      </c>
      <c r="J17" s="419">
        <f t="shared" si="1"/>
        <v>0</v>
      </c>
      <c r="K17" s="419">
        <f>(
sumifs('Form responses'!$AV$2:$AV62,'Form responses'!$C$2:$C62,"&gt;="&amp;$M$1,'Form responses'!$C$2:$C62,"&lt;="&amp;$P$1,'Form responses'!$D$2:$D62,$B17)
+
sumifs('Form responses'!$AW$2:$AW62,'Form responses'!$C$2:$C62,"&gt;="&amp;$M$1,'Form responses'!$C$2:$C62,"&lt;="&amp;$P$1,'Form responses'!$D$2:$D62,$B17)
+
sumifs('Form responses'!$AX$2:$AX62,'Form responses'!$C$2:$C62,"&gt;="&amp;$M$1,'Form responses'!$C$2:$C62,"&lt;="&amp;$P$1,'Form responses'!$D$2:$D62,$B17)
+
sumifs('Form responses'!$AY$2:$AY62,'Form responses'!$C$2:$C62,"&gt;="&amp;$M$1,'Form responses'!$C$2:$C62,"&lt;="&amp;$P$1,'Form responses'!$D$2:$D62,$B17)
)*Sum!$Q$35</f>
        <v>0</v>
      </c>
      <c r="L17" s="419">
        <f>(
sumifs('Form responses'!$BD$2:$BD62,'Form responses'!$C$2:$C62,"&gt;="&amp;$M$1,'Form responses'!$C$2:$C62,"&lt;="&amp;$P$1,'Form responses'!$D$2:$D62,$B17)
+
sumifs('Form responses'!$BE$2:$BE62,'Form responses'!$C$2:$C62,"&gt;="&amp;$M$1,'Form responses'!$C$2:$C62,"&lt;="&amp;$P$1,'Form responses'!$D$2:$D62,$B17)
)*Sum!$R$35</f>
        <v>0</v>
      </c>
      <c r="M17" s="419">
        <f>(
sumifs('Form responses'!$BF$2:$BF62,'Form responses'!$C$2:$C62,"&gt;="&amp;$M$1,'Form responses'!$C$2:$C62,"&lt;="&amp;$P$1,'Form responses'!$D$2:$D62,$B17)
+
sumifs('Form responses'!$BG$2:$BG62,'Form responses'!$C$2:$C62,"&gt;="&amp;$M$1,'Form responses'!$C$2:$C62,"&lt;="&amp;$P$1,'Form responses'!$D$2:$D62,$B17)
)*Sum!$S$35</f>
        <v>0</v>
      </c>
      <c r="N17" s="419">
        <f>sumifs('Form responses'!$BL$2:$BL62,'Form responses'!$C$2:$C62,"&gt;="&amp;$M$1,'Form responses'!$C$2:$C62,"&lt;="&amp;$P$1,'Form responses'!$D$2:$D62,$B17)
*Sum!$T$35</f>
        <v>0</v>
      </c>
      <c r="O17" s="419">
        <f t="shared" si="2"/>
        <v>0</v>
      </c>
      <c r="P17" s="419">
        <f>((sumifs('Form responses'!$BN$2:$BN62,'Form responses'!$C$2:$C62,"&gt;="&amp;$M$1,'Form responses'!$C$2:$C62,"&lt;="&amp;$P$1,'Form responses'!$D$2:$D62,$B17)+
sumifs('Form responses'!$BO$2:$BO62,'Form responses'!$C$2:$C62,"&gt;="&amp;$M$1,'Form responses'!$C$2:$C62,"&lt;="&amp;$P$1,'Form responses'!$D$2:$D62,$B17))*Sum!$U$35)</f>
        <v>0</v>
      </c>
      <c r="Q17" s="419">
        <f t="shared" si="3"/>
        <v>0</v>
      </c>
      <c r="R17" s="346">
        <f t="shared" si="4"/>
        <v>0</v>
      </c>
    </row>
    <row r="18" ht="27.75" customHeight="1">
      <c r="A18" s="417"/>
      <c r="B18" s="418" t="s">
        <v>616</v>
      </c>
      <c r="C18" s="419">
        <f>((sumifs('Form responses'!$G$2:$G62,'Form responses'!$C$2:$C62,"&gt;="&amp;$M$1,'Form responses'!$C$2:$C62,"&lt;="&amp;$P$1,'Form responses'!$D$2:$D62,$B18)
+sumifs('Form responses'!$H$2:$H62,'Form responses'!$C$2:$C62,"&gt;="&amp;$M$1,'Form responses'!$C$2:$C62,"&lt;="&amp;$P$1,'Form responses'!$D$2:$D62,$B18)
+sumifs('Form responses'!$I$2:$I62,'Form responses'!$C$2:$C62,"&gt;="&amp;$M$1,'Form responses'!$C$2:$C62,"&lt;="&amp;$P$1,'Form responses'!$D$2:$D62,$B18)
)*Sum!$B$35)</f>
        <v>0</v>
      </c>
      <c r="D18" s="420">
        <f>((sumifs('Form responses'!$J$2:$J62,'Form responses'!$C$2:$C62,"&gt;="&amp;$M$1,'Form responses'!$C$2:$C62,"&lt;="&amp;$P$1,'Form responses'!$D$2:$D62,$B18))*Sum!$C$35)</f>
        <v>0</v>
      </c>
      <c r="E18" s="419">
        <f>((
sumifs('Form responses'!$S$2:$S62,'Form responses'!$C$2:$C62,"&gt;="&amp;$M$1,'Form responses'!$C$2:$C62,"&lt;="&amp;$P$1,'Form responses'!$D$2:$D62,$B18)
+
sumifs('Form responses'!$T$2:$T62,'Form responses'!$C$2:$C62,"&gt;="&amp;$M$1,'Form responses'!$C$2:$C62,"&lt;="&amp;$P$1,'Form responses'!$D$2:$D62,$B18)
)*Sum!$E$35
)</f>
        <v>0</v>
      </c>
      <c r="F18" s="419">
        <f>sumifs('Form responses'!$U$2:$U62,'Form responses'!$C$2:$C62,"&gt;="&amp;$M$1,'Form responses'!$C$2:$C62,"&lt;="&amp;$P$1,'Form responses'!$D$2:$D62,$B18)
*Sum!$D$35</f>
        <v>0</v>
      </c>
      <c r="G18" s="421">
        <f>sumifs('Form responses'!$EQ$2:$EQ62,'Form responses'!$B$2:$B62,"&gt;="&amp;$M$1,'Form responses'!$C$2:$C62,"&lt;="&amp;$P$1,'Form responses'!$D$2:$D62,$B18)*Sum!$V$35+sumifs('Form responses'!$ER$2:$ER62,'Form responses'!$B$2:$B62,"&gt;="&amp;$M$1,'Form responses'!$C$2:$C62,"&lt;="&amp;$P$1,'Form responses'!$D$2:$D62,$B18)*Sum!$W$35+sumifs('Form responses'!$ES$2:$ES62,'Form responses'!$B$2:$B62,"&gt;="&amp;$M$1,'Form responses'!$C$2:$C62,"&lt;="&amp;$P$1,'Form responses'!$D$2:$D62,$B18)*Sum!$X$35+sumifs('Form responses'!$ET$2:$ET62,'Form responses'!$B$2:$B62,"&gt;="&amp;$M$1,'Form responses'!$C$2:$C62,"&lt;="&amp;$P$1,'Form responses'!$D$2:$D62,$B18)*Sum!$Y$35</f>
        <v>0</v>
      </c>
      <c r="H18" s="419">
        <f>((
sumifs('Form responses'!$V$2:$V62,'Form responses'!$C$2:$C62,"&gt;="&amp;$M$1,'Form responses'!$C$2:$C62,"&lt;="&amp;$P$1,'Form responses'!$D$2:$D62,$B18)
)*
Sum!$F$35
)+((
sumifs('Form responses'!$W$2:$W62,'Form responses'!$C$2:$C62,"&gt;="&amp;$M$1,'Form responses'!$C$2:$C62,"&lt;="&amp;$P$1,'Form responses'!$D$2:$D62,$B18)
)*
Sum!$G$35
)</f>
        <v>0</v>
      </c>
      <c r="I18" s="419">
        <f>((
sumifs('Form responses'!$X$2:$X62,'Form responses'!$C$2:$C62,"&gt;="&amp;$M$1,'Form responses'!$C$2:$C62,"&lt;="&amp;$P$1,'Form responses'!$D$2:$D62,$B18)
)*Sum!$H$35)+((
sumifs('Form responses'!$Y$2:$Y62,'Form responses'!$C$2:$C62,"&gt;="&amp;$M$1,'Form responses'!$C$2:$C62,"&lt;="&amp;$P$1,'Form responses'!$D$2:$D62,$B18)
)*Sum!$I$35)+((
sumifs('Form responses'!$Z$2:$Z62,'Form responses'!$C$2:$C62,"&gt;="&amp;$M$1,'Form responses'!$C$2:$C62,"&lt;="&amp;$P$1,'Form responses'!$D$2:$D62,$B18)
)*Sum!$Z$35)</f>
        <v>0</v>
      </c>
      <c r="J18" s="419">
        <f t="shared" si="1"/>
        <v>0</v>
      </c>
      <c r="K18" s="419">
        <f>(
sumifs('Form responses'!$AV$2:$AV62,'Form responses'!$C$2:$C62,"&gt;="&amp;$M$1,'Form responses'!$C$2:$C62,"&lt;="&amp;$P$1,'Form responses'!$D$2:$D62,$B18)
+
sumifs('Form responses'!$AW$2:$AW62,'Form responses'!$C$2:$C62,"&gt;="&amp;$M$1,'Form responses'!$C$2:$C62,"&lt;="&amp;$P$1,'Form responses'!$D$2:$D62,$B18)
+
sumifs('Form responses'!$AX$2:$AX62,'Form responses'!$C$2:$C62,"&gt;="&amp;$M$1,'Form responses'!$C$2:$C62,"&lt;="&amp;$P$1,'Form responses'!$D$2:$D62,$B18)
+
sumifs('Form responses'!$AY$2:$AY62,'Form responses'!$C$2:$C62,"&gt;="&amp;$M$1,'Form responses'!$C$2:$C62,"&lt;="&amp;$P$1,'Form responses'!$D$2:$D62,$B18)
)*Sum!$Q$35</f>
        <v>0</v>
      </c>
      <c r="L18" s="419">
        <f>(
sumifs('Form responses'!$BD$2:$BD62,'Form responses'!$C$2:$C62,"&gt;="&amp;$M$1,'Form responses'!$C$2:$C62,"&lt;="&amp;$P$1,'Form responses'!$D$2:$D62,$B18)
+
sumifs('Form responses'!$BE$2:$BE62,'Form responses'!$C$2:$C62,"&gt;="&amp;$M$1,'Form responses'!$C$2:$C62,"&lt;="&amp;$P$1,'Form responses'!$D$2:$D62,$B18)
)*Sum!$R$35</f>
        <v>0</v>
      </c>
      <c r="M18" s="419">
        <f>(
sumifs('Form responses'!$BF$2:$BF62,'Form responses'!$C$2:$C62,"&gt;="&amp;$M$1,'Form responses'!$C$2:$C62,"&lt;="&amp;$P$1,'Form responses'!$D$2:$D62,$B18)
+
sumifs('Form responses'!$BG$2:$BG62,'Form responses'!$C$2:$C62,"&gt;="&amp;$M$1,'Form responses'!$C$2:$C62,"&lt;="&amp;$P$1,'Form responses'!$D$2:$D62,$B18)
)*Sum!$S$35</f>
        <v>0</v>
      </c>
      <c r="N18" s="419">
        <f>sumifs('Form responses'!$BL$2:$BL62,'Form responses'!$C$2:$C62,"&gt;="&amp;$M$1,'Form responses'!$C$2:$C62,"&lt;="&amp;$P$1,'Form responses'!$D$2:$D62,$B18)
*Sum!$T$35</f>
        <v>0</v>
      </c>
      <c r="O18" s="419">
        <f t="shared" si="2"/>
        <v>0</v>
      </c>
      <c r="P18" s="419">
        <f>((sumifs('Form responses'!$BN$2:$BN62,'Form responses'!$C$2:$C62,"&gt;="&amp;$M$1,'Form responses'!$C$2:$C62,"&lt;="&amp;$P$1,'Form responses'!$D$2:$D62,$B18)+
sumifs('Form responses'!$BO$2:$BO62,'Form responses'!$C$2:$C62,"&gt;="&amp;$M$1,'Form responses'!$C$2:$C62,"&lt;="&amp;$P$1,'Form responses'!$D$2:$D62,$B18))*Sum!$U$35)</f>
        <v>0</v>
      </c>
      <c r="Q18" s="419">
        <f t="shared" si="3"/>
        <v>0</v>
      </c>
      <c r="R18" s="346">
        <f t="shared" si="4"/>
        <v>0</v>
      </c>
    </row>
    <row r="19" ht="27.75" customHeight="1">
      <c r="A19" s="424">
        <v>4.0</v>
      </c>
      <c r="B19" s="423" t="s">
        <v>617</v>
      </c>
      <c r="C19" s="419">
        <f>((sumifs('Form responses'!$G$2:$G62,'Form responses'!$C$2:$C62,"&gt;="&amp;$M$1,'Form responses'!$C$2:$C62,"&lt;="&amp;$P$1,'Form responses'!$D$2:$D62,$B19)
+sumifs('Form responses'!$H$2:$H62,'Form responses'!$C$2:$C62,"&gt;="&amp;$M$1,'Form responses'!$C$2:$C62,"&lt;="&amp;$P$1,'Form responses'!$D$2:$D62,$B19)
+sumifs('Form responses'!$I$2:$I62,'Form responses'!$C$2:$C62,"&gt;="&amp;$M$1,'Form responses'!$C$2:$C62,"&lt;="&amp;$P$1,'Form responses'!$D$2:$D62,$B19)
)*Sum!$B$35)</f>
        <v>0</v>
      </c>
      <c r="D19" s="420">
        <f>((sumifs('Form responses'!$J$2:$J62,'Form responses'!$C$2:$C62,"&gt;="&amp;$M$1,'Form responses'!$C$2:$C62,"&lt;="&amp;$P$1,'Form responses'!$D$2:$D62,$B19))*Sum!$C$35)</f>
        <v>0</v>
      </c>
      <c r="E19" s="419">
        <f>((
sumifs('Form responses'!$S$2:$S62,'Form responses'!$C$2:$C62,"&gt;="&amp;$M$1,'Form responses'!$C$2:$C62,"&lt;="&amp;$P$1,'Form responses'!$D$2:$D62,$B19)
+
sumifs('Form responses'!$T$2:$T62,'Form responses'!$C$2:$C62,"&gt;="&amp;$M$1,'Form responses'!$C$2:$C62,"&lt;="&amp;$P$1,'Form responses'!$D$2:$D62,$B19)
)*Sum!$E$35
)</f>
        <v>0</v>
      </c>
      <c r="F19" s="419">
        <f>sumifs('Form responses'!$U$2:$U62,'Form responses'!$C$2:$C62,"&gt;="&amp;$M$1,'Form responses'!$C$2:$C62,"&lt;="&amp;$P$1,'Form responses'!$D$2:$D62,$B19)
*Sum!$D$35</f>
        <v>0</v>
      </c>
      <c r="G19" s="421">
        <f>sumifs('Form responses'!$EQ$2:$EQ62,'Form responses'!$B$2:$B62,"&gt;="&amp;$M$1,'Form responses'!$C$2:$C62,"&lt;="&amp;$P$1,'Form responses'!$D$2:$D62,$B19)*Sum!$V$35+sumifs('Form responses'!$ER$2:$ER62,'Form responses'!$B$2:$B62,"&gt;="&amp;$M$1,'Form responses'!$C$2:$C62,"&lt;="&amp;$P$1,'Form responses'!$D$2:$D62,$B19)*Sum!$W$35+sumifs('Form responses'!$ES$2:$ES62,'Form responses'!$B$2:$B62,"&gt;="&amp;$M$1,'Form responses'!$C$2:$C62,"&lt;="&amp;$P$1,'Form responses'!$D$2:$D62,$B19)*Sum!$X$35+sumifs('Form responses'!$ET$2:$ET62,'Form responses'!$B$2:$B62,"&gt;="&amp;$M$1,'Form responses'!$C$2:$C62,"&lt;="&amp;$P$1,'Form responses'!$D$2:$D62,$B19)*Sum!$Y$35</f>
        <v>0</v>
      </c>
      <c r="H19" s="419">
        <f>((
sumifs('Form responses'!$V$2:$V62,'Form responses'!$C$2:$C62,"&gt;="&amp;$M$1,'Form responses'!$C$2:$C62,"&lt;="&amp;$P$1,'Form responses'!$D$2:$D62,$B19)
)*
Sum!$F$35
)+((
sumifs('Form responses'!$W$2:$W62,'Form responses'!$C$2:$C62,"&gt;="&amp;$M$1,'Form responses'!$C$2:$C62,"&lt;="&amp;$P$1,'Form responses'!$D$2:$D62,$B19)
)*
Sum!$G$35
)</f>
        <v>0</v>
      </c>
      <c r="I19" s="419">
        <f>((
sumifs('Form responses'!$X$2:$X62,'Form responses'!$C$2:$C62,"&gt;="&amp;$M$1,'Form responses'!$C$2:$C62,"&lt;="&amp;$P$1,'Form responses'!$D$2:$D62,$B19)
)*Sum!$H$35)+((
sumifs('Form responses'!$Y$2:$Y62,'Form responses'!$C$2:$C62,"&gt;="&amp;$M$1,'Form responses'!$C$2:$C62,"&lt;="&amp;$P$1,'Form responses'!$D$2:$D62,$B19)
)*Sum!$I$35)+((
sumifs('Form responses'!$Z$2:$Z62,'Form responses'!$C$2:$C62,"&gt;="&amp;$M$1,'Form responses'!$C$2:$C62,"&lt;="&amp;$P$1,'Form responses'!$D$2:$D62,$B19)
)*Sum!$Z$35)</f>
        <v>0</v>
      </c>
      <c r="J19" s="419">
        <f t="shared" si="1"/>
        <v>0</v>
      </c>
      <c r="K19" s="419">
        <f>(
sumifs('Form responses'!$AV$2:$AV62,'Form responses'!$C$2:$C62,"&gt;="&amp;$M$1,'Form responses'!$C$2:$C62,"&lt;="&amp;$P$1,'Form responses'!$D$2:$D62,$B19)
+
sumifs('Form responses'!$AW$2:$AW62,'Form responses'!$C$2:$C62,"&gt;="&amp;$M$1,'Form responses'!$C$2:$C62,"&lt;="&amp;$P$1,'Form responses'!$D$2:$D62,$B19)
+
sumifs('Form responses'!$AX$2:$AX62,'Form responses'!$C$2:$C62,"&gt;="&amp;$M$1,'Form responses'!$C$2:$C62,"&lt;="&amp;$P$1,'Form responses'!$D$2:$D62,$B19)
+
sumifs('Form responses'!$AY$2:$AY62,'Form responses'!$C$2:$C62,"&gt;="&amp;$M$1,'Form responses'!$C$2:$C62,"&lt;="&amp;$P$1,'Form responses'!$D$2:$D62,$B19)
)*Sum!$Q$35</f>
        <v>0</v>
      </c>
      <c r="L19" s="419">
        <f>(
sumifs('Form responses'!$BD$2:$BD62,'Form responses'!$C$2:$C62,"&gt;="&amp;$M$1,'Form responses'!$C$2:$C62,"&lt;="&amp;$P$1,'Form responses'!$D$2:$D62,$B19)
+
sumifs('Form responses'!$BE$2:$BE62,'Form responses'!$C$2:$C62,"&gt;="&amp;$M$1,'Form responses'!$C$2:$C62,"&lt;="&amp;$P$1,'Form responses'!$D$2:$D62,$B19)
)*Sum!$R$35</f>
        <v>0</v>
      </c>
      <c r="M19" s="419">
        <f>(
sumifs('Form responses'!$BF$2:$BF62,'Form responses'!$C$2:$C62,"&gt;="&amp;$M$1,'Form responses'!$C$2:$C62,"&lt;="&amp;$P$1,'Form responses'!$D$2:$D62,$B19)
+
sumifs('Form responses'!$BG$2:$BG62,'Form responses'!$C$2:$C62,"&gt;="&amp;$M$1,'Form responses'!$C$2:$C62,"&lt;="&amp;$P$1,'Form responses'!$D$2:$D62,$B19)
)*Sum!$S$35</f>
        <v>0</v>
      </c>
      <c r="N19" s="419">
        <f>sumifs('Form responses'!$BL$2:$BL62,'Form responses'!$C$2:$C62,"&gt;="&amp;$M$1,'Form responses'!$C$2:$C62,"&lt;="&amp;$P$1,'Form responses'!$D$2:$D62,$B19)
*Sum!$T$35</f>
        <v>0</v>
      </c>
      <c r="O19" s="419">
        <f t="shared" si="2"/>
        <v>0</v>
      </c>
      <c r="P19" s="419">
        <f>((sumifs('Form responses'!$BN$2:$BN62,'Form responses'!$C$2:$C62,"&gt;="&amp;$M$1,'Form responses'!$C$2:$C62,"&lt;="&amp;$P$1,'Form responses'!$D$2:$D62,$B19)+
sumifs('Form responses'!$BO$2:$BO62,'Form responses'!$C$2:$C62,"&gt;="&amp;$M$1,'Form responses'!$C$2:$C62,"&lt;="&amp;$P$1,'Form responses'!$D$2:$D62,$B19))*Sum!$U$35)</f>
        <v>0</v>
      </c>
      <c r="Q19" s="419">
        <f t="shared" si="3"/>
        <v>0</v>
      </c>
      <c r="R19" s="346">
        <f t="shared" si="4"/>
        <v>0</v>
      </c>
    </row>
    <row r="20" ht="27.75" customHeight="1">
      <c r="A20" s="417"/>
      <c r="B20" s="418" t="s">
        <v>618</v>
      </c>
      <c r="C20" s="419">
        <f>((sumifs('Form responses'!$G$2:$G62,'Form responses'!$C$2:$C62,"&gt;="&amp;$M$1,'Form responses'!$C$2:$C62,"&lt;="&amp;$P$1,'Form responses'!$D$2:$D62,$B20)
+sumifs('Form responses'!$H$2:$H62,'Form responses'!$C$2:$C62,"&gt;="&amp;$M$1,'Form responses'!$C$2:$C62,"&lt;="&amp;$P$1,'Form responses'!$D$2:$D62,$B20)
+sumifs('Form responses'!$I$2:$I62,'Form responses'!$C$2:$C62,"&gt;="&amp;$M$1,'Form responses'!$C$2:$C62,"&lt;="&amp;$P$1,'Form responses'!$D$2:$D62,$B20)
)*Sum!$B$35)</f>
        <v>0</v>
      </c>
      <c r="D20" s="420">
        <f>((sumifs('Form responses'!$J$2:$J62,'Form responses'!$C$2:$C62,"&gt;="&amp;$M$1,'Form responses'!$C$2:$C62,"&lt;="&amp;$P$1,'Form responses'!$D$2:$D62,$B20))*Sum!$C$35)</f>
        <v>0</v>
      </c>
      <c r="E20" s="419">
        <f>((
sumifs('Form responses'!$S$2:$S62,'Form responses'!$C$2:$C62,"&gt;="&amp;$M$1,'Form responses'!$C$2:$C62,"&lt;="&amp;$P$1,'Form responses'!$D$2:$D62,$B20)
+
sumifs('Form responses'!$T$2:$T62,'Form responses'!$C$2:$C62,"&gt;="&amp;$M$1,'Form responses'!$C$2:$C62,"&lt;="&amp;$P$1,'Form responses'!$D$2:$D62,$B20)
)*Sum!$E$35
)</f>
        <v>0</v>
      </c>
      <c r="F20" s="419">
        <f>sumifs('Form responses'!$U$2:$U62,'Form responses'!$C$2:$C62,"&gt;="&amp;$M$1,'Form responses'!$C$2:$C62,"&lt;="&amp;$P$1,'Form responses'!$D$2:$D62,$B20)
*Sum!$D$35</f>
        <v>0</v>
      </c>
      <c r="G20" s="421">
        <f>sumifs('Form responses'!$EQ$2:$EQ62,'Form responses'!$B$2:$B62,"&gt;="&amp;$M$1,'Form responses'!$C$2:$C62,"&lt;="&amp;$P$1,'Form responses'!$D$2:$D62,$B20)*Sum!$V$35+sumifs('Form responses'!$ER$2:$ER62,'Form responses'!$B$2:$B62,"&gt;="&amp;$M$1,'Form responses'!$C$2:$C62,"&lt;="&amp;$P$1,'Form responses'!$D$2:$D62,$B20)*Sum!$W$35+sumifs('Form responses'!$ES$2:$ES62,'Form responses'!$B$2:$B62,"&gt;="&amp;$M$1,'Form responses'!$C$2:$C62,"&lt;="&amp;$P$1,'Form responses'!$D$2:$D62,$B20)*Sum!$X$35+sumifs('Form responses'!$ET$2:$ET62,'Form responses'!$B$2:$B62,"&gt;="&amp;$M$1,'Form responses'!$C$2:$C62,"&lt;="&amp;$P$1,'Form responses'!$D$2:$D62,$B20)*Sum!$Y$35</f>
        <v>0</v>
      </c>
      <c r="H20" s="419">
        <f>((
sumifs('Form responses'!$V$2:$V62,'Form responses'!$C$2:$C62,"&gt;="&amp;$M$1,'Form responses'!$C$2:$C62,"&lt;="&amp;$P$1,'Form responses'!$D$2:$D62,$B20)
)*
Sum!$F$35
)+((
sumifs('Form responses'!$W$2:$W62,'Form responses'!$C$2:$C62,"&gt;="&amp;$M$1,'Form responses'!$C$2:$C62,"&lt;="&amp;$P$1,'Form responses'!$D$2:$D62,$B20)
)*
Sum!$G$35
)</f>
        <v>0</v>
      </c>
      <c r="I20" s="419">
        <f>((
sumifs('Form responses'!$X$2:$X62,'Form responses'!$C$2:$C62,"&gt;="&amp;$M$1,'Form responses'!$C$2:$C62,"&lt;="&amp;$P$1,'Form responses'!$D$2:$D62,$B20)
)*Sum!$H$35)+((
sumifs('Form responses'!$Y$2:$Y62,'Form responses'!$C$2:$C62,"&gt;="&amp;$M$1,'Form responses'!$C$2:$C62,"&lt;="&amp;$P$1,'Form responses'!$D$2:$D62,$B20)
)*Sum!$I$35)+((
sumifs('Form responses'!$Z$2:$Z62,'Form responses'!$C$2:$C62,"&gt;="&amp;$M$1,'Form responses'!$C$2:$C62,"&lt;="&amp;$P$1,'Form responses'!$D$2:$D62,$B20)
)*Sum!$Z$35)</f>
        <v>0</v>
      </c>
      <c r="J20" s="419">
        <f t="shared" si="1"/>
        <v>0</v>
      </c>
      <c r="K20" s="419">
        <f>(
sumifs('Form responses'!$AV$2:$AV62,'Form responses'!$C$2:$C62,"&gt;="&amp;$M$1,'Form responses'!$C$2:$C62,"&lt;="&amp;$P$1,'Form responses'!$D$2:$D62,$B20)
+
sumifs('Form responses'!$AW$2:$AW62,'Form responses'!$C$2:$C62,"&gt;="&amp;$M$1,'Form responses'!$C$2:$C62,"&lt;="&amp;$P$1,'Form responses'!$D$2:$D62,$B20)
+
sumifs('Form responses'!$AX$2:$AX62,'Form responses'!$C$2:$C62,"&gt;="&amp;$M$1,'Form responses'!$C$2:$C62,"&lt;="&amp;$P$1,'Form responses'!$D$2:$D62,$B20)
+
sumifs('Form responses'!$AY$2:$AY62,'Form responses'!$C$2:$C62,"&gt;="&amp;$M$1,'Form responses'!$C$2:$C62,"&lt;="&amp;$P$1,'Form responses'!$D$2:$D62,$B20)
)*Sum!$Q$35</f>
        <v>0</v>
      </c>
      <c r="L20" s="419">
        <f>(
sumifs('Form responses'!$BD$2:$BD62,'Form responses'!$C$2:$C62,"&gt;="&amp;$M$1,'Form responses'!$C$2:$C62,"&lt;="&amp;$P$1,'Form responses'!$D$2:$D62,$B20)
+
sumifs('Form responses'!$BE$2:$BE62,'Form responses'!$C$2:$C62,"&gt;="&amp;$M$1,'Form responses'!$C$2:$C62,"&lt;="&amp;$P$1,'Form responses'!$D$2:$D62,$B20)
)*Sum!$R$35</f>
        <v>0</v>
      </c>
      <c r="M20" s="419">
        <f>(
sumifs('Form responses'!$BF$2:$BF62,'Form responses'!$C$2:$C62,"&gt;="&amp;$M$1,'Form responses'!$C$2:$C62,"&lt;="&amp;$P$1,'Form responses'!$D$2:$D62,$B20)
+
sumifs('Form responses'!$BG$2:$BG62,'Form responses'!$C$2:$C62,"&gt;="&amp;$M$1,'Form responses'!$C$2:$C62,"&lt;="&amp;$P$1,'Form responses'!$D$2:$D62,$B20)
)*Sum!$S$35</f>
        <v>0</v>
      </c>
      <c r="N20" s="419">
        <f>sumifs('Form responses'!$BL$2:$BL62,'Form responses'!$C$2:$C62,"&gt;="&amp;$M$1,'Form responses'!$C$2:$C62,"&lt;="&amp;$P$1,'Form responses'!$D$2:$D62,$B20)
*Sum!$T$35</f>
        <v>0</v>
      </c>
      <c r="O20" s="419">
        <f t="shared" si="2"/>
        <v>0</v>
      </c>
      <c r="P20" s="419">
        <f>((sumifs('Form responses'!$BN$2:$BN62,'Form responses'!$C$2:$C62,"&gt;="&amp;$M$1,'Form responses'!$C$2:$C62,"&lt;="&amp;$P$1,'Form responses'!$D$2:$D62,$B20)+
sumifs('Form responses'!$BO$2:$BO62,'Form responses'!$C$2:$C62,"&gt;="&amp;$M$1,'Form responses'!$C$2:$C62,"&lt;="&amp;$P$1,'Form responses'!$D$2:$D62,$B20))*Sum!$U$35)</f>
        <v>0</v>
      </c>
      <c r="Q20" s="419">
        <f t="shared" si="3"/>
        <v>0</v>
      </c>
      <c r="R20" s="346">
        <f t="shared" si="4"/>
        <v>0</v>
      </c>
    </row>
    <row r="21" ht="27.75" customHeight="1">
      <c r="A21" s="417"/>
      <c r="B21" s="423" t="s">
        <v>619</v>
      </c>
      <c r="C21" s="419">
        <f>((sumifs('Form responses'!$G$2:$G62,'Form responses'!$C$2:$C62,"&gt;="&amp;$M$1,'Form responses'!$C$2:$C62,"&lt;="&amp;$P$1,'Form responses'!$D$2:$D62,$B21)
+sumifs('Form responses'!$H$2:$H62,'Form responses'!$C$2:$C62,"&gt;="&amp;$M$1,'Form responses'!$C$2:$C62,"&lt;="&amp;$P$1,'Form responses'!$D$2:$D62,$B21)
+sumifs('Form responses'!$I$2:$I62,'Form responses'!$C$2:$C62,"&gt;="&amp;$M$1,'Form responses'!$C$2:$C62,"&lt;="&amp;$P$1,'Form responses'!$D$2:$D62,$B21)
)*Sum!$B$35)</f>
        <v>0</v>
      </c>
      <c r="D21" s="420">
        <f>((sumifs('Form responses'!$J$2:$J62,'Form responses'!$C$2:$C62,"&gt;="&amp;$M$1,'Form responses'!$C$2:$C62,"&lt;="&amp;$P$1,'Form responses'!$D$2:$D62,$B21))*Sum!$C$35)</f>
        <v>0</v>
      </c>
      <c r="E21" s="419">
        <f>((
sumifs('Form responses'!$S$2:$S62,'Form responses'!$C$2:$C62,"&gt;="&amp;$M$1,'Form responses'!$C$2:$C62,"&lt;="&amp;$P$1,'Form responses'!$D$2:$D62,$B21)
+
sumifs('Form responses'!$T$2:$T62,'Form responses'!$C$2:$C62,"&gt;="&amp;$M$1,'Form responses'!$C$2:$C62,"&lt;="&amp;$P$1,'Form responses'!$D$2:$D62,$B21)
)*Sum!$E$35
)</f>
        <v>0</v>
      </c>
      <c r="F21" s="419">
        <f>sumifs('Form responses'!$U$2:$U62,'Form responses'!$C$2:$C62,"&gt;="&amp;$M$1,'Form responses'!$C$2:$C62,"&lt;="&amp;$P$1,'Form responses'!$D$2:$D62,$B21)
*Sum!$D$35</f>
        <v>0</v>
      </c>
      <c r="G21" s="421">
        <f>sumifs('Form responses'!$EQ$2:$EQ62,'Form responses'!$B$2:$B62,"&gt;="&amp;$M$1,'Form responses'!$C$2:$C62,"&lt;="&amp;$P$1,'Form responses'!$D$2:$D62,$B21)*Sum!$V$35+sumifs('Form responses'!$ER$2:$ER62,'Form responses'!$B$2:$B62,"&gt;="&amp;$M$1,'Form responses'!$C$2:$C62,"&lt;="&amp;$P$1,'Form responses'!$D$2:$D62,$B21)*Sum!$W$35+sumifs('Form responses'!$ES$2:$ES62,'Form responses'!$B$2:$B62,"&gt;="&amp;$M$1,'Form responses'!$C$2:$C62,"&lt;="&amp;$P$1,'Form responses'!$D$2:$D62,$B21)*Sum!$X$35+sumifs('Form responses'!$ET$2:$ET62,'Form responses'!$B$2:$B62,"&gt;="&amp;$M$1,'Form responses'!$C$2:$C62,"&lt;="&amp;$P$1,'Form responses'!$D$2:$D62,$B21)*Sum!$Y$35</f>
        <v>0</v>
      </c>
      <c r="H21" s="419">
        <f>((
sumifs('Form responses'!$V$2:$V62,'Form responses'!$C$2:$C62,"&gt;="&amp;$M$1,'Form responses'!$C$2:$C62,"&lt;="&amp;$P$1,'Form responses'!$D$2:$D62,$B21)
)*
Sum!$F$35
)+((
sumifs('Form responses'!$W$2:$W62,'Form responses'!$C$2:$C62,"&gt;="&amp;$M$1,'Form responses'!$C$2:$C62,"&lt;="&amp;$P$1,'Form responses'!$D$2:$D62,$B21)
)*
Sum!$G$35
)</f>
        <v>0</v>
      </c>
      <c r="I21" s="419">
        <f>((
sumifs('Form responses'!$X$2:$X62,'Form responses'!$C$2:$C62,"&gt;="&amp;$M$1,'Form responses'!$C$2:$C62,"&lt;="&amp;$P$1,'Form responses'!$D$2:$D62,$B21)
)*Sum!$H$35)+((
sumifs('Form responses'!$Y$2:$Y62,'Form responses'!$C$2:$C62,"&gt;="&amp;$M$1,'Form responses'!$C$2:$C62,"&lt;="&amp;$P$1,'Form responses'!$D$2:$D62,$B21)
)*Sum!$I$35)+((
sumifs('Form responses'!$Z$2:$Z62,'Form responses'!$C$2:$C62,"&gt;="&amp;$M$1,'Form responses'!$C$2:$C62,"&lt;="&amp;$P$1,'Form responses'!$D$2:$D62,$B21)
)*Sum!$Z$35)</f>
        <v>0</v>
      </c>
      <c r="J21" s="419">
        <f t="shared" si="1"/>
        <v>0</v>
      </c>
      <c r="K21" s="419">
        <f>(
sumifs('Form responses'!$AV$2:$AV62,'Form responses'!$C$2:$C62,"&gt;="&amp;$M$1,'Form responses'!$C$2:$C62,"&lt;="&amp;$P$1,'Form responses'!$D$2:$D62,$B21)
+
sumifs('Form responses'!$AW$2:$AW62,'Form responses'!$C$2:$C62,"&gt;="&amp;$M$1,'Form responses'!$C$2:$C62,"&lt;="&amp;$P$1,'Form responses'!$D$2:$D62,$B21)
+
sumifs('Form responses'!$AX$2:$AX62,'Form responses'!$C$2:$C62,"&gt;="&amp;$M$1,'Form responses'!$C$2:$C62,"&lt;="&amp;$P$1,'Form responses'!$D$2:$D62,$B21)
+
sumifs('Form responses'!$AY$2:$AY62,'Form responses'!$C$2:$C62,"&gt;="&amp;$M$1,'Form responses'!$C$2:$C62,"&lt;="&amp;$P$1,'Form responses'!$D$2:$D62,$B21)
)*Sum!$Q$35</f>
        <v>0</v>
      </c>
      <c r="L21" s="419">
        <f>(
sumifs('Form responses'!$BD$2:$BD62,'Form responses'!$C$2:$C62,"&gt;="&amp;$M$1,'Form responses'!$C$2:$C62,"&lt;="&amp;$P$1,'Form responses'!$D$2:$D62,$B21)
+
sumifs('Form responses'!$BE$2:$BE62,'Form responses'!$C$2:$C62,"&gt;="&amp;$M$1,'Form responses'!$C$2:$C62,"&lt;="&amp;$P$1,'Form responses'!$D$2:$D62,$B21)
)*Sum!$R$35</f>
        <v>0</v>
      </c>
      <c r="M21" s="419">
        <f>(
sumifs('Form responses'!$BF$2:$BF62,'Form responses'!$C$2:$C62,"&gt;="&amp;$M$1,'Form responses'!$C$2:$C62,"&lt;="&amp;$P$1,'Form responses'!$D$2:$D62,$B21)
+
sumifs('Form responses'!$BG$2:$BG62,'Form responses'!$C$2:$C62,"&gt;="&amp;$M$1,'Form responses'!$C$2:$C62,"&lt;="&amp;$P$1,'Form responses'!$D$2:$D62,$B21)
)*Sum!$S$35</f>
        <v>0</v>
      </c>
      <c r="N21" s="419">
        <f>sumifs('Form responses'!$BL$2:$BL62,'Form responses'!$C$2:$C62,"&gt;="&amp;$M$1,'Form responses'!$C$2:$C62,"&lt;="&amp;$P$1,'Form responses'!$D$2:$D62,$B21)
*Sum!$T$35</f>
        <v>0</v>
      </c>
      <c r="O21" s="419">
        <f t="shared" si="2"/>
        <v>0</v>
      </c>
      <c r="P21" s="419">
        <f>((sumifs('Form responses'!$BN$2:$BN62,'Form responses'!$C$2:$C62,"&gt;="&amp;$M$1,'Form responses'!$C$2:$C62,"&lt;="&amp;$P$1,'Form responses'!$D$2:$D62,$B21)+
sumifs('Form responses'!$BO$2:$BO62,'Form responses'!$C$2:$C62,"&gt;="&amp;$M$1,'Form responses'!$C$2:$C62,"&lt;="&amp;$P$1,'Form responses'!$D$2:$D62,$B21))*Sum!$U$35)</f>
        <v>0</v>
      </c>
      <c r="Q21" s="419">
        <f t="shared" si="3"/>
        <v>0</v>
      </c>
      <c r="R21" s="346">
        <f t="shared" si="4"/>
        <v>0</v>
      </c>
    </row>
    <row r="22" ht="27.75" customHeight="1">
      <c r="A22" s="417"/>
      <c r="B22" s="423" t="s">
        <v>620</v>
      </c>
      <c r="C22" s="419">
        <f>((sumifs('Form responses'!$G$2:$G62,'Form responses'!$C$2:$C62,"&gt;="&amp;$M$1,'Form responses'!$C$2:$C62,"&lt;="&amp;$P$1,'Form responses'!$D$2:$D62,$B22)
+sumifs('Form responses'!$H$2:$H62,'Form responses'!$C$2:$C62,"&gt;="&amp;$M$1,'Form responses'!$C$2:$C62,"&lt;="&amp;$P$1,'Form responses'!$D$2:$D62,$B22)
+sumifs('Form responses'!$I$2:$I62,'Form responses'!$C$2:$C62,"&gt;="&amp;$M$1,'Form responses'!$C$2:$C62,"&lt;="&amp;$P$1,'Form responses'!$D$2:$D62,$B22)
)*Sum!$B$35)</f>
        <v>0</v>
      </c>
      <c r="D22" s="420">
        <f>((sumifs('Form responses'!$J$2:$J62,'Form responses'!$C$2:$C62,"&gt;="&amp;$M$1,'Form responses'!$C$2:$C62,"&lt;="&amp;$P$1,'Form responses'!$D$2:$D62,$B22))*Sum!$C$35)</f>
        <v>0</v>
      </c>
      <c r="E22" s="419">
        <f>((
sumifs('Form responses'!$S$2:$S62,'Form responses'!$C$2:$C62,"&gt;="&amp;$M$1,'Form responses'!$C$2:$C62,"&lt;="&amp;$P$1,'Form responses'!$D$2:$D62,$B22)
+
sumifs('Form responses'!$T$2:$T62,'Form responses'!$C$2:$C62,"&gt;="&amp;$M$1,'Form responses'!$C$2:$C62,"&lt;="&amp;$P$1,'Form responses'!$D$2:$D62,$B22)
)*Sum!$E$35
)</f>
        <v>0</v>
      </c>
      <c r="F22" s="419">
        <f>sumifs('Form responses'!$U$2:$U62,'Form responses'!$C$2:$C62,"&gt;="&amp;$M$1,'Form responses'!$C$2:$C62,"&lt;="&amp;$P$1,'Form responses'!$D$2:$D62,$B22)
*Sum!$D$35</f>
        <v>0</v>
      </c>
      <c r="G22" s="421">
        <f>sumifs('Form responses'!$EQ$2:$EQ62,'Form responses'!$B$2:$B62,"&gt;="&amp;$M$1,'Form responses'!$C$2:$C62,"&lt;="&amp;$P$1,'Form responses'!$D$2:$D62,$B22)*Sum!$V$35+sumifs('Form responses'!$ER$2:$ER62,'Form responses'!$B$2:$B62,"&gt;="&amp;$M$1,'Form responses'!$C$2:$C62,"&lt;="&amp;$P$1,'Form responses'!$D$2:$D62,$B22)*Sum!$W$35+sumifs('Form responses'!$ES$2:$ES62,'Form responses'!$B$2:$B62,"&gt;="&amp;$M$1,'Form responses'!$C$2:$C62,"&lt;="&amp;$P$1,'Form responses'!$D$2:$D62,$B22)*Sum!$X$35+sumifs('Form responses'!$ET$2:$ET62,'Form responses'!$B$2:$B62,"&gt;="&amp;$M$1,'Form responses'!$C$2:$C62,"&lt;="&amp;$P$1,'Form responses'!$D$2:$D62,$B22)*Sum!$Y$35</f>
        <v>0</v>
      </c>
      <c r="H22" s="419">
        <f>((
sumifs('Form responses'!$V$2:$V62,'Form responses'!$C$2:$C62,"&gt;="&amp;$M$1,'Form responses'!$C$2:$C62,"&lt;="&amp;$P$1,'Form responses'!$D$2:$D62,$B22)
)*
Sum!$F$35
)+((
sumifs('Form responses'!$W$2:$W62,'Form responses'!$C$2:$C62,"&gt;="&amp;$M$1,'Form responses'!$C$2:$C62,"&lt;="&amp;$P$1,'Form responses'!$D$2:$D62,$B22)
)*
Sum!$G$35
)</f>
        <v>0</v>
      </c>
      <c r="I22" s="419">
        <f>((
sumifs('Form responses'!$X$2:$X62,'Form responses'!$C$2:$C62,"&gt;="&amp;$M$1,'Form responses'!$C$2:$C62,"&lt;="&amp;$P$1,'Form responses'!$D$2:$D62,$B22)
)*Sum!$H$35)+((
sumifs('Form responses'!$Y$2:$Y62,'Form responses'!$C$2:$C62,"&gt;="&amp;$M$1,'Form responses'!$C$2:$C62,"&lt;="&amp;$P$1,'Form responses'!$D$2:$D62,$B22)
)*Sum!$I$35)+((
sumifs('Form responses'!$Z$2:$Z62,'Form responses'!$C$2:$C62,"&gt;="&amp;$M$1,'Form responses'!$C$2:$C62,"&lt;="&amp;$P$1,'Form responses'!$D$2:$D62,$B22)
)*Sum!$Z$35)</f>
        <v>0</v>
      </c>
      <c r="J22" s="419">
        <f t="shared" si="1"/>
        <v>0</v>
      </c>
      <c r="K22" s="419">
        <f>(
sumifs('Form responses'!$AV$2:$AV62,'Form responses'!$C$2:$C62,"&gt;="&amp;$M$1,'Form responses'!$C$2:$C62,"&lt;="&amp;$P$1,'Form responses'!$D$2:$D62,$B22)
+
sumifs('Form responses'!$AW$2:$AW62,'Form responses'!$C$2:$C62,"&gt;="&amp;$M$1,'Form responses'!$C$2:$C62,"&lt;="&amp;$P$1,'Form responses'!$D$2:$D62,$B22)
+
sumifs('Form responses'!$AX$2:$AX62,'Form responses'!$C$2:$C62,"&gt;="&amp;$M$1,'Form responses'!$C$2:$C62,"&lt;="&amp;$P$1,'Form responses'!$D$2:$D62,$B22)
+
sumifs('Form responses'!$AY$2:$AY62,'Form responses'!$C$2:$C62,"&gt;="&amp;$M$1,'Form responses'!$C$2:$C62,"&lt;="&amp;$P$1,'Form responses'!$D$2:$D62,$B22)
)*Sum!$Q$35</f>
        <v>0</v>
      </c>
      <c r="L22" s="419">
        <f>(
sumifs('Form responses'!$BD$2:$BD62,'Form responses'!$C$2:$C62,"&gt;="&amp;$M$1,'Form responses'!$C$2:$C62,"&lt;="&amp;$P$1,'Form responses'!$D$2:$D62,$B22)
+
sumifs('Form responses'!$BE$2:$BE62,'Form responses'!$C$2:$C62,"&gt;="&amp;$M$1,'Form responses'!$C$2:$C62,"&lt;="&amp;$P$1,'Form responses'!$D$2:$D62,$B22)
)*Sum!$R$35</f>
        <v>0</v>
      </c>
      <c r="M22" s="419">
        <f>(
sumifs('Form responses'!$BF$2:$BF62,'Form responses'!$C$2:$C62,"&gt;="&amp;$M$1,'Form responses'!$C$2:$C62,"&lt;="&amp;$P$1,'Form responses'!$D$2:$D62,$B22)
+
sumifs('Form responses'!$BG$2:$BG62,'Form responses'!$C$2:$C62,"&gt;="&amp;$M$1,'Form responses'!$C$2:$C62,"&lt;="&amp;$P$1,'Form responses'!$D$2:$D62,$B22)
)*Sum!$S$35</f>
        <v>0</v>
      </c>
      <c r="N22" s="419">
        <f>sumifs('Form responses'!$BL$2:$BL62,'Form responses'!$C$2:$C62,"&gt;="&amp;$M$1,'Form responses'!$C$2:$C62,"&lt;="&amp;$P$1,'Form responses'!$D$2:$D62,$B22)
*Sum!$T$35</f>
        <v>0</v>
      </c>
      <c r="O22" s="419">
        <f t="shared" si="2"/>
        <v>0</v>
      </c>
      <c r="P22" s="419">
        <f>((sumifs('Form responses'!$BN$2:$BN62,'Form responses'!$C$2:$C62,"&gt;="&amp;$M$1,'Form responses'!$C$2:$C62,"&lt;="&amp;$P$1,'Form responses'!$D$2:$D62,$B22)+
sumifs('Form responses'!$BO$2:$BO62,'Form responses'!$C$2:$C62,"&gt;="&amp;$M$1,'Form responses'!$C$2:$C62,"&lt;="&amp;$P$1,'Form responses'!$D$2:$D62,$B22))*Sum!$U$35)</f>
        <v>0</v>
      </c>
      <c r="Q22" s="419">
        <f t="shared" si="3"/>
        <v>0</v>
      </c>
      <c r="R22" s="346">
        <f t="shared" si="4"/>
        <v>0</v>
      </c>
    </row>
    <row r="23" ht="27.75" customHeight="1">
      <c r="A23" s="417"/>
      <c r="B23" s="418" t="s">
        <v>621</v>
      </c>
      <c r="C23" s="419">
        <f>((sumifs('Form responses'!$G$2:$G62,'Form responses'!$C$2:$C62,"&gt;="&amp;$M$1,'Form responses'!$C$2:$C62,"&lt;="&amp;$P$1,'Form responses'!$D$2:$D62,$B23)
+sumifs('Form responses'!$H$2:$H62,'Form responses'!$C$2:$C62,"&gt;="&amp;$M$1,'Form responses'!$C$2:$C62,"&lt;="&amp;$P$1,'Form responses'!$D$2:$D62,$B23)
+sumifs('Form responses'!$I$2:$I62,'Form responses'!$C$2:$C62,"&gt;="&amp;$M$1,'Form responses'!$C$2:$C62,"&lt;="&amp;$P$1,'Form responses'!$D$2:$D62,$B23)
)*Sum!$B$35)</f>
        <v>0</v>
      </c>
      <c r="D23" s="420">
        <f>((sumifs('Form responses'!$J$2:$J62,'Form responses'!$C$2:$C62,"&gt;="&amp;$M$1,'Form responses'!$C$2:$C62,"&lt;="&amp;$P$1,'Form responses'!$D$2:$D62,$B23))*Sum!$C$35)</f>
        <v>0</v>
      </c>
      <c r="E23" s="419">
        <f>((
sumifs('Form responses'!$S$2:$S62,'Form responses'!$C$2:$C62,"&gt;="&amp;$M$1,'Form responses'!$C$2:$C62,"&lt;="&amp;$P$1,'Form responses'!$D$2:$D62,$B23)
+
sumifs('Form responses'!$T$2:$T62,'Form responses'!$C$2:$C62,"&gt;="&amp;$M$1,'Form responses'!$C$2:$C62,"&lt;="&amp;$P$1,'Form responses'!$D$2:$D62,$B23)
)*Sum!$E$35
)</f>
        <v>0</v>
      </c>
      <c r="F23" s="419">
        <f>sumifs('Form responses'!$U$2:$U62,'Form responses'!$C$2:$C62,"&gt;="&amp;$M$1,'Form responses'!$C$2:$C62,"&lt;="&amp;$P$1,'Form responses'!$D$2:$D62,$B23)
*Sum!$D$35</f>
        <v>0</v>
      </c>
      <c r="G23" s="421">
        <f>sumifs('Form responses'!$EQ$2:$EQ62,'Form responses'!$B$2:$B62,"&gt;="&amp;$M$1,'Form responses'!$C$2:$C62,"&lt;="&amp;$P$1,'Form responses'!$D$2:$D62,$B23)*Sum!$V$35+sumifs('Form responses'!$ER$2:$ER62,'Form responses'!$B$2:$B62,"&gt;="&amp;$M$1,'Form responses'!$C$2:$C62,"&lt;="&amp;$P$1,'Form responses'!$D$2:$D62,$B23)*Sum!$W$35+sumifs('Form responses'!$ES$2:$ES62,'Form responses'!$B$2:$B62,"&gt;="&amp;$M$1,'Form responses'!$C$2:$C62,"&lt;="&amp;$P$1,'Form responses'!$D$2:$D62,$B23)*Sum!$X$35+sumifs('Form responses'!$ET$2:$ET62,'Form responses'!$B$2:$B62,"&gt;="&amp;$M$1,'Form responses'!$C$2:$C62,"&lt;="&amp;$P$1,'Form responses'!$D$2:$D62,$B23)*Sum!$Y$35</f>
        <v>0</v>
      </c>
      <c r="H23" s="419">
        <f>((
sumifs('Form responses'!$V$2:$V62,'Form responses'!$C$2:$C62,"&gt;="&amp;$M$1,'Form responses'!$C$2:$C62,"&lt;="&amp;$P$1,'Form responses'!$D$2:$D62,$B23)
)*
Sum!$F$35
)+((
sumifs('Form responses'!$W$2:$W62,'Form responses'!$C$2:$C62,"&gt;="&amp;$M$1,'Form responses'!$C$2:$C62,"&lt;="&amp;$P$1,'Form responses'!$D$2:$D62,$B23)
)*
Sum!$G$35
)</f>
        <v>0</v>
      </c>
      <c r="I23" s="419">
        <f>((
sumifs('Form responses'!$X$2:$X62,'Form responses'!$C$2:$C62,"&gt;="&amp;$M$1,'Form responses'!$C$2:$C62,"&lt;="&amp;$P$1,'Form responses'!$D$2:$D62,$B23)
)*Sum!$H$35)+((
sumifs('Form responses'!$Y$2:$Y62,'Form responses'!$C$2:$C62,"&gt;="&amp;$M$1,'Form responses'!$C$2:$C62,"&lt;="&amp;$P$1,'Form responses'!$D$2:$D62,$B23)
)*Sum!$I$35)+((
sumifs('Form responses'!$Z$2:$Z62,'Form responses'!$C$2:$C62,"&gt;="&amp;$M$1,'Form responses'!$C$2:$C62,"&lt;="&amp;$P$1,'Form responses'!$D$2:$D62,$B23)
)*Sum!$Z$35)</f>
        <v>0</v>
      </c>
      <c r="J23" s="419">
        <f t="shared" si="1"/>
        <v>0</v>
      </c>
      <c r="K23" s="419">
        <f>(
sumifs('Form responses'!$AV$2:$AV62,'Form responses'!$C$2:$C62,"&gt;="&amp;$M$1,'Form responses'!$C$2:$C62,"&lt;="&amp;$P$1,'Form responses'!$D$2:$D62,$B23)
+
sumifs('Form responses'!$AW$2:$AW62,'Form responses'!$C$2:$C62,"&gt;="&amp;$M$1,'Form responses'!$C$2:$C62,"&lt;="&amp;$P$1,'Form responses'!$D$2:$D62,$B23)
+
sumifs('Form responses'!$AX$2:$AX62,'Form responses'!$C$2:$C62,"&gt;="&amp;$M$1,'Form responses'!$C$2:$C62,"&lt;="&amp;$P$1,'Form responses'!$D$2:$D62,$B23)
+
sumifs('Form responses'!$AY$2:$AY62,'Form responses'!$C$2:$C62,"&gt;="&amp;$M$1,'Form responses'!$C$2:$C62,"&lt;="&amp;$P$1,'Form responses'!$D$2:$D62,$B23)
)*Sum!$Q$35</f>
        <v>0</v>
      </c>
      <c r="L23" s="419">
        <f>(
sumifs('Form responses'!$BD$2:$BD62,'Form responses'!$C$2:$C62,"&gt;="&amp;$M$1,'Form responses'!$C$2:$C62,"&lt;="&amp;$P$1,'Form responses'!$D$2:$D62,$B23)
+
sumifs('Form responses'!$BE$2:$BE62,'Form responses'!$C$2:$C62,"&gt;="&amp;$M$1,'Form responses'!$C$2:$C62,"&lt;="&amp;$P$1,'Form responses'!$D$2:$D62,$B23)
)*Sum!$R$35</f>
        <v>0</v>
      </c>
      <c r="M23" s="419">
        <f>(
sumifs('Form responses'!$BF$2:$BF62,'Form responses'!$C$2:$C62,"&gt;="&amp;$M$1,'Form responses'!$C$2:$C62,"&lt;="&amp;$P$1,'Form responses'!$D$2:$D62,$B23)
+
sumifs('Form responses'!$BG$2:$BG62,'Form responses'!$C$2:$C62,"&gt;="&amp;$M$1,'Form responses'!$C$2:$C62,"&lt;="&amp;$P$1,'Form responses'!$D$2:$D62,$B23)
)*Sum!$S$35</f>
        <v>0</v>
      </c>
      <c r="N23" s="419">
        <f>sumifs('Form responses'!$BL$2:$BL62,'Form responses'!$C$2:$C62,"&gt;="&amp;$M$1,'Form responses'!$C$2:$C62,"&lt;="&amp;$P$1,'Form responses'!$D$2:$D62,$B23)
*Sum!$T$35</f>
        <v>0</v>
      </c>
      <c r="O23" s="419">
        <f t="shared" si="2"/>
        <v>0</v>
      </c>
      <c r="P23" s="419">
        <f>((sumifs('Form responses'!$BN$2:$BN62,'Form responses'!$C$2:$C62,"&gt;="&amp;$M$1,'Form responses'!$C$2:$C62,"&lt;="&amp;$P$1,'Form responses'!$D$2:$D62,$B23)+
sumifs('Form responses'!$BO$2:$BO62,'Form responses'!$C$2:$C62,"&gt;="&amp;$M$1,'Form responses'!$C$2:$C62,"&lt;="&amp;$P$1,'Form responses'!$D$2:$D62,$B23))*Sum!$U$35)</f>
        <v>0</v>
      </c>
      <c r="Q23" s="419">
        <f t="shared" si="3"/>
        <v>0</v>
      </c>
      <c r="R23" s="346">
        <f t="shared" si="4"/>
        <v>0</v>
      </c>
    </row>
    <row r="24" ht="27.75" customHeight="1">
      <c r="A24" s="424">
        <v>5.0</v>
      </c>
      <c r="B24" s="418" t="s">
        <v>622</v>
      </c>
      <c r="C24" s="419">
        <f>((sumifs('Form responses'!$G$2:$G62,'Form responses'!$C$2:$C62,"&gt;="&amp;$M$1,'Form responses'!$C$2:$C62,"&lt;="&amp;$P$1,'Form responses'!$D$2:$D62,$B24)
+sumifs('Form responses'!$H$2:$H62,'Form responses'!$C$2:$C62,"&gt;="&amp;$M$1,'Form responses'!$C$2:$C62,"&lt;="&amp;$P$1,'Form responses'!$D$2:$D62,$B24)
+sumifs('Form responses'!$I$2:$I62,'Form responses'!$C$2:$C62,"&gt;="&amp;$M$1,'Form responses'!$C$2:$C62,"&lt;="&amp;$P$1,'Form responses'!$D$2:$D62,$B24)
)*Sum!$B$35)</f>
        <v>0</v>
      </c>
      <c r="D24" s="420">
        <f>((sumifs('Form responses'!$J$2:$J62,'Form responses'!$C$2:$C62,"&gt;="&amp;$M$1,'Form responses'!$C$2:$C62,"&lt;="&amp;$P$1,'Form responses'!$D$2:$D62,$B24))*Sum!$C$35)</f>
        <v>0</v>
      </c>
      <c r="E24" s="419">
        <f>((
sumifs('Form responses'!$S$2:$S62,'Form responses'!$C$2:$C62,"&gt;="&amp;$M$1,'Form responses'!$C$2:$C62,"&lt;="&amp;$P$1,'Form responses'!$D$2:$D62,$B24)
+
sumifs('Form responses'!$T$2:$T62,'Form responses'!$C$2:$C62,"&gt;="&amp;$M$1,'Form responses'!$C$2:$C62,"&lt;="&amp;$P$1,'Form responses'!$D$2:$D62,$B24)
)*Sum!$E$35
)</f>
        <v>0</v>
      </c>
      <c r="F24" s="419">
        <f>sumifs('Form responses'!$U$2:$U62,'Form responses'!$C$2:$C62,"&gt;="&amp;$M$1,'Form responses'!$C$2:$C62,"&lt;="&amp;$P$1,'Form responses'!$D$2:$D62,$B24)
*Sum!$D$35</f>
        <v>0</v>
      </c>
      <c r="G24" s="421">
        <f>sumifs('Form responses'!$EQ$2:$EQ62,'Form responses'!$B$2:$B62,"&gt;="&amp;$M$1,'Form responses'!$C$2:$C62,"&lt;="&amp;$P$1,'Form responses'!$D$2:$D62,$B24)*Sum!$V$35+sumifs('Form responses'!$ER$2:$ER62,'Form responses'!$B$2:$B62,"&gt;="&amp;$M$1,'Form responses'!$C$2:$C62,"&lt;="&amp;$P$1,'Form responses'!$D$2:$D62,$B24)*Sum!$W$35+sumifs('Form responses'!$ES$2:$ES62,'Form responses'!$B$2:$B62,"&gt;="&amp;$M$1,'Form responses'!$C$2:$C62,"&lt;="&amp;$P$1,'Form responses'!$D$2:$D62,$B24)*Sum!$X$35+sumifs('Form responses'!$ET$2:$ET62,'Form responses'!$B$2:$B62,"&gt;="&amp;$M$1,'Form responses'!$C$2:$C62,"&lt;="&amp;$P$1,'Form responses'!$D$2:$D62,$B24)*Sum!$Y$35</f>
        <v>0</v>
      </c>
      <c r="H24" s="419">
        <f>((
sumifs('Form responses'!$V$2:$V62,'Form responses'!$C$2:$C62,"&gt;="&amp;$M$1,'Form responses'!$C$2:$C62,"&lt;="&amp;$P$1,'Form responses'!$D$2:$D62,$B24)
)*
Sum!$F$35
)+((
sumifs('Form responses'!$W$2:$W62,'Form responses'!$C$2:$C62,"&gt;="&amp;$M$1,'Form responses'!$C$2:$C62,"&lt;="&amp;$P$1,'Form responses'!$D$2:$D62,$B24)
)*
Sum!$G$35
)</f>
        <v>0</v>
      </c>
      <c r="I24" s="419">
        <f>((
sumifs('Form responses'!$X$2:$X62,'Form responses'!$C$2:$C62,"&gt;="&amp;$M$1,'Form responses'!$C$2:$C62,"&lt;="&amp;$P$1,'Form responses'!$D$2:$D62,$B24)
)*Sum!$H$35)+((
sumifs('Form responses'!$Y$2:$Y62,'Form responses'!$C$2:$C62,"&gt;="&amp;$M$1,'Form responses'!$C$2:$C62,"&lt;="&amp;$P$1,'Form responses'!$D$2:$D62,$B24)
)*Sum!$I$35)+((
sumifs('Form responses'!$Z$2:$Z62,'Form responses'!$C$2:$C62,"&gt;="&amp;$M$1,'Form responses'!$C$2:$C62,"&lt;="&amp;$P$1,'Form responses'!$D$2:$D62,$B24)
)*Sum!$Z$35)</f>
        <v>0</v>
      </c>
      <c r="J24" s="419">
        <f t="shared" si="1"/>
        <v>0</v>
      </c>
      <c r="K24" s="419">
        <f>(
sumifs('Form responses'!$AV$2:$AV62,'Form responses'!$C$2:$C62,"&gt;="&amp;$M$1,'Form responses'!$C$2:$C62,"&lt;="&amp;$P$1,'Form responses'!$D$2:$D62,$B24)
+
sumifs('Form responses'!$AW$2:$AW62,'Form responses'!$C$2:$C62,"&gt;="&amp;$M$1,'Form responses'!$C$2:$C62,"&lt;="&amp;$P$1,'Form responses'!$D$2:$D62,$B24)
+
sumifs('Form responses'!$AX$2:$AX62,'Form responses'!$C$2:$C62,"&gt;="&amp;$M$1,'Form responses'!$C$2:$C62,"&lt;="&amp;$P$1,'Form responses'!$D$2:$D62,$B24)
+
sumifs('Form responses'!$AY$2:$AY62,'Form responses'!$C$2:$C62,"&gt;="&amp;$M$1,'Form responses'!$C$2:$C62,"&lt;="&amp;$P$1,'Form responses'!$D$2:$D62,$B24)
)*Sum!$Q$35</f>
        <v>0</v>
      </c>
      <c r="L24" s="419">
        <f>(
sumifs('Form responses'!$BD$2:$BD62,'Form responses'!$C$2:$C62,"&gt;="&amp;$M$1,'Form responses'!$C$2:$C62,"&lt;="&amp;$P$1,'Form responses'!$D$2:$D62,$B24)
+
sumifs('Form responses'!$BE$2:$BE62,'Form responses'!$C$2:$C62,"&gt;="&amp;$M$1,'Form responses'!$C$2:$C62,"&lt;="&amp;$P$1,'Form responses'!$D$2:$D62,$B24)
)*Sum!$R$35</f>
        <v>0</v>
      </c>
      <c r="M24" s="419">
        <f>(
sumifs('Form responses'!$BF$2:$BF62,'Form responses'!$C$2:$C62,"&gt;="&amp;$M$1,'Form responses'!$C$2:$C62,"&lt;="&amp;$P$1,'Form responses'!$D$2:$D62,$B24)
+
sumifs('Form responses'!$BG$2:$BG62,'Form responses'!$C$2:$C62,"&gt;="&amp;$M$1,'Form responses'!$C$2:$C62,"&lt;="&amp;$P$1,'Form responses'!$D$2:$D62,$B24)
)*Sum!$S$35</f>
        <v>0</v>
      </c>
      <c r="N24" s="419">
        <f>sumifs('Form responses'!$BL$2:$BL62,'Form responses'!$C$2:$C62,"&gt;="&amp;$M$1,'Form responses'!$C$2:$C62,"&lt;="&amp;$P$1,'Form responses'!$D$2:$D62,$B24)
*Sum!$T$35</f>
        <v>0</v>
      </c>
      <c r="O24" s="419">
        <f t="shared" si="2"/>
        <v>0</v>
      </c>
      <c r="P24" s="419">
        <f>((sumifs('Form responses'!$BN$2:$BN62,'Form responses'!$C$2:$C62,"&gt;="&amp;$M$1,'Form responses'!$C$2:$C62,"&lt;="&amp;$P$1,'Form responses'!$D$2:$D62,$B24)+
sumifs('Form responses'!$BO$2:$BO62,'Form responses'!$C$2:$C62,"&gt;="&amp;$M$1,'Form responses'!$C$2:$C62,"&lt;="&amp;$P$1,'Form responses'!$D$2:$D62,$B24))*Sum!$U$35)</f>
        <v>0</v>
      </c>
      <c r="Q24" s="419">
        <f t="shared" si="3"/>
        <v>0</v>
      </c>
      <c r="R24" s="346">
        <f t="shared" si="4"/>
        <v>0</v>
      </c>
    </row>
    <row r="25" ht="27.75" customHeight="1">
      <c r="A25" s="417"/>
      <c r="B25" s="418" t="s">
        <v>623</v>
      </c>
      <c r="C25" s="419">
        <f>((sumifs('Form responses'!$G$2:$G62,'Form responses'!$C$2:$C62,"&gt;="&amp;$M$1,'Form responses'!$C$2:$C62,"&lt;="&amp;$P$1,'Form responses'!$D$2:$D62,$B25)
+sumifs('Form responses'!$H$2:$H62,'Form responses'!$C$2:$C62,"&gt;="&amp;$M$1,'Form responses'!$C$2:$C62,"&lt;="&amp;$P$1,'Form responses'!$D$2:$D62,$B25)
+sumifs('Form responses'!$I$2:$I62,'Form responses'!$C$2:$C62,"&gt;="&amp;$M$1,'Form responses'!$C$2:$C62,"&lt;="&amp;$P$1,'Form responses'!$D$2:$D62,$B25)
)*Sum!$B$35)</f>
        <v>0</v>
      </c>
      <c r="D25" s="420">
        <f>((sumifs('Form responses'!$J$2:$J62,'Form responses'!$C$2:$C62,"&gt;="&amp;$M$1,'Form responses'!$C$2:$C62,"&lt;="&amp;$P$1,'Form responses'!$D$2:$D62,$B25))*Sum!$C$35)</f>
        <v>0</v>
      </c>
      <c r="E25" s="419">
        <f>((
sumifs('Form responses'!$S$2:$S62,'Form responses'!$C$2:$C62,"&gt;="&amp;$M$1,'Form responses'!$C$2:$C62,"&lt;="&amp;$P$1,'Form responses'!$D$2:$D62,$B25)
+
sumifs('Form responses'!$T$2:$T62,'Form responses'!$C$2:$C62,"&gt;="&amp;$M$1,'Form responses'!$C$2:$C62,"&lt;="&amp;$P$1,'Form responses'!$D$2:$D62,$B25)
)*Sum!$E$35
)</f>
        <v>0</v>
      </c>
      <c r="F25" s="419">
        <f>sumifs('Form responses'!$U$2:$U62,'Form responses'!$C$2:$C62,"&gt;="&amp;$M$1,'Form responses'!$C$2:$C62,"&lt;="&amp;$P$1,'Form responses'!$D$2:$D62,$B25)
*Sum!$D$35</f>
        <v>0</v>
      </c>
      <c r="G25" s="421">
        <f>sumifs('Form responses'!$EQ$2:$EQ62,'Form responses'!$B$2:$B62,"&gt;="&amp;$M$1,'Form responses'!$C$2:$C62,"&lt;="&amp;$P$1,'Form responses'!$D$2:$D62,$B25)*Sum!$V$35+sumifs('Form responses'!$ER$2:$ER62,'Form responses'!$B$2:$B62,"&gt;="&amp;$M$1,'Form responses'!$C$2:$C62,"&lt;="&amp;$P$1,'Form responses'!$D$2:$D62,$B25)*Sum!$W$35+sumifs('Form responses'!$ES$2:$ES62,'Form responses'!$B$2:$B62,"&gt;="&amp;$M$1,'Form responses'!$C$2:$C62,"&lt;="&amp;$P$1,'Form responses'!$D$2:$D62,$B25)*Sum!$X$35+sumifs('Form responses'!$ET$2:$ET62,'Form responses'!$B$2:$B62,"&gt;="&amp;$M$1,'Form responses'!$C$2:$C62,"&lt;="&amp;$P$1,'Form responses'!$D$2:$D62,$B25)*Sum!$Y$35</f>
        <v>0</v>
      </c>
      <c r="H25" s="419">
        <f>((
sumifs('Form responses'!$V$2:$V62,'Form responses'!$C$2:$C62,"&gt;="&amp;$M$1,'Form responses'!$C$2:$C62,"&lt;="&amp;$P$1,'Form responses'!$D$2:$D62,$B25)
)*
Sum!$F$35
)+((
sumifs('Form responses'!$W$2:$W62,'Form responses'!$C$2:$C62,"&gt;="&amp;$M$1,'Form responses'!$C$2:$C62,"&lt;="&amp;$P$1,'Form responses'!$D$2:$D62,$B25)
)*
Sum!$G$35
)</f>
        <v>0</v>
      </c>
      <c r="I25" s="419">
        <f>((
sumifs('Form responses'!$X$2:$X62,'Form responses'!$C$2:$C62,"&gt;="&amp;$M$1,'Form responses'!$C$2:$C62,"&lt;="&amp;$P$1,'Form responses'!$D$2:$D62,$B25)
)*Sum!$H$35)+((
sumifs('Form responses'!$Y$2:$Y62,'Form responses'!$C$2:$C62,"&gt;="&amp;$M$1,'Form responses'!$C$2:$C62,"&lt;="&amp;$P$1,'Form responses'!$D$2:$D62,$B25)
)*Sum!$I$35)+((
sumifs('Form responses'!$Z$2:$Z62,'Form responses'!$C$2:$C62,"&gt;="&amp;$M$1,'Form responses'!$C$2:$C62,"&lt;="&amp;$P$1,'Form responses'!$D$2:$D62,$B25)
)*Sum!$Z$35)</f>
        <v>0</v>
      </c>
      <c r="J25" s="419">
        <f t="shared" si="1"/>
        <v>0</v>
      </c>
      <c r="K25" s="419">
        <f>(
sumifs('Form responses'!$AV$2:$AV62,'Form responses'!$C$2:$C62,"&gt;="&amp;$M$1,'Form responses'!$C$2:$C62,"&lt;="&amp;$P$1,'Form responses'!$D$2:$D62,$B25)
+
sumifs('Form responses'!$AW$2:$AW62,'Form responses'!$C$2:$C62,"&gt;="&amp;$M$1,'Form responses'!$C$2:$C62,"&lt;="&amp;$P$1,'Form responses'!$D$2:$D62,$B25)
+
sumifs('Form responses'!$AX$2:$AX62,'Form responses'!$C$2:$C62,"&gt;="&amp;$M$1,'Form responses'!$C$2:$C62,"&lt;="&amp;$P$1,'Form responses'!$D$2:$D62,$B25)
+
sumifs('Form responses'!$AY$2:$AY62,'Form responses'!$C$2:$C62,"&gt;="&amp;$M$1,'Form responses'!$C$2:$C62,"&lt;="&amp;$P$1,'Form responses'!$D$2:$D62,$B25)
)*Sum!$Q$35</f>
        <v>0</v>
      </c>
      <c r="L25" s="419">
        <f>(
sumifs('Form responses'!$BD$2:$BD62,'Form responses'!$C$2:$C62,"&gt;="&amp;$M$1,'Form responses'!$C$2:$C62,"&lt;="&amp;$P$1,'Form responses'!$D$2:$D62,$B25)
+
sumifs('Form responses'!$BE$2:$BE62,'Form responses'!$C$2:$C62,"&gt;="&amp;$M$1,'Form responses'!$C$2:$C62,"&lt;="&amp;$P$1,'Form responses'!$D$2:$D62,$B25)
)*Sum!$R$35</f>
        <v>0</v>
      </c>
      <c r="M25" s="419">
        <f>(
sumifs('Form responses'!$BF$2:$BF62,'Form responses'!$C$2:$C62,"&gt;="&amp;$M$1,'Form responses'!$C$2:$C62,"&lt;="&amp;$P$1,'Form responses'!$D$2:$D62,$B25)
+
sumifs('Form responses'!$BG$2:$BG62,'Form responses'!$C$2:$C62,"&gt;="&amp;$M$1,'Form responses'!$C$2:$C62,"&lt;="&amp;$P$1,'Form responses'!$D$2:$D62,$B25)
)*Sum!$S$35</f>
        <v>0</v>
      </c>
      <c r="N25" s="419">
        <f>sumifs('Form responses'!$BL$2:$BL62,'Form responses'!$C$2:$C62,"&gt;="&amp;$M$1,'Form responses'!$C$2:$C62,"&lt;="&amp;$P$1,'Form responses'!$D$2:$D62,$B25)
*Sum!$T$35</f>
        <v>0</v>
      </c>
      <c r="O25" s="419">
        <f t="shared" si="2"/>
        <v>0</v>
      </c>
      <c r="P25" s="419">
        <f>((sumifs('Form responses'!$BN$2:$BN62,'Form responses'!$C$2:$C62,"&gt;="&amp;$M$1,'Form responses'!$C$2:$C62,"&lt;="&amp;$P$1,'Form responses'!$D$2:$D62,$B25)+
sumifs('Form responses'!$BO$2:$BO62,'Form responses'!$C$2:$C62,"&gt;="&amp;$M$1,'Form responses'!$C$2:$C62,"&lt;="&amp;$P$1,'Form responses'!$D$2:$D62,$B25))*Sum!$U$35)</f>
        <v>0</v>
      </c>
      <c r="Q25" s="419">
        <f t="shared" si="3"/>
        <v>0</v>
      </c>
      <c r="R25" s="346">
        <f t="shared" si="4"/>
        <v>0</v>
      </c>
    </row>
    <row r="26" ht="27.75" customHeight="1">
      <c r="A26" s="424">
        <v>6.0</v>
      </c>
      <c r="B26" s="418" t="s">
        <v>624</v>
      </c>
      <c r="C26" s="419">
        <f>((sumifs('Form responses'!$G$2:$G62,'Form responses'!$C$2:$C62,"&gt;="&amp;$M$1,'Form responses'!$C$2:$C62,"&lt;="&amp;$P$1,'Form responses'!$D$2:$D62,$B26)
+sumifs('Form responses'!$H$2:$H62,'Form responses'!$C$2:$C62,"&gt;="&amp;$M$1,'Form responses'!$C$2:$C62,"&lt;="&amp;$P$1,'Form responses'!$D$2:$D62,$B26)
+sumifs('Form responses'!$I$2:$I62,'Form responses'!$C$2:$C62,"&gt;="&amp;$M$1,'Form responses'!$C$2:$C62,"&lt;="&amp;$P$1,'Form responses'!$D$2:$D62,$B26)
)*Sum!$B$35)</f>
        <v>0</v>
      </c>
      <c r="D26" s="420">
        <f>((sumifs('Form responses'!$J$2:$J62,'Form responses'!$C$2:$C62,"&gt;="&amp;$M$1,'Form responses'!$C$2:$C62,"&lt;="&amp;$P$1,'Form responses'!$D$2:$D62,$B26))*Sum!$C$35)</f>
        <v>0</v>
      </c>
      <c r="E26" s="419">
        <f>((
sumifs('Form responses'!$S$2:$S62,'Form responses'!$C$2:$C62,"&gt;="&amp;$M$1,'Form responses'!$C$2:$C62,"&lt;="&amp;$P$1,'Form responses'!$D$2:$D62,$B26)
+
sumifs('Form responses'!$T$2:$T62,'Form responses'!$C$2:$C62,"&gt;="&amp;$M$1,'Form responses'!$C$2:$C62,"&lt;="&amp;$P$1,'Form responses'!$D$2:$D62,$B26)
)*Sum!$E$35
)</f>
        <v>0</v>
      </c>
      <c r="F26" s="419">
        <f>sumifs('Form responses'!$U$2:$U62,'Form responses'!$C$2:$C62,"&gt;="&amp;$M$1,'Form responses'!$C$2:$C62,"&lt;="&amp;$P$1,'Form responses'!$D$2:$D62,$B26)
*Sum!$D$35</f>
        <v>0</v>
      </c>
      <c r="G26" s="421">
        <f>sumifs('Form responses'!$EQ$2:$EQ62,'Form responses'!$B$2:$B62,"&gt;="&amp;$M$1,'Form responses'!$C$2:$C62,"&lt;="&amp;$P$1,'Form responses'!$D$2:$D62,$B26)*Sum!$V$35+sumifs('Form responses'!$ER$2:$ER62,'Form responses'!$B$2:$B62,"&gt;="&amp;$M$1,'Form responses'!$C$2:$C62,"&lt;="&amp;$P$1,'Form responses'!$D$2:$D62,$B26)*Sum!$W$35+sumifs('Form responses'!$ES$2:$ES62,'Form responses'!$B$2:$B62,"&gt;="&amp;$M$1,'Form responses'!$C$2:$C62,"&lt;="&amp;$P$1,'Form responses'!$D$2:$D62,$B26)*Sum!$X$35+sumifs('Form responses'!$ET$2:$ET62,'Form responses'!$B$2:$B62,"&gt;="&amp;$M$1,'Form responses'!$C$2:$C62,"&lt;="&amp;$P$1,'Form responses'!$D$2:$D62,$B26)*Sum!$Y$35</f>
        <v>0</v>
      </c>
      <c r="H26" s="419">
        <f>((
sumifs('Form responses'!$V$2:$V62,'Form responses'!$C$2:$C62,"&gt;="&amp;$M$1,'Form responses'!$C$2:$C62,"&lt;="&amp;$P$1,'Form responses'!$D$2:$D62,$B26)
)*
Sum!$F$35
)+((
sumifs('Form responses'!$W$2:$W62,'Form responses'!$C$2:$C62,"&gt;="&amp;$M$1,'Form responses'!$C$2:$C62,"&lt;="&amp;$P$1,'Form responses'!$D$2:$D62,$B26)
)*
Sum!$G$35
)</f>
        <v>0</v>
      </c>
      <c r="I26" s="419">
        <f>((
sumifs('Form responses'!$X$2:$X62,'Form responses'!$C$2:$C62,"&gt;="&amp;$M$1,'Form responses'!$C$2:$C62,"&lt;="&amp;$P$1,'Form responses'!$D$2:$D62,$B26)
)*Sum!$H$35)+((
sumifs('Form responses'!$Y$2:$Y62,'Form responses'!$C$2:$C62,"&gt;="&amp;$M$1,'Form responses'!$C$2:$C62,"&lt;="&amp;$P$1,'Form responses'!$D$2:$D62,$B26)
)*Sum!$I$35)+((
sumifs('Form responses'!$Z$2:$Z62,'Form responses'!$C$2:$C62,"&gt;="&amp;$M$1,'Form responses'!$C$2:$C62,"&lt;="&amp;$P$1,'Form responses'!$D$2:$D62,$B26)
)*Sum!$Z$35)</f>
        <v>0</v>
      </c>
      <c r="J26" s="419">
        <f t="shared" si="1"/>
        <v>0</v>
      </c>
      <c r="K26" s="419">
        <f>(
sumifs('Form responses'!$AV$2:$AV62,'Form responses'!$C$2:$C62,"&gt;="&amp;$M$1,'Form responses'!$C$2:$C62,"&lt;="&amp;$P$1,'Form responses'!$D$2:$D62,$B26)
+
sumifs('Form responses'!$AW$2:$AW62,'Form responses'!$C$2:$C62,"&gt;="&amp;$M$1,'Form responses'!$C$2:$C62,"&lt;="&amp;$P$1,'Form responses'!$D$2:$D62,$B26)
+
sumifs('Form responses'!$AX$2:$AX62,'Form responses'!$C$2:$C62,"&gt;="&amp;$M$1,'Form responses'!$C$2:$C62,"&lt;="&amp;$P$1,'Form responses'!$D$2:$D62,$B26)
+
sumifs('Form responses'!$AY$2:$AY62,'Form responses'!$C$2:$C62,"&gt;="&amp;$M$1,'Form responses'!$C$2:$C62,"&lt;="&amp;$P$1,'Form responses'!$D$2:$D62,$B26)
)*Sum!$Q$35</f>
        <v>0</v>
      </c>
      <c r="L26" s="419">
        <f>(
sumifs('Form responses'!$BD$2:$BD62,'Form responses'!$C$2:$C62,"&gt;="&amp;$M$1,'Form responses'!$C$2:$C62,"&lt;="&amp;$P$1,'Form responses'!$D$2:$D62,$B26)
+
sumifs('Form responses'!$BE$2:$BE62,'Form responses'!$C$2:$C62,"&gt;="&amp;$M$1,'Form responses'!$C$2:$C62,"&lt;="&amp;$P$1,'Form responses'!$D$2:$D62,$B26)
)*Sum!$R$35</f>
        <v>0</v>
      </c>
      <c r="M26" s="419">
        <f>(
sumifs('Form responses'!$BF$2:$BF62,'Form responses'!$C$2:$C62,"&gt;="&amp;$M$1,'Form responses'!$C$2:$C62,"&lt;="&amp;$P$1,'Form responses'!$D$2:$D62,$B26)
+
sumifs('Form responses'!$BG$2:$BG62,'Form responses'!$C$2:$C62,"&gt;="&amp;$M$1,'Form responses'!$C$2:$C62,"&lt;="&amp;$P$1,'Form responses'!$D$2:$D62,$B26)
)*Sum!$S$35</f>
        <v>0</v>
      </c>
      <c r="N26" s="419">
        <f>sumifs('Form responses'!$BL$2:$BL62,'Form responses'!$C$2:$C62,"&gt;="&amp;$M$1,'Form responses'!$C$2:$C62,"&lt;="&amp;$P$1,'Form responses'!$D$2:$D62,$B26)
*Sum!$T$35</f>
        <v>0</v>
      </c>
      <c r="O26" s="419">
        <f t="shared" si="2"/>
        <v>0</v>
      </c>
      <c r="P26" s="419">
        <f>((sumifs('Form responses'!$BN$2:$BN62,'Form responses'!$C$2:$C62,"&gt;="&amp;$M$1,'Form responses'!$C$2:$C62,"&lt;="&amp;$P$1,'Form responses'!$D$2:$D62,$B26)+
sumifs('Form responses'!$BO$2:$BO62,'Form responses'!$C$2:$C62,"&gt;="&amp;$M$1,'Form responses'!$C$2:$C62,"&lt;="&amp;$P$1,'Form responses'!$D$2:$D62,$B26))*Sum!$U$35)</f>
        <v>0</v>
      </c>
      <c r="Q26" s="419">
        <f t="shared" si="3"/>
        <v>0</v>
      </c>
      <c r="R26" s="346">
        <f t="shared" si="4"/>
        <v>0</v>
      </c>
    </row>
    <row r="27" ht="27.75" customHeight="1">
      <c r="A27" s="424">
        <v>7.0</v>
      </c>
      <c r="B27" s="423" t="s">
        <v>625</v>
      </c>
      <c r="C27" s="419">
        <f>((sumifs('Form responses'!$G$2:$G62,'Form responses'!$C$2:$C62,"&gt;="&amp;$M$1,'Form responses'!$C$2:$C62,"&lt;="&amp;$P$1,'Form responses'!$D$2:$D62,$B27)
+sumifs('Form responses'!$H$2:$H62,'Form responses'!$C$2:$C62,"&gt;="&amp;$M$1,'Form responses'!$C$2:$C62,"&lt;="&amp;$P$1,'Form responses'!$D$2:$D62,$B27)
+sumifs('Form responses'!$I$2:$I62,'Form responses'!$C$2:$C62,"&gt;="&amp;$M$1,'Form responses'!$C$2:$C62,"&lt;="&amp;$P$1,'Form responses'!$D$2:$D62,$B27)
)*Sum!$B$35)</f>
        <v>0</v>
      </c>
      <c r="D27" s="420">
        <f>((sumifs('Form responses'!$J$2:$J62,'Form responses'!$C$2:$C62,"&gt;="&amp;$M$1,'Form responses'!$C$2:$C62,"&lt;="&amp;$P$1,'Form responses'!$D$2:$D62,$B27))*Sum!$C$35)</f>
        <v>0</v>
      </c>
      <c r="E27" s="419">
        <f>((
sumifs('Form responses'!$S$2:$S62,'Form responses'!$C$2:$C62,"&gt;="&amp;$M$1,'Form responses'!$C$2:$C62,"&lt;="&amp;$P$1,'Form responses'!$D$2:$D62,$B27)
+
sumifs('Form responses'!$T$2:$T62,'Form responses'!$C$2:$C62,"&gt;="&amp;$M$1,'Form responses'!$C$2:$C62,"&lt;="&amp;$P$1,'Form responses'!$D$2:$D62,$B27)
)*Sum!$E$35
)</f>
        <v>0</v>
      </c>
      <c r="F27" s="419">
        <f>sumifs('Form responses'!$U$2:$U62,'Form responses'!$C$2:$C62,"&gt;="&amp;$M$1,'Form responses'!$C$2:$C62,"&lt;="&amp;$P$1,'Form responses'!$D$2:$D62,$B27)
*Sum!$D$35</f>
        <v>0</v>
      </c>
      <c r="G27" s="421">
        <f>sumifs('Form responses'!$EQ$2:$EQ62,'Form responses'!$B$2:$B62,"&gt;="&amp;$M$1,'Form responses'!$C$2:$C62,"&lt;="&amp;$P$1,'Form responses'!$D$2:$D62,$B27)*Sum!$V$35+sumifs('Form responses'!$ER$2:$ER62,'Form responses'!$B$2:$B62,"&gt;="&amp;$M$1,'Form responses'!$C$2:$C62,"&lt;="&amp;$P$1,'Form responses'!$D$2:$D62,$B27)*Sum!$W$35+sumifs('Form responses'!$ES$2:$ES62,'Form responses'!$B$2:$B62,"&gt;="&amp;$M$1,'Form responses'!$C$2:$C62,"&lt;="&amp;$P$1,'Form responses'!$D$2:$D62,$B27)*Sum!$X$35+sumifs('Form responses'!$ET$2:$ET62,'Form responses'!$B$2:$B62,"&gt;="&amp;$M$1,'Form responses'!$C$2:$C62,"&lt;="&amp;$P$1,'Form responses'!$D$2:$D62,$B27)*Sum!$Y$35</f>
        <v>0</v>
      </c>
      <c r="H27" s="419">
        <f>((
sumifs('Form responses'!$V$2:$V62,'Form responses'!$C$2:$C62,"&gt;="&amp;$M$1,'Form responses'!$C$2:$C62,"&lt;="&amp;$P$1,'Form responses'!$D$2:$D62,$B27)
)*
Sum!$F$35
)+((
sumifs('Form responses'!$W$2:$W62,'Form responses'!$C$2:$C62,"&gt;="&amp;$M$1,'Form responses'!$C$2:$C62,"&lt;="&amp;$P$1,'Form responses'!$D$2:$D62,$B27)
)*
Sum!$G$35
)</f>
        <v>0</v>
      </c>
      <c r="I27" s="419">
        <f>((
sumifs('Form responses'!$X$2:$X62,'Form responses'!$C$2:$C62,"&gt;="&amp;$M$1,'Form responses'!$C$2:$C62,"&lt;="&amp;$P$1,'Form responses'!$D$2:$D62,$B27)
)*Sum!$H$35)+((
sumifs('Form responses'!$Y$2:$Y62,'Form responses'!$C$2:$C62,"&gt;="&amp;$M$1,'Form responses'!$C$2:$C62,"&lt;="&amp;$P$1,'Form responses'!$D$2:$D62,$B27)
)*Sum!$I$35)+((
sumifs('Form responses'!$Z$2:$Z62,'Form responses'!$C$2:$C62,"&gt;="&amp;$M$1,'Form responses'!$C$2:$C62,"&lt;="&amp;$P$1,'Form responses'!$D$2:$D62,$B27)
)*Sum!$Z$35)</f>
        <v>0</v>
      </c>
      <c r="J27" s="419">
        <f t="shared" si="1"/>
        <v>0</v>
      </c>
      <c r="K27" s="419">
        <f>(
sumifs('Form responses'!$AV$2:$AV62,'Form responses'!$C$2:$C62,"&gt;="&amp;$M$1,'Form responses'!$C$2:$C62,"&lt;="&amp;$P$1,'Form responses'!$D$2:$D62,$B27)
+
sumifs('Form responses'!$AW$2:$AW62,'Form responses'!$C$2:$C62,"&gt;="&amp;$M$1,'Form responses'!$C$2:$C62,"&lt;="&amp;$P$1,'Form responses'!$D$2:$D62,$B27)
+
sumifs('Form responses'!$AX$2:$AX62,'Form responses'!$C$2:$C62,"&gt;="&amp;$M$1,'Form responses'!$C$2:$C62,"&lt;="&amp;$P$1,'Form responses'!$D$2:$D62,$B27)
+
sumifs('Form responses'!$AY$2:$AY62,'Form responses'!$C$2:$C62,"&gt;="&amp;$M$1,'Form responses'!$C$2:$C62,"&lt;="&amp;$P$1,'Form responses'!$D$2:$D62,$B27)
)*Sum!$Q$35</f>
        <v>0</v>
      </c>
      <c r="L27" s="419">
        <f>(
sumifs('Form responses'!$BD$2:$BD62,'Form responses'!$C$2:$C62,"&gt;="&amp;$M$1,'Form responses'!$C$2:$C62,"&lt;="&amp;$P$1,'Form responses'!$D$2:$D62,$B27)
+
sumifs('Form responses'!$BE$2:$BE62,'Form responses'!$C$2:$C62,"&gt;="&amp;$M$1,'Form responses'!$C$2:$C62,"&lt;="&amp;$P$1,'Form responses'!$D$2:$D62,$B27)
)*Sum!$R$35</f>
        <v>0</v>
      </c>
      <c r="M27" s="419">
        <f>(
sumifs('Form responses'!$BF$2:$BF62,'Form responses'!$C$2:$C62,"&gt;="&amp;$M$1,'Form responses'!$C$2:$C62,"&lt;="&amp;$P$1,'Form responses'!$D$2:$D62,$B27)
+
sumifs('Form responses'!$BG$2:$BG62,'Form responses'!$C$2:$C62,"&gt;="&amp;$M$1,'Form responses'!$C$2:$C62,"&lt;="&amp;$P$1,'Form responses'!$D$2:$D62,$B27)
)*Sum!$S$35</f>
        <v>0</v>
      </c>
      <c r="N27" s="419">
        <f>sumifs('Form responses'!$BL$2:$BL62,'Form responses'!$C$2:$C62,"&gt;="&amp;$M$1,'Form responses'!$C$2:$C62,"&lt;="&amp;$P$1,'Form responses'!$D$2:$D62,$B27)
*Sum!$T$35</f>
        <v>0</v>
      </c>
      <c r="O27" s="419">
        <f t="shared" si="2"/>
        <v>0</v>
      </c>
      <c r="P27" s="419">
        <f>((sumifs('Form responses'!$BN$2:$BN62,'Form responses'!$C$2:$C62,"&gt;="&amp;$M$1,'Form responses'!$C$2:$C62,"&lt;="&amp;$P$1,'Form responses'!$D$2:$D62,$B27)+
sumifs('Form responses'!$BO$2:$BO62,'Form responses'!$C$2:$C62,"&gt;="&amp;$M$1,'Form responses'!$C$2:$C62,"&lt;="&amp;$P$1,'Form responses'!$D$2:$D62,$B27))*Sum!$U$35)</f>
        <v>0</v>
      </c>
      <c r="Q27" s="419">
        <f t="shared" si="3"/>
        <v>0</v>
      </c>
      <c r="R27" s="346">
        <f t="shared" si="4"/>
        <v>0</v>
      </c>
    </row>
    <row r="28" ht="27.75" customHeight="1">
      <c r="A28" s="417"/>
      <c r="B28" s="423" t="s">
        <v>626</v>
      </c>
      <c r="C28" s="419">
        <f>((sumifs('Form responses'!$G$2:$G62,'Form responses'!$C$2:$C62,"&gt;="&amp;$M$1,'Form responses'!$C$2:$C62,"&lt;="&amp;$P$1,'Form responses'!$D$2:$D62,$B28)
+sumifs('Form responses'!$H$2:$H62,'Form responses'!$C$2:$C62,"&gt;="&amp;$M$1,'Form responses'!$C$2:$C62,"&lt;="&amp;$P$1,'Form responses'!$D$2:$D62,$B28)
+sumifs('Form responses'!$I$2:$I62,'Form responses'!$C$2:$C62,"&gt;="&amp;$M$1,'Form responses'!$C$2:$C62,"&lt;="&amp;$P$1,'Form responses'!$D$2:$D62,$B28)
)*Sum!$B$35)</f>
        <v>0</v>
      </c>
      <c r="D28" s="420">
        <f>((sumifs('Form responses'!$J$2:$J62,'Form responses'!$C$2:$C62,"&gt;="&amp;$M$1,'Form responses'!$C$2:$C62,"&lt;="&amp;$P$1,'Form responses'!$D$2:$D62,$B28))*Sum!$C$35)</f>
        <v>0</v>
      </c>
      <c r="E28" s="419">
        <f>((
sumifs('Form responses'!$S$2:$S62,'Form responses'!$C$2:$C62,"&gt;="&amp;$M$1,'Form responses'!$C$2:$C62,"&lt;="&amp;$P$1,'Form responses'!$D$2:$D62,$B28)
+
sumifs('Form responses'!$T$2:$T62,'Form responses'!$C$2:$C62,"&gt;="&amp;$M$1,'Form responses'!$C$2:$C62,"&lt;="&amp;$P$1,'Form responses'!$D$2:$D62,$B28)
)*Sum!$E$35
)</f>
        <v>0</v>
      </c>
      <c r="F28" s="419">
        <f>sumifs('Form responses'!$U$2:$U62,'Form responses'!$C$2:$C62,"&gt;="&amp;$M$1,'Form responses'!$C$2:$C62,"&lt;="&amp;$P$1,'Form responses'!$D$2:$D62,$B28)
*Sum!$D$35</f>
        <v>0</v>
      </c>
      <c r="G28" s="421">
        <f>sumifs('Form responses'!$EQ$2:$EQ62,'Form responses'!$B$2:$B62,"&gt;="&amp;$M$1,'Form responses'!$C$2:$C62,"&lt;="&amp;$P$1,'Form responses'!$D$2:$D62,$B28)*Sum!$V$35+sumifs('Form responses'!$ER$2:$ER62,'Form responses'!$B$2:$B62,"&gt;="&amp;$M$1,'Form responses'!$C$2:$C62,"&lt;="&amp;$P$1,'Form responses'!$D$2:$D62,$B28)*Sum!$W$35+sumifs('Form responses'!$ES$2:$ES62,'Form responses'!$B$2:$B62,"&gt;="&amp;$M$1,'Form responses'!$C$2:$C62,"&lt;="&amp;$P$1,'Form responses'!$D$2:$D62,$B28)*Sum!$X$35+sumifs('Form responses'!$ET$2:$ET62,'Form responses'!$B$2:$B62,"&gt;="&amp;$M$1,'Form responses'!$C$2:$C62,"&lt;="&amp;$P$1,'Form responses'!$D$2:$D62,$B28)*Sum!$Y$35</f>
        <v>0</v>
      </c>
      <c r="H28" s="419">
        <f>((
sumifs('Form responses'!$V$2:$V62,'Form responses'!$C$2:$C62,"&gt;="&amp;$M$1,'Form responses'!$C$2:$C62,"&lt;="&amp;$P$1,'Form responses'!$D$2:$D62,$B28)
)*
Sum!$F$35
)+((
sumifs('Form responses'!$W$2:$W62,'Form responses'!$C$2:$C62,"&gt;="&amp;$M$1,'Form responses'!$C$2:$C62,"&lt;="&amp;$P$1,'Form responses'!$D$2:$D62,$B28)
)*
Sum!$G$35
)</f>
        <v>0</v>
      </c>
      <c r="I28" s="419">
        <f>((
sumifs('Form responses'!$X$2:$X62,'Form responses'!$C$2:$C62,"&gt;="&amp;$M$1,'Form responses'!$C$2:$C62,"&lt;="&amp;$P$1,'Form responses'!$D$2:$D62,$B28)
)*Sum!$H$35)+((
sumifs('Form responses'!$Y$2:$Y62,'Form responses'!$C$2:$C62,"&gt;="&amp;$M$1,'Form responses'!$C$2:$C62,"&lt;="&amp;$P$1,'Form responses'!$D$2:$D62,$B28)
)*Sum!$I$35)+((
sumifs('Form responses'!$Z$2:$Z62,'Form responses'!$C$2:$C62,"&gt;="&amp;$M$1,'Form responses'!$C$2:$C62,"&lt;="&amp;$P$1,'Form responses'!$D$2:$D62,$B28)
)*Sum!$Z$35)</f>
        <v>0</v>
      </c>
      <c r="J28" s="419">
        <f t="shared" si="1"/>
        <v>0</v>
      </c>
      <c r="K28" s="419">
        <f>(
sumifs('Form responses'!$AV$2:$AV62,'Form responses'!$C$2:$C62,"&gt;="&amp;$M$1,'Form responses'!$C$2:$C62,"&lt;="&amp;$P$1,'Form responses'!$D$2:$D62,$B28)
+
sumifs('Form responses'!$AW$2:$AW62,'Form responses'!$C$2:$C62,"&gt;="&amp;$M$1,'Form responses'!$C$2:$C62,"&lt;="&amp;$P$1,'Form responses'!$D$2:$D62,$B28)
+
sumifs('Form responses'!$AX$2:$AX62,'Form responses'!$C$2:$C62,"&gt;="&amp;$M$1,'Form responses'!$C$2:$C62,"&lt;="&amp;$P$1,'Form responses'!$D$2:$D62,$B28)
+
sumifs('Form responses'!$AY$2:$AY62,'Form responses'!$C$2:$C62,"&gt;="&amp;$M$1,'Form responses'!$C$2:$C62,"&lt;="&amp;$P$1,'Form responses'!$D$2:$D62,$B28)
)*Sum!$Q$35</f>
        <v>0</v>
      </c>
      <c r="L28" s="419">
        <f>(
sumifs('Form responses'!$BD$2:$BD62,'Form responses'!$C$2:$C62,"&gt;="&amp;$M$1,'Form responses'!$C$2:$C62,"&lt;="&amp;$P$1,'Form responses'!$D$2:$D62,$B28)
+
sumifs('Form responses'!$BE$2:$BE62,'Form responses'!$C$2:$C62,"&gt;="&amp;$M$1,'Form responses'!$C$2:$C62,"&lt;="&amp;$P$1,'Form responses'!$D$2:$D62,$B28)
)*Sum!$R$35</f>
        <v>0</v>
      </c>
      <c r="M28" s="419">
        <f>(
sumifs('Form responses'!$BF$2:$BF62,'Form responses'!$C$2:$C62,"&gt;="&amp;$M$1,'Form responses'!$C$2:$C62,"&lt;="&amp;$P$1,'Form responses'!$D$2:$D62,$B28)
+
sumifs('Form responses'!$BG$2:$BG62,'Form responses'!$C$2:$C62,"&gt;="&amp;$M$1,'Form responses'!$C$2:$C62,"&lt;="&amp;$P$1,'Form responses'!$D$2:$D62,$B28)
)*Sum!$S$35</f>
        <v>0</v>
      </c>
      <c r="N28" s="419">
        <f>sumifs('Form responses'!$BL$2:$BL62,'Form responses'!$C$2:$C62,"&gt;="&amp;$M$1,'Form responses'!$C$2:$C62,"&lt;="&amp;$P$1,'Form responses'!$D$2:$D62,$B28)
*Sum!$T$35</f>
        <v>0</v>
      </c>
      <c r="O28" s="419">
        <f t="shared" si="2"/>
        <v>0</v>
      </c>
      <c r="P28" s="419">
        <f>((sumifs('Form responses'!$BN$2:$BN62,'Form responses'!$C$2:$C62,"&gt;="&amp;$M$1,'Form responses'!$C$2:$C62,"&lt;="&amp;$P$1,'Form responses'!$D$2:$D62,$B28)+
sumifs('Form responses'!$BO$2:$BO62,'Form responses'!$C$2:$C62,"&gt;="&amp;$M$1,'Form responses'!$C$2:$C62,"&lt;="&amp;$P$1,'Form responses'!$D$2:$D62,$B28))*Sum!$U$35)</f>
        <v>0</v>
      </c>
      <c r="Q28" s="419">
        <f t="shared" si="3"/>
        <v>0</v>
      </c>
      <c r="R28" s="346">
        <f t="shared" si="4"/>
        <v>0</v>
      </c>
    </row>
    <row r="29" ht="27.75" customHeight="1">
      <c r="A29" s="417"/>
      <c r="B29" s="423" t="s">
        <v>627</v>
      </c>
      <c r="C29" s="419">
        <f>((sumifs('Form responses'!$G$2:$G62,'Form responses'!$C$2:$C62,"&gt;="&amp;$M$1,'Form responses'!$C$2:$C62,"&lt;="&amp;$P$1,'Form responses'!$D$2:$D62,$B29)
+sumifs('Form responses'!$H$2:$H62,'Form responses'!$C$2:$C62,"&gt;="&amp;$M$1,'Form responses'!$C$2:$C62,"&lt;="&amp;$P$1,'Form responses'!$D$2:$D62,$B29)
+sumifs('Form responses'!$I$2:$I62,'Form responses'!$C$2:$C62,"&gt;="&amp;$M$1,'Form responses'!$C$2:$C62,"&lt;="&amp;$P$1,'Form responses'!$D$2:$D62,$B29)
)*Sum!$B$35)</f>
        <v>0</v>
      </c>
      <c r="D29" s="420">
        <f>((sumifs('Form responses'!$J$2:$J62,'Form responses'!$C$2:$C62,"&gt;="&amp;$M$1,'Form responses'!$C$2:$C62,"&lt;="&amp;$P$1,'Form responses'!$D$2:$D62,$B29))*Sum!$C$35)</f>
        <v>0</v>
      </c>
      <c r="E29" s="419">
        <f>((
sumifs('Form responses'!$S$2:$S62,'Form responses'!$C$2:$C62,"&gt;="&amp;$M$1,'Form responses'!$C$2:$C62,"&lt;="&amp;$P$1,'Form responses'!$D$2:$D62,$B29)
+
sumifs('Form responses'!$T$2:$T62,'Form responses'!$C$2:$C62,"&gt;="&amp;$M$1,'Form responses'!$C$2:$C62,"&lt;="&amp;$P$1,'Form responses'!$D$2:$D62,$B29)
)*Sum!$E$35
)</f>
        <v>0</v>
      </c>
      <c r="F29" s="419">
        <f>sumifs('Form responses'!$U$2:$U62,'Form responses'!$C$2:$C62,"&gt;="&amp;$M$1,'Form responses'!$C$2:$C62,"&lt;="&amp;$P$1,'Form responses'!$D$2:$D62,$B29)
*Sum!$D$35</f>
        <v>0</v>
      </c>
      <c r="G29" s="421">
        <f>sumifs('Form responses'!$EQ$2:$EQ62,'Form responses'!$B$2:$B62,"&gt;="&amp;$M$1,'Form responses'!$C$2:$C62,"&lt;="&amp;$P$1,'Form responses'!$D$2:$D62,$B29)*Sum!$V$35+sumifs('Form responses'!$ER$2:$ER62,'Form responses'!$B$2:$B62,"&gt;="&amp;$M$1,'Form responses'!$C$2:$C62,"&lt;="&amp;$P$1,'Form responses'!$D$2:$D62,$B29)*Sum!$W$35+sumifs('Form responses'!$ES$2:$ES62,'Form responses'!$B$2:$B62,"&gt;="&amp;$M$1,'Form responses'!$C$2:$C62,"&lt;="&amp;$P$1,'Form responses'!$D$2:$D62,$B29)*Sum!$X$35+sumifs('Form responses'!$ET$2:$ET62,'Form responses'!$B$2:$B62,"&gt;="&amp;$M$1,'Form responses'!$C$2:$C62,"&lt;="&amp;$P$1,'Form responses'!$D$2:$D62,$B29)*Sum!$Y$35</f>
        <v>0</v>
      </c>
      <c r="H29" s="419">
        <f>((
sumifs('Form responses'!$V$2:$V62,'Form responses'!$C$2:$C62,"&gt;="&amp;$M$1,'Form responses'!$C$2:$C62,"&lt;="&amp;$P$1,'Form responses'!$D$2:$D62,$B29)
)*
Sum!$F$35
)+((
sumifs('Form responses'!$W$2:$W62,'Form responses'!$C$2:$C62,"&gt;="&amp;$M$1,'Form responses'!$C$2:$C62,"&lt;="&amp;$P$1,'Form responses'!$D$2:$D62,$B29)
)*
Sum!$G$35
)</f>
        <v>0</v>
      </c>
      <c r="I29" s="419">
        <f>((
sumifs('Form responses'!$X$2:$X62,'Form responses'!$C$2:$C62,"&gt;="&amp;$M$1,'Form responses'!$C$2:$C62,"&lt;="&amp;$P$1,'Form responses'!$D$2:$D62,$B29)
)*Sum!$H$35)+((
sumifs('Form responses'!$Y$2:$Y62,'Form responses'!$C$2:$C62,"&gt;="&amp;$M$1,'Form responses'!$C$2:$C62,"&lt;="&amp;$P$1,'Form responses'!$D$2:$D62,$B29)
)*Sum!$I$35)+((
sumifs('Form responses'!$Z$2:$Z62,'Form responses'!$C$2:$C62,"&gt;="&amp;$M$1,'Form responses'!$C$2:$C62,"&lt;="&amp;$P$1,'Form responses'!$D$2:$D62,$B29)
)*Sum!$Z$35)</f>
        <v>0</v>
      </c>
      <c r="J29" s="419">
        <f t="shared" si="1"/>
        <v>0</v>
      </c>
      <c r="K29" s="419">
        <f>(
sumifs('Form responses'!$AV$2:$AV62,'Form responses'!$C$2:$C62,"&gt;="&amp;$M$1,'Form responses'!$C$2:$C62,"&lt;="&amp;$P$1,'Form responses'!$D$2:$D62,$B29)
+
sumifs('Form responses'!$AW$2:$AW62,'Form responses'!$C$2:$C62,"&gt;="&amp;$M$1,'Form responses'!$C$2:$C62,"&lt;="&amp;$P$1,'Form responses'!$D$2:$D62,$B29)
+
sumifs('Form responses'!$AX$2:$AX62,'Form responses'!$C$2:$C62,"&gt;="&amp;$M$1,'Form responses'!$C$2:$C62,"&lt;="&amp;$P$1,'Form responses'!$D$2:$D62,$B29)
+
sumifs('Form responses'!$AY$2:$AY62,'Form responses'!$C$2:$C62,"&gt;="&amp;$M$1,'Form responses'!$C$2:$C62,"&lt;="&amp;$P$1,'Form responses'!$D$2:$D62,$B29)
)*Sum!$Q$35</f>
        <v>0</v>
      </c>
      <c r="L29" s="419">
        <f>(
sumifs('Form responses'!$BD$2:$BD62,'Form responses'!$C$2:$C62,"&gt;="&amp;$M$1,'Form responses'!$C$2:$C62,"&lt;="&amp;$P$1,'Form responses'!$D$2:$D62,$B29)
+
sumifs('Form responses'!$BE$2:$BE62,'Form responses'!$C$2:$C62,"&gt;="&amp;$M$1,'Form responses'!$C$2:$C62,"&lt;="&amp;$P$1,'Form responses'!$D$2:$D62,$B29)
)*Sum!$R$35</f>
        <v>0</v>
      </c>
      <c r="M29" s="419">
        <f>(
sumifs('Form responses'!$BF$2:$BF62,'Form responses'!$C$2:$C62,"&gt;="&amp;$M$1,'Form responses'!$C$2:$C62,"&lt;="&amp;$P$1,'Form responses'!$D$2:$D62,$B29)
+
sumifs('Form responses'!$BG$2:$BG62,'Form responses'!$C$2:$C62,"&gt;="&amp;$M$1,'Form responses'!$C$2:$C62,"&lt;="&amp;$P$1,'Form responses'!$D$2:$D62,$B29)
)*Sum!$S$35</f>
        <v>0</v>
      </c>
      <c r="N29" s="419">
        <f>sumifs('Form responses'!$BL$2:$BL62,'Form responses'!$C$2:$C62,"&gt;="&amp;$M$1,'Form responses'!$C$2:$C62,"&lt;="&amp;$P$1,'Form responses'!$D$2:$D62,$B29)
*Sum!$T$35</f>
        <v>0</v>
      </c>
      <c r="O29" s="419">
        <f t="shared" si="2"/>
        <v>0</v>
      </c>
      <c r="P29" s="419">
        <f>((sumifs('Form responses'!$BN$2:$BN62,'Form responses'!$C$2:$C62,"&gt;="&amp;$M$1,'Form responses'!$C$2:$C62,"&lt;="&amp;$P$1,'Form responses'!$D$2:$D62,$B29)+
sumifs('Form responses'!$BO$2:$BO62,'Form responses'!$C$2:$C62,"&gt;="&amp;$M$1,'Form responses'!$C$2:$C62,"&lt;="&amp;$P$1,'Form responses'!$D$2:$D62,$B29))*Sum!$U$35)</f>
        <v>0</v>
      </c>
      <c r="Q29" s="419">
        <f t="shared" si="3"/>
        <v>0</v>
      </c>
      <c r="R29" s="346">
        <f t="shared" si="4"/>
        <v>0</v>
      </c>
    </row>
    <row r="30" ht="27.75" customHeight="1">
      <c r="A30" s="417"/>
      <c r="B30" s="418" t="s">
        <v>628</v>
      </c>
      <c r="C30" s="419">
        <f>((sumifs('Form responses'!$G$2:$G62,'Form responses'!$C$2:$C62,"&gt;="&amp;$M$1,'Form responses'!$C$2:$C62,"&lt;="&amp;$P$1,'Form responses'!$D$2:$D62,$B30)
+sumifs('Form responses'!$H$2:$H62,'Form responses'!$C$2:$C62,"&gt;="&amp;$M$1,'Form responses'!$C$2:$C62,"&lt;="&amp;$P$1,'Form responses'!$D$2:$D62,$B30)
+sumifs('Form responses'!$I$2:$I62,'Form responses'!$C$2:$C62,"&gt;="&amp;$M$1,'Form responses'!$C$2:$C62,"&lt;="&amp;$P$1,'Form responses'!$D$2:$D62,$B30)
)*Sum!$B$35)</f>
        <v>0</v>
      </c>
      <c r="D30" s="420">
        <f>((sumifs('Form responses'!$J$2:$J62,'Form responses'!$C$2:$C62,"&gt;="&amp;$M$1,'Form responses'!$C$2:$C62,"&lt;="&amp;$P$1,'Form responses'!$D$2:$D62,$B30))*Sum!$C$35)</f>
        <v>0</v>
      </c>
      <c r="E30" s="419">
        <f>((
sumifs('Form responses'!$S$2:$S62,'Form responses'!$C$2:$C62,"&gt;="&amp;$M$1,'Form responses'!$C$2:$C62,"&lt;="&amp;$P$1,'Form responses'!$D$2:$D62,$B30)
+
sumifs('Form responses'!$T$2:$T62,'Form responses'!$C$2:$C62,"&gt;="&amp;$M$1,'Form responses'!$C$2:$C62,"&lt;="&amp;$P$1,'Form responses'!$D$2:$D62,$B30)
)*Sum!$E$35
)</f>
        <v>0</v>
      </c>
      <c r="F30" s="419">
        <f>sumifs('Form responses'!$U$2:$U62,'Form responses'!$C$2:$C62,"&gt;="&amp;$M$1,'Form responses'!$C$2:$C62,"&lt;="&amp;$P$1,'Form responses'!$D$2:$D62,$B30)
*Sum!$D$35</f>
        <v>0</v>
      </c>
      <c r="G30" s="421">
        <f>sumifs('Form responses'!$EQ$2:$EQ62,'Form responses'!$B$2:$B62,"&gt;="&amp;$M$1,'Form responses'!$C$2:$C62,"&lt;="&amp;$P$1,'Form responses'!$D$2:$D62,$B30)*Sum!$V$35+sumifs('Form responses'!$ER$2:$ER62,'Form responses'!$B$2:$B62,"&gt;="&amp;$M$1,'Form responses'!$C$2:$C62,"&lt;="&amp;$P$1,'Form responses'!$D$2:$D62,$B30)*Sum!$W$35+sumifs('Form responses'!$ES$2:$ES62,'Form responses'!$B$2:$B62,"&gt;="&amp;$M$1,'Form responses'!$C$2:$C62,"&lt;="&amp;$P$1,'Form responses'!$D$2:$D62,$B30)*Sum!$X$35+sumifs('Form responses'!$ET$2:$ET62,'Form responses'!$B$2:$B62,"&gt;="&amp;$M$1,'Form responses'!$C$2:$C62,"&lt;="&amp;$P$1,'Form responses'!$D$2:$D62,$B30)*Sum!$Y$35</f>
        <v>0</v>
      </c>
      <c r="H30" s="419">
        <f>((
sumifs('Form responses'!$V$2:$V62,'Form responses'!$C$2:$C62,"&gt;="&amp;$M$1,'Form responses'!$C$2:$C62,"&lt;="&amp;$P$1,'Form responses'!$D$2:$D62,$B30)
)*
Sum!$F$35
)+((
sumifs('Form responses'!$W$2:$W62,'Form responses'!$C$2:$C62,"&gt;="&amp;$M$1,'Form responses'!$C$2:$C62,"&lt;="&amp;$P$1,'Form responses'!$D$2:$D62,$B30)
)*
Sum!$G$35
)</f>
        <v>0</v>
      </c>
      <c r="I30" s="419">
        <f>((
sumifs('Form responses'!$X$2:$X62,'Form responses'!$C$2:$C62,"&gt;="&amp;$M$1,'Form responses'!$C$2:$C62,"&lt;="&amp;$P$1,'Form responses'!$D$2:$D62,$B30)
)*Sum!$H$35)+((
sumifs('Form responses'!$Y$2:$Y62,'Form responses'!$C$2:$C62,"&gt;="&amp;$M$1,'Form responses'!$C$2:$C62,"&lt;="&amp;$P$1,'Form responses'!$D$2:$D62,$B30)
)*Sum!$I$35)+((
sumifs('Form responses'!$Z$2:$Z62,'Form responses'!$C$2:$C62,"&gt;="&amp;$M$1,'Form responses'!$C$2:$C62,"&lt;="&amp;$P$1,'Form responses'!$D$2:$D62,$B30)
)*Sum!$Z$35)</f>
        <v>0</v>
      </c>
      <c r="J30" s="419">
        <f t="shared" si="1"/>
        <v>0</v>
      </c>
      <c r="K30" s="419">
        <f>(
sumifs('Form responses'!$AV$2:$AV62,'Form responses'!$C$2:$C62,"&gt;="&amp;$M$1,'Form responses'!$C$2:$C62,"&lt;="&amp;$P$1,'Form responses'!$D$2:$D62,$B30)
+
sumifs('Form responses'!$AW$2:$AW62,'Form responses'!$C$2:$C62,"&gt;="&amp;$M$1,'Form responses'!$C$2:$C62,"&lt;="&amp;$P$1,'Form responses'!$D$2:$D62,$B30)
+
sumifs('Form responses'!$AX$2:$AX62,'Form responses'!$C$2:$C62,"&gt;="&amp;$M$1,'Form responses'!$C$2:$C62,"&lt;="&amp;$P$1,'Form responses'!$D$2:$D62,$B30)
+
sumifs('Form responses'!$AY$2:$AY62,'Form responses'!$C$2:$C62,"&gt;="&amp;$M$1,'Form responses'!$C$2:$C62,"&lt;="&amp;$P$1,'Form responses'!$D$2:$D62,$B30)
)*Sum!$Q$35</f>
        <v>0</v>
      </c>
      <c r="L30" s="419">
        <f>(
sumifs('Form responses'!$BD$2:$BD62,'Form responses'!$C$2:$C62,"&gt;="&amp;$M$1,'Form responses'!$C$2:$C62,"&lt;="&amp;$P$1,'Form responses'!$D$2:$D62,$B30)
+
sumifs('Form responses'!$BE$2:$BE62,'Form responses'!$C$2:$C62,"&gt;="&amp;$M$1,'Form responses'!$C$2:$C62,"&lt;="&amp;$P$1,'Form responses'!$D$2:$D62,$B30)
)*Sum!$R$35</f>
        <v>0</v>
      </c>
      <c r="M30" s="419">
        <f>(
sumifs('Form responses'!$BF$2:$BF62,'Form responses'!$C$2:$C62,"&gt;="&amp;$M$1,'Form responses'!$C$2:$C62,"&lt;="&amp;$P$1,'Form responses'!$D$2:$D62,$B30)
+
sumifs('Form responses'!$BG$2:$BG62,'Form responses'!$C$2:$C62,"&gt;="&amp;$M$1,'Form responses'!$C$2:$C62,"&lt;="&amp;$P$1,'Form responses'!$D$2:$D62,$B30)
)*Sum!$S$35</f>
        <v>0</v>
      </c>
      <c r="N30" s="419">
        <f>sumifs('Form responses'!$BL$2:$BL62,'Form responses'!$C$2:$C62,"&gt;="&amp;$M$1,'Form responses'!$C$2:$C62,"&lt;="&amp;$P$1,'Form responses'!$D$2:$D62,$B30)
*Sum!$T$35</f>
        <v>0</v>
      </c>
      <c r="O30" s="419">
        <f t="shared" si="2"/>
        <v>0</v>
      </c>
      <c r="P30" s="419">
        <f>((sumifs('Form responses'!$BN$2:$BN62,'Form responses'!$C$2:$C62,"&gt;="&amp;$M$1,'Form responses'!$C$2:$C62,"&lt;="&amp;$P$1,'Form responses'!$D$2:$D62,$B30)+
sumifs('Form responses'!$BO$2:$BO62,'Form responses'!$C$2:$C62,"&gt;="&amp;$M$1,'Form responses'!$C$2:$C62,"&lt;="&amp;$P$1,'Form responses'!$D$2:$D62,$B30))*Sum!$U$35)</f>
        <v>0</v>
      </c>
      <c r="Q30" s="419">
        <f t="shared" si="3"/>
        <v>0</v>
      </c>
      <c r="R30" s="346">
        <f t="shared" si="4"/>
        <v>0</v>
      </c>
    </row>
    <row r="31" ht="27.75" customHeight="1">
      <c r="A31" s="417"/>
      <c r="B31" s="418" t="s">
        <v>629</v>
      </c>
      <c r="C31" s="419">
        <f>((sumifs('Form responses'!$G$2:$G62,'Form responses'!$C$2:$C62,"&gt;="&amp;$M$1,'Form responses'!$C$2:$C62,"&lt;="&amp;$P$1,'Form responses'!$D$2:$D62,$B31)
+sumifs('Form responses'!$H$2:$H62,'Form responses'!$C$2:$C62,"&gt;="&amp;$M$1,'Form responses'!$C$2:$C62,"&lt;="&amp;$P$1,'Form responses'!$D$2:$D62,$B31)
+sumifs('Form responses'!$I$2:$I62,'Form responses'!$C$2:$C62,"&gt;="&amp;$M$1,'Form responses'!$C$2:$C62,"&lt;="&amp;$P$1,'Form responses'!$D$2:$D62,$B31)
)*Sum!$B$35)</f>
        <v>0</v>
      </c>
      <c r="D31" s="420">
        <f>((sumifs('Form responses'!$J$2:$J62,'Form responses'!$C$2:$C62,"&gt;="&amp;$M$1,'Form responses'!$C$2:$C62,"&lt;="&amp;$P$1,'Form responses'!$D$2:$D62,$B31))*Sum!$C$35)</f>
        <v>0</v>
      </c>
      <c r="E31" s="419">
        <f>((
sumifs('Form responses'!$S$2:$S62,'Form responses'!$C$2:$C62,"&gt;="&amp;$M$1,'Form responses'!$C$2:$C62,"&lt;="&amp;$P$1,'Form responses'!$D$2:$D62,$B31)
+
sumifs('Form responses'!$T$2:$T62,'Form responses'!$C$2:$C62,"&gt;="&amp;$M$1,'Form responses'!$C$2:$C62,"&lt;="&amp;$P$1,'Form responses'!$D$2:$D62,$B31)
)*Sum!$E$35
)</f>
        <v>0</v>
      </c>
      <c r="F31" s="419">
        <f>sumifs('Form responses'!$U$2:$U62,'Form responses'!$C$2:$C62,"&gt;="&amp;$M$1,'Form responses'!$C$2:$C62,"&lt;="&amp;$P$1,'Form responses'!$D$2:$D62,$B31)
*Sum!$D$35</f>
        <v>0</v>
      </c>
      <c r="G31" s="421">
        <f>sumifs('Form responses'!$EQ$2:$EQ62,'Form responses'!$B$2:$B62,"&gt;="&amp;$M$1,'Form responses'!$C$2:$C62,"&lt;="&amp;$P$1,'Form responses'!$D$2:$D62,$B31)*Sum!$V$35+sumifs('Form responses'!$ER$2:$ER62,'Form responses'!$B$2:$B62,"&gt;="&amp;$M$1,'Form responses'!$C$2:$C62,"&lt;="&amp;$P$1,'Form responses'!$D$2:$D62,$B31)*Sum!$W$35+sumifs('Form responses'!$ES$2:$ES62,'Form responses'!$B$2:$B62,"&gt;="&amp;$M$1,'Form responses'!$C$2:$C62,"&lt;="&amp;$P$1,'Form responses'!$D$2:$D62,$B31)*Sum!$X$35+sumifs('Form responses'!$ET$2:$ET62,'Form responses'!$B$2:$B62,"&gt;="&amp;$M$1,'Form responses'!$C$2:$C62,"&lt;="&amp;$P$1,'Form responses'!$D$2:$D62,$B31)*Sum!$Y$35</f>
        <v>0</v>
      </c>
      <c r="H31" s="419">
        <f>((
sumifs('Form responses'!$V$2:$V62,'Form responses'!$C$2:$C62,"&gt;="&amp;$M$1,'Form responses'!$C$2:$C62,"&lt;="&amp;$P$1,'Form responses'!$D$2:$D62,$B31)
)*
Sum!$F$35
)+((
sumifs('Form responses'!$W$2:$W62,'Form responses'!$C$2:$C62,"&gt;="&amp;$M$1,'Form responses'!$C$2:$C62,"&lt;="&amp;$P$1,'Form responses'!$D$2:$D62,$B31)
)*
Sum!$G$35
)</f>
        <v>0</v>
      </c>
      <c r="I31" s="419">
        <f>((
sumifs('Form responses'!$X$2:$X62,'Form responses'!$C$2:$C62,"&gt;="&amp;$M$1,'Form responses'!$C$2:$C62,"&lt;="&amp;$P$1,'Form responses'!$D$2:$D62,$B31)
)*Sum!$H$35)+((
sumifs('Form responses'!$Y$2:$Y62,'Form responses'!$C$2:$C62,"&gt;="&amp;$M$1,'Form responses'!$C$2:$C62,"&lt;="&amp;$P$1,'Form responses'!$D$2:$D62,$B31)
)*Sum!$I$35)+((
sumifs('Form responses'!$Z$2:$Z62,'Form responses'!$C$2:$C62,"&gt;="&amp;$M$1,'Form responses'!$C$2:$C62,"&lt;="&amp;$P$1,'Form responses'!$D$2:$D62,$B31)
)*Sum!$Z$35)</f>
        <v>0</v>
      </c>
      <c r="J31" s="419">
        <f t="shared" si="1"/>
        <v>0</v>
      </c>
      <c r="K31" s="419">
        <f>(
sumifs('Form responses'!$AV$2:$AV62,'Form responses'!$C$2:$C62,"&gt;="&amp;$M$1,'Form responses'!$C$2:$C62,"&lt;="&amp;$P$1,'Form responses'!$D$2:$D62,$B31)
+
sumifs('Form responses'!$AW$2:$AW62,'Form responses'!$C$2:$C62,"&gt;="&amp;$M$1,'Form responses'!$C$2:$C62,"&lt;="&amp;$P$1,'Form responses'!$D$2:$D62,$B31)
+
sumifs('Form responses'!$AX$2:$AX62,'Form responses'!$C$2:$C62,"&gt;="&amp;$M$1,'Form responses'!$C$2:$C62,"&lt;="&amp;$P$1,'Form responses'!$D$2:$D62,$B31)
+
sumifs('Form responses'!$AY$2:$AY62,'Form responses'!$C$2:$C62,"&gt;="&amp;$M$1,'Form responses'!$C$2:$C62,"&lt;="&amp;$P$1,'Form responses'!$D$2:$D62,$B31)
)*Sum!$Q$35</f>
        <v>0</v>
      </c>
      <c r="L31" s="419">
        <f>(
sumifs('Form responses'!$BD$2:$BD62,'Form responses'!$C$2:$C62,"&gt;="&amp;$M$1,'Form responses'!$C$2:$C62,"&lt;="&amp;$P$1,'Form responses'!$D$2:$D62,$B31)
+
sumifs('Form responses'!$BE$2:$BE62,'Form responses'!$C$2:$C62,"&gt;="&amp;$M$1,'Form responses'!$C$2:$C62,"&lt;="&amp;$P$1,'Form responses'!$D$2:$D62,$B31)
)*Sum!$R$35</f>
        <v>0</v>
      </c>
      <c r="M31" s="419">
        <f>(
sumifs('Form responses'!$BF$2:$BF62,'Form responses'!$C$2:$C62,"&gt;="&amp;$M$1,'Form responses'!$C$2:$C62,"&lt;="&amp;$P$1,'Form responses'!$D$2:$D62,$B31)
+
sumifs('Form responses'!$BG$2:$BG62,'Form responses'!$C$2:$C62,"&gt;="&amp;$M$1,'Form responses'!$C$2:$C62,"&lt;="&amp;$P$1,'Form responses'!$D$2:$D62,$B31)
)*Sum!$S$35</f>
        <v>0</v>
      </c>
      <c r="N31" s="419">
        <f>sumifs('Form responses'!$BL$2:$BL62,'Form responses'!$C$2:$C62,"&gt;="&amp;$M$1,'Form responses'!$C$2:$C62,"&lt;="&amp;$P$1,'Form responses'!$D$2:$D62,$B31)
*Sum!$T$35</f>
        <v>0</v>
      </c>
      <c r="O31" s="419">
        <f t="shared" si="2"/>
        <v>0</v>
      </c>
      <c r="P31" s="419">
        <f>((sumifs('Form responses'!$BN$2:$BN62,'Form responses'!$C$2:$C62,"&gt;="&amp;$M$1,'Form responses'!$C$2:$C62,"&lt;="&amp;$P$1,'Form responses'!$D$2:$D62,$B31)+
sumifs('Form responses'!$BO$2:$BO62,'Form responses'!$C$2:$C62,"&gt;="&amp;$M$1,'Form responses'!$C$2:$C62,"&lt;="&amp;$P$1,'Form responses'!$D$2:$D62,$B31))*Sum!$U$35)</f>
        <v>0</v>
      </c>
      <c r="Q31" s="419">
        <f t="shared" si="3"/>
        <v>0</v>
      </c>
      <c r="R31" s="346">
        <f t="shared" si="4"/>
        <v>0</v>
      </c>
    </row>
    <row r="32" ht="27.75" customHeight="1">
      <c r="A32" s="424">
        <v>8.0</v>
      </c>
      <c r="B32" s="418" t="s">
        <v>630</v>
      </c>
      <c r="C32" s="419">
        <f>((sumifs('Form responses'!$G$2:$G62,'Form responses'!$C$2:$C62,"&gt;="&amp;$M$1,'Form responses'!$C$2:$C62,"&lt;="&amp;$P$1,'Form responses'!$D$2:$D62,$B32)
+sumifs('Form responses'!$H$2:$H62,'Form responses'!$C$2:$C62,"&gt;="&amp;$M$1,'Form responses'!$C$2:$C62,"&lt;="&amp;$P$1,'Form responses'!$D$2:$D62,$B32)
+sumifs('Form responses'!$I$2:$I62,'Form responses'!$C$2:$C62,"&gt;="&amp;$M$1,'Form responses'!$C$2:$C62,"&lt;="&amp;$P$1,'Form responses'!$D$2:$D62,$B32)
)*Sum!$B$35)</f>
        <v>0</v>
      </c>
      <c r="D32" s="420">
        <f>((sumifs('Form responses'!$J$2:$J62,'Form responses'!$C$2:$C62,"&gt;="&amp;$M$1,'Form responses'!$C$2:$C62,"&lt;="&amp;$P$1,'Form responses'!$D$2:$D62,$B32))*Sum!$C$35)</f>
        <v>0</v>
      </c>
      <c r="E32" s="419">
        <f>((
sumifs('Form responses'!$S$2:$S62,'Form responses'!$C$2:$C62,"&gt;="&amp;$M$1,'Form responses'!$C$2:$C62,"&lt;="&amp;$P$1,'Form responses'!$D$2:$D62,$B32)
+
sumifs('Form responses'!$T$2:$T62,'Form responses'!$C$2:$C62,"&gt;="&amp;$M$1,'Form responses'!$C$2:$C62,"&lt;="&amp;$P$1,'Form responses'!$D$2:$D62,$B32)
)*Sum!$E$35
)</f>
        <v>0</v>
      </c>
      <c r="F32" s="419">
        <f>sumifs('Form responses'!$U$2:$U62,'Form responses'!$C$2:$C62,"&gt;="&amp;$M$1,'Form responses'!$C$2:$C62,"&lt;="&amp;$P$1,'Form responses'!$D$2:$D62,$B32)
*Sum!$D$35</f>
        <v>0</v>
      </c>
      <c r="G32" s="421">
        <f>sumifs('Form responses'!$EQ$2:$EQ62,'Form responses'!$B$2:$B62,"&gt;="&amp;$M$1,'Form responses'!$C$2:$C62,"&lt;="&amp;$P$1,'Form responses'!$D$2:$D62,$B32)*Sum!$V$35+sumifs('Form responses'!$ER$2:$ER62,'Form responses'!$B$2:$B62,"&gt;="&amp;$M$1,'Form responses'!$C$2:$C62,"&lt;="&amp;$P$1,'Form responses'!$D$2:$D62,$B32)*Sum!$W$35+sumifs('Form responses'!$ES$2:$ES62,'Form responses'!$B$2:$B62,"&gt;="&amp;$M$1,'Form responses'!$C$2:$C62,"&lt;="&amp;$P$1,'Form responses'!$D$2:$D62,$B32)*Sum!$X$35+sumifs('Form responses'!$ET$2:$ET62,'Form responses'!$B$2:$B62,"&gt;="&amp;$M$1,'Form responses'!$C$2:$C62,"&lt;="&amp;$P$1,'Form responses'!$D$2:$D62,$B32)*Sum!$Y$35</f>
        <v>0</v>
      </c>
      <c r="H32" s="419">
        <f>((
sumifs('Form responses'!$V$2:$V62,'Form responses'!$C$2:$C62,"&gt;="&amp;$M$1,'Form responses'!$C$2:$C62,"&lt;="&amp;$P$1,'Form responses'!$D$2:$D62,$B32)
)*
Sum!$F$35
)+((
sumifs('Form responses'!$W$2:$W62,'Form responses'!$C$2:$C62,"&gt;="&amp;$M$1,'Form responses'!$C$2:$C62,"&lt;="&amp;$P$1,'Form responses'!$D$2:$D62,$B32)
)*
Sum!$G$35
)</f>
        <v>0</v>
      </c>
      <c r="I32" s="419">
        <f>((
sumifs('Form responses'!$X$2:$X62,'Form responses'!$C$2:$C62,"&gt;="&amp;$M$1,'Form responses'!$C$2:$C62,"&lt;="&amp;$P$1,'Form responses'!$D$2:$D62,$B32)
)*Sum!$H$35)+((
sumifs('Form responses'!$Y$2:$Y62,'Form responses'!$C$2:$C62,"&gt;="&amp;$M$1,'Form responses'!$C$2:$C62,"&lt;="&amp;$P$1,'Form responses'!$D$2:$D62,$B32)
)*Sum!$I$35)+((
sumifs('Form responses'!$Z$2:$Z62,'Form responses'!$C$2:$C62,"&gt;="&amp;$M$1,'Form responses'!$C$2:$C62,"&lt;="&amp;$P$1,'Form responses'!$D$2:$D62,$B32)
)*Sum!$Z$35)</f>
        <v>0</v>
      </c>
      <c r="J32" s="419">
        <f t="shared" si="1"/>
        <v>0</v>
      </c>
      <c r="K32" s="419">
        <f>(
sumifs('Form responses'!$AV$2:$AV62,'Form responses'!$C$2:$C62,"&gt;="&amp;$M$1,'Form responses'!$C$2:$C62,"&lt;="&amp;$P$1,'Form responses'!$D$2:$D62,$B32)
+
sumifs('Form responses'!$AW$2:$AW62,'Form responses'!$C$2:$C62,"&gt;="&amp;$M$1,'Form responses'!$C$2:$C62,"&lt;="&amp;$P$1,'Form responses'!$D$2:$D62,$B32)
+
sumifs('Form responses'!$AX$2:$AX62,'Form responses'!$C$2:$C62,"&gt;="&amp;$M$1,'Form responses'!$C$2:$C62,"&lt;="&amp;$P$1,'Form responses'!$D$2:$D62,$B32)
+
sumifs('Form responses'!$AY$2:$AY62,'Form responses'!$C$2:$C62,"&gt;="&amp;$M$1,'Form responses'!$C$2:$C62,"&lt;="&amp;$P$1,'Form responses'!$D$2:$D62,$B32)
)*Sum!$Q$35</f>
        <v>0</v>
      </c>
      <c r="L32" s="419">
        <f>(
sumifs('Form responses'!$BD$2:$BD62,'Form responses'!$C$2:$C62,"&gt;="&amp;$M$1,'Form responses'!$C$2:$C62,"&lt;="&amp;$P$1,'Form responses'!$D$2:$D62,$B32)
+
sumifs('Form responses'!$BE$2:$BE62,'Form responses'!$C$2:$C62,"&gt;="&amp;$M$1,'Form responses'!$C$2:$C62,"&lt;="&amp;$P$1,'Form responses'!$D$2:$D62,$B32)
)*Sum!$R$35</f>
        <v>0</v>
      </c>
      <c r="M32" s="419">
        <f>(
sumifs('Form responses'!$BF$2:$BF62,'Form responses'!$C$2:$C62,"&gt;="&amp;$M$1,'Form responses'!$C$2:$C62,"&lt;="&amp;$P$1,'Form responses'!$D$2:$D62,$B32)
+
sumifs('Form responses'!$BG$2:$BG62,'Form responses'!$C$2:$C62,"&gt;="&amp;$M$1,'Form responses'!$C$2:$C62,"&lt;="&amp;$P$1,'Form responses'!$D$2:$D62,$B32)
)*Sum!$S$35</f>
        <v>0</v>
      </c>
      <c r="N32" s="419">
        <f>sumifs('Form responses'!$BL$2:$BL62,'Form responses'!$C$2:$C62,"&gt;="&amp;$M$1,'Form responses'!$C$2:$C62,"&lt;="&amp;$P$1,'Form responses'!$D$2:$D62,$B32)
*Sum!$T$35</f>
        <v>0</v>
      </c>
      <c r="O32" s="419">
        <f t="shared" si="2"/>
        <v>0</v>
      </c>
      <c r="P32" s="419">
        <f>((sumifs('Form responses'!$BN$2:$BN62,'Form responses'!$C$2:$C62,"&gt;="&amp;$M$1,'Form responses'!$C$2:$C62,"&lt;="&amp;$P$1,'Form responses'!$D$2:$D62,$B32)+
sumifs('Form responses'!$BO$2:$BO62,'Form responses'!$C$2:$C62,"&gt;="&amp;$M$1,'Form responses'!$C$2:$C62,"&lt;="&amp;$P$1,'Form responses'!$D$2:$D62,$B32))*Sum!$U$35)</f>
        <v>0</v>
      </c>
      <c r="Q32" s="419">
        <f t="shared" si="3"/>
        <v>0</v>
      </c>
      <c r="R32" s="346">
        <f t="shared" si="4"/>
        <v>0</v>
      </c>
    </row>
    <row r="33" ht="27.75" customHeight="1">
      <c r="A33" s="417"/>
      <c r="B33" s="423" t="s">
        <v>631</v>
      </c>
      <c r="C33" s="419">
        <f>((sumifs('Form responses'!$G$2:$G62,'Form responses'!$C$2:$C62,"&gt;="&amp;$M$1,'Form responses'!$C$2:$C62,"&lt;="&amp;$P$1,'Form responses'!$D$2:$D62,$B33)
+sumifs('Form responses'!$H$2:$H62,'Form responses'!$C$2:$C62,"&gt;="&amp;$M$1,'Form responses'!$C$2:$C62,"&lt;="&amp;$P$1,'Form responses'!$D$2:$D62,$B33)
+sumifs('Form responses'!$I$2:$I62,'Form responses'!$C$2:$C62,"&gt;="&amp;$M$1,'Form responses'!$C$2:$C62,"&lt;="&amp;$P$1,'Form responses'!$D$2:$D62,$B33)
)*Sum!$B$35)</f>
        <v>0</v>
      </c>
      <c r="D33" s="420">
        <f>((sumifs('Form responses'!$J$2:$J62,'Form responses'!$C$2:$C62,"&gt;="&amp;$M$1,'Form responses'!$C$2:$C62,"&lt;="&amp;$P$1,'Form responses'!$D$2:$D62,$B33))*Sum!$C$35)</f>
        <v>0</v>
      </c>
      <c r="E33" s="419">
        <f>((
sumifs('Form responses'!$S$2:$S62,'Form responses'!$C$2:$C62,"&gt;="&amp;$M$1,'Form responses'!$C$2:$C62,"&lt;="&amp;$P$1,'Form responses'!$D$2:$D62,$B33)
+
sumifs('Form responses'!$T$2:$T62,'Form responses'!$C$2:$C62,"&gt;="&amp;$M$1,'Form responses'!$C$2:$C62,"&lt;="&amp;$P$1,'Form responses'!$D$2:$D62,$B33)
)*Sum!$E$35
)</f>
        <v>0</v>
      </c>
      <c r="F33" s="419">
        <f>sumifs('Form responses'!$U$2:$U62,'Form responses'!$C$2:$C62,"&gt;="&amp;$M$1,'Form responses'!$C$2:$C62,"&lt;="&amp;$P$1,'Form responses'!$D$2:$D62,$B33)
*Sum!$D$35</f>
        <v>0</v>
      </c>
      <c r="G33" s="421">
        <f>sumifs('Form responses'!$EQ$2:$EQ62,'Form responses'!$B$2:$B62,"&gt;="&amp;$M$1,'Form responses'!$C$2:$C62,"&lt;="&amp;$P$1,'Form responses'!$D$2:$D62,$B33)*Sum!$V$35+sumifs('Form responses'!$ER$2:$ER62,'Form responses'!$B$2:$B62,"&gt;="&amp;$M$1,'Form responses'!$C$2:$C62,"&lt;="&amp;$P$1,'Form responses'!$D$2:$D62,$B33)*Sum!$W$35+sumifs('Form responses'!$ES$2:$ES62,'Form responses'!$B$2:$B62,"&gt;="&amp;$M$1,'Form responses'!$C$2:$C62,"&lt;="&amp;$P$1,'Form responses'!$D$2:$D62,$B33)*Sum!$X$35+sumifs('Form responses'!$ET$2:$ET62,'Form responses'!$B$2:$B62,"&gt;="&amp;$M$1,'Form responses'!$C$2:$C62,"&lt;="&amp;$P$1,'Form responses'!$D$2:$D62,$B33)*Sum!$Y$35</f>
        <v>0</v>
      </c>
      <c r="H33" s="419">
        <f>((
sumifs('Form responses'!$V$2:$V62,'Form responses'!$C$2:$C62,"&gt;="&amp;$M$1,'Form responses'!$C$2:$C62,"&lt;="&amp;$P$1,'Form responses'!$D$2:$D62,$B33)
)*
Sum!$F$35
)+((
sumifs('Form responses'!$W$2:$W62,'Form responses'!$C$2:$C62,"&gt;="&amp;$M$1,'Form responses'!$C$2:$C62,"&lt;="&amp;$P$1,'Form responses'!$D$2:$D62,$B33)
)*
Sum!$G$35
)</f>
        <v>0</v>
      </c>
      <c r="I33" s="419">
        <f>((
sumifs('Form responses'!$X$2:$X62,'Form responses'!$C$2:$C62,"&gt;="&amp;$M$1,'Form responses'!$C$2:$C62,"&lt;="&amp;$P$1,'Form responses'!$D$2:$D62,$B33)
)*Sum!$H$35)+((
sumifs('Form responses'!$Y$2:$Y62,'Form responses'!$C$2:$C62,"&gt;="&amp;$M$1,'Form responses'!$C$2:$C62,"&lt;="&amp;$P$1,'Form responses'!$D$2:$D62,$B33)
)*Sum!$I$35)+((
sumifs('Form responses'!$Z$2:$Z62,'Form responses'!$C$2:$C62,"&gt;="&amp;$M$1,'Form responses'!$C$2:$C62,"&lt;="&amp;$P$1,'Form responses'!$D$2:$D62,$B33)
)*Sum!$Z$35)</f>
        <v>0</v>
      </c>
      <c r="J33" s="419">
        <f t="shared" si="1"/>
        <v>0</v>
      </c>
      <c r="K33" s="419">
        <f>(
sumifs('Form responses'!$AV$2:$AV62,'Form responses'!$C$2:$C62,"&gt;="&amp;$M$1,'Form responses'!$C$2:$C62,"&lt;="&amp;$P$1,'Form responses'!$D$2:$D62,$B33)
+
sumifs('Form responses'!$AW$2:$AW62,'Form responses'!$C$2:$C62,"&gt;="&amp;$M$1,'Form responses'!$C$2:$C62,"&lt;="&amp;$P$1,'Form responses'!$D$2:$D62,$B33)
+
sumifs('Form responses'!$AX$2:$AX62,'Form responses'!$C$2:$C62,"&gt;="&amp;$M$1,'Form responses'!$C$2:$C62,"&lt;="&amp;$P$1,'Form responses'!$D$2:$D62,$B33)
+
sumifs('Form responses'!$AY$2:$AY62,'Form responses'!$C$2:$C62,"&gt;="&amp;$M$1,'Form responses'!$C$2:$C62,"&lt;="&amp;$P$1,'Form responses'!$D$2:$D62,$B33)
)*Sum!$Q$35</f>
        <v>0</v>
      </c>
      <c r="L33" s="419">
        <f>(
sumifs('Form responses'!$BD$2:$BD62,'Form responses'!$C$2:$C62,"&gt;="&amp;$M$1,'Form responses'!$C$2:$C62,"&lt;="&amp;$P$1,'Form responses'!$D$2:$D62,$B33)
+
sumifs('Form responses'!$BE$2:$BE62,'Form responses'!$C$2:$C62,"&gt;="&amp;$M$1,'Form responses'!$C$2:$C62,"&lt;="&amp;$P$1,'Form responses'!$D$2:$D62,$B33)
)*Sum!$R$35</f>
        <v>0</v>
      </c>
      <c r="M33" s="419">
        <f>(
sumifs('Form responses'!$BF$2:$BF62,'Form responses'!$C$2:$C62,"&gt;="&amp;$M$1,'Form responses'!$C$2:$C62,"&lt;="&amp;$P$1,'Form responses'!$D$2:$D62,$B33)
+
sumifs('Form responses'!$BG$2:$BG62,'Form responses'!$C$2:$C62,"&gt;="&amp;$M$1,'Form responses'!$C$2:$C62,"&lt;="&amp;$P$1,'Form responses'!$D$2:$D62,$B33)
)*Sum!$S$35</f>
        <v>0</v>
      </c>
      <c r="N33" s="419">
        <f>sumifs('Form responses'!$BL$2:$BL62,'Form responses'!$C$2:$C62,"&gt;="&amp;$M$1,'Form responses'!$C$2:$C62,"&lt;="&amp;$P$1,'Form responses'!$D$2:$D62,$B33)
*Sum!$T$35</f>
        <v>0</v>
      </c>
      <c r="O33" s="419">
        <f t="shared" si="2"/>
        <v>0</v>
      </c>
      <c r="P33" s="419">
        <f>((sumifs('Form responses'!$BN$2:$BN62,'Form responses'!$C$2:$C62,"&gt;="&amp;$M$1,'Form responses'!$C$2:$C62,"&lt;="&amp;$P$1,'Form responses'!$D$2:$D62,$B33)+
sumifs('Form responses'!$BO$2:$BO62,'Form responses'!$C$2:$C62,"&gt;="&amp;$M$1,'Form responses'!$C$2:$C62,"&lt;="&amp;$P$1,'Form responses'!$D$2:$D62,$B33))*Sum!$U$35)</f>
        <v>0</v>
      </c>
      <c r="Q33" s="419">
        <f t="shared" si="3"/>
        <v>0</v>
      </c>
      <c r="R33" s="346">
        <f t="shared" si="4"/>
        <v>0</v>
      </c>
    </row>
    <row r="34" ht="27.75" customHeight="1">
      <c r="A34" s="417"/>
      <c r="B34" s="418" t="s">
        <v>632</v>
      </c>
      <c r="C34" s="419">
        <f>((sumifs('Form responses'!$G$2:$G62,'Form responses'!$C$2:$C62,"&gt;="&amp;$M$1,'Form responses'!$C$2:$C62,"&lt;="&amp;$P$1,'Form responses'!$D$2:$D62,$B34)
+sumifs('Form responses'!$H$2:$H62,'Form responses'!$C$2:$C62,"&gt;="&amp;$M$1,'Form responses'!$C$2:$C62,"&lt;="&amp;$P$1,'Form responses'!$D$2:$D62,$B34)
+sumifs('Form responses'!$I$2:$I62,'Form responses'!$C$2:$C62,"&gt;="&amp;$M$1,'Form responses'!$C$2:$C62,"&lt;="&amp;$P$1,'Form responses'!$D$2:$D62,$B34)
)*Sum!$B$35)</f>
        <v>0</v>
      </c>
      <c r="D34" s="420">
        <f>((sumifs('Form responses'!$J$2:$J62,'Form responses'!$C$2:$C62,"&gt;="&amp;$M$1,'Form responses'!$C$2:$C62,"&lt;="&amp;$P$1,'Form responses'!$D$2:$D62,$B34))*Sum!$C$35)</f>
        <v>0</v>
      </c>
      <c r="E34" s="419">
        <f>((
sumifs('Form responses'!$S$2:$S62,'Form responses'!$C$2:$C62,"&gt;="&amp;$M$1,'Form responses'!$C$2:$C62,"&lt;="&amp;$P$1,'Form responses'!$D$2:$D62,$B34)
+
sumifs('Form responses'!$T$2:$T62,'Form responses'!$C$2:$C62,"&gt;="&amp;$M$1,'Form responses'!$C$2:$C62,"&lt;="&amp;$P$1,'Form responses'!$D$2:$D62,$B34)
)*Sum!$E$35
)</f>
        <v>0</v>
      </c>
      <c r="F34" s="419">
        <f>sumifs('Form responses'!$U$2:$U62,'Form responses'!$C$2:$C62,"&gt;="&amp;$M$1,'Form responses'!$C$2:$C62,"&lt;="&amp;$P$1,'Form responses'!$D$2:$D62,$B34)
*Sum!$D$35</f>
        <v>0</v>
      </c>
      <c r="G34" s="421">
        <f>sumifs('Form responses'!$EQ$2:$EQ62,'Form responses'!$B$2:$B62,"&gt;="&amp;$M$1,'Form responses'!$C$2:$C62,"&lt;="&amp;$P$1,'Form responses'!$D$2:$D62,$B34)*Sum!$V$35+sumifs('Form responses'!$ER$2:$ER62,'Form responses'!$B$2:$B62,"&gt;="&amp;$M$1,'Form responses'!$C$2:$C62,"&lt;="&amp;$P$1,'Form responses'!$D$2:$D62,$B34)*Sum!$W$35+sumifs('Form responses'!$ES$2:$ES62,'Form responses'!$B$2:$B62,"&gt;="&amp;$M$1,'Form responses'!$C$2:$C62,"&lt;="&amp;$P$1,'Form responses'!$D$2:$D62,$B34)*Sum!$X$35+sumifs('Form responses'!$ET$2:$ET62,'Form responses'!$B$2:$B62,"&gt;="&amp;$M$1,'Form responses'!$C$2:$C62,"&lt;="&amp;$P$1,'Form responses'!$D$2:$D62,$B34)*Sum!$Y$35</f>
        <v>0</v>
      </c>
      <c r="H34" s="419">
        <f>((
sumifs('Form responses'!$V$2:$V62,'Form responses'!$C$2:$C62,"&gt;="&amp;$M$1,'Form responses'!$C$2:$C62,"&lt;="&amp;$P$1,'Form responses'!$D$2:$D62,$B34)
)*
Sum!$F$35
)+((
sumifs('Form responses'!$W$2:$W62,'Form responses'!$C$2:$C62,"&gt;="&amp;$M$1,'Form responses'!$C$2:$C62,"&lt;="&amp;$P$1,'Form responses'!$D$2:$D62,$B34)
)*
Sum!$G$35
)</f>
        <v>0</v>
      </c>
      <c r="I34" s="419">
        <f>((
sumifs('Form responses'!$X$2:$X62,'Form responses'!$C$2:$C62,"&gt;="&amp;$M$1,'Form responses'!$C$2:$C62,"&lt;="&amp;$P$1,'Form responses'!$D$2:$D62,$B34)
)*Sum!$H$35)+((
sumifs('Form responses'!$Y$2:$Y62,'Form responses'!$C$2:$C62,"&gt;="&amp;$M$1,'Form responses'!$C$2:$C62,"&lt;="&amp;$P$1,'Form responses'!$D$2:$D62,$B34)
)*Sum!$I$35)+((
sumifs('Form responses'!$Z$2:$Z62,'Form responses'!$C$2:$C62,"&gt;="&amp;$M$1,'Form responses'!$C$2:$C62,"&lt;="&amp;$P$1,'Form responses'!$D$2:$D62,$B34)
)*Sum!$Z$35)</f>
        <v>0</v>
      </c>
      <c r="J34" s="419">
        <f t="shared" si="1"/>
        <v>0</v>
      </c>
      <c r="K34" s="419">
        <f>(
sumifs('Form responses'!$AV$2:$AV62,'Form responses'!$C$2:$C62,"&gt;="&amp;$M$1,'Form responses'!$C$2:$C62,"&lt;="&amp;$P$1,'Form responses'!$D$2:$D62,$B34)
+
sumifs('Form responses'!$AW$2:$AW62,'Form responses'!$C$2:$C62,"&gt;="&amp;$M$1,'Form responses'!$C$2:$C62,"&lt;="&amp;$P$1,'Form responses'!$D$2:$D62,$B34)
+
sumifs('Form responses'!$AX$2:$AX62,'Form responses'!$C$2:$C62,"&gt;="&amp;$M$1,'Form responses'!$C$2:$C62,"&lt;="&amp;$P$1,'Form responses'!$D$2:$D62,$B34)
+
sumifs('Form responses'!$AY$2:$AY62,'Form responses'!$C$2:$C62,"&gt;="&amp;$M$1,'Form responses'!$C$2:$C62,"&lt;="&amp;$P$1,'Form responses'!$D$2:$D62,$B34)
)*Sum!$Q$35</f>
        <v>0</v>
      </c>
      <c r="L34" s="419">
        <f>(
sumifs('Form responses'!$BD$2:$BD62,'Form responses'!$C$2:$C62,"&gt;="&amp;$M$1,'Form responses'!$C$2:$C62,"&lt;="&amp;$P$1,'Form responses'!$D$2:$D62,$B34)
+
sumifs('Form responses'!$BE$2:$BE62,'Form responses'!$C$2:$C62,"&gt;="&amp;$M$1,'Form responses'!$C$2:$C62,"&lt;="&amp;$P$1,'Form responses'!$D$2:$D62,$B34)
)*Sum!$R$35</f>
        <v>0</v>
      </c>
      <c r="M34" s="419">
        <f>(
sumifs('Form responses'!$BF$2:$BF62,'Form responses'!$C$2:$C62,"&gt;="&amp;$M$1,'Form responses'!$C$2:$C62,"&lt;="&amp;$P$1,'Form responses'!$D$2:$D62,$B34)
+
sumifs('Form responses'!$BG$2:$BG62,'Form responses'!$C$2:$C62,"&gt;="&amp;$M$1,'Form responses'!$C$2:$C62,"&lt;="&amp;$P$1,'Form responses'!$D$2:$D62,$B34)
)*Sum!$S$35</f>
        <v>0</v>
      </c>
      <c r="N34" s="419">
        <f>sumifs('Form responses'!$BL$2:$BL62,'Form responses'!$C$2:$C62,"&gt;="&amp;$M$1,'Form responses'!$C$2:$C62,"&lt;="&amp;$P$1,'Form responses'!$D$2:$D62,$B34)
*Sum!$T$35</f>
        <v>0</v>
      </c>
      <c r="O34" s="419">
        <f t="shared" si="2"/>
        <v>0</v>
      </c>
      <c r="P34" s="419">
        <f>((sumifs('Form responses'!$BN$2:$BN62,'Form responses'!$C$2:$C62,"&gt;="&amp;$M$1,'Form responses'!$C$2:$C62,"&lt;="&amp;$P$1,'Form responses'!$D$2:$D62,$B34)+
sumifs('Form responses'!$BO$2:$BO62,'Form responses'!$C$2:$C62,"&gt;="&amp;$M$1,'Form responses'!$C$2:$C62,"&lt;="&amp;$P$1,'Form responses'!$D$2:$D62,$B34))*Sum!$U$35)</f>
        <v>0</v>
      </c>
      <c r="Q34" s="419">
        <f t="shared" si="3"/>
        <v>0</v>
      </c>
      <c r="R34" s="346">
        <f t="shared" si="4"/>
        <v>0</v>
      </c>
    </row>
    <row r="35" ht="27.75" customHeight="1">
      <c r="A35" s="417"/>
      <c r="B35" s="423" t="s">
        <v>633</v>
      </c>
      <c r="C35" s="419">
        <f>((sumifs('Form responses'!$G$2:$G62,'Form responses'!$C$2:$C62,"&gt;="&amp;$M$1,'Form responses'!$C$2:$C62,"&lt;="&amp;$P$1,'Form responses'!$D$2:$D62,$B35)
+sumifs('Form responses'!$H$2:$H62,'Form responses'!$C$2:$C62,"&gt;="&amp;$M$1,'Form responses'!$C$2:$C62,"&lt;="&amp;$P$1,'Form responses'!$D$2:$D62,$B35)
+sumifs('Form responses'!$I$2:$I62,'Form responses'!$C$2:$C62,"&gt;="&amp;$M$1,'Form responses'!$C$2:$C62,"&lt;="&amp;$P$1,'Form responses'!$D$2:$D62,$B35)
)*Sum!$B$35)</f>
        <v>0</v>
      </c>
      <c r="D35" s="420">
        <f>((sumifs('Form responses'!$J$2:$J62,'Form responses'!$C$2:$C62,"&gt;="&amp;$M$1,'Form responses'!$C$2:$C62,"&lt;="&amp;$P$1,'Form responses'!$D$2:$D62,$B35))*Sum!$C$35)</f>
        <v>0</v>
      </c>
      <c r="E35" s="419">
        <f>((
sumifs('Form responses'!$S$2:$S62,'Form responses'!$C$2:$C62,"&gt;="&amp;$M$1,'Form responses'!$C$2:$C62,"&lt;="&amp;$P$1,'Form responses'!$D$2:$D62,$B35)
+
sumifs('Form responses'!$T$2:$T62,'Form responses'!$C$2:$C62,"&gt;="&amp;$M$1,'Form responses'!$C$2:$C62,"&lt;="&amp;$P$1,'Form responses'!$D$2:$D62,$B35)
)*Sum!$E$35
)</f>
        <v>0</v>
      </c>
      <c r="F35" s="419">
        <f>sumifs('Form responses'!$U$2:$U62,'Form responses'!$C$2:$C62,"&gt;="&amp;$M$1,'Form responses'!$C$2:$C62,"&lt;="&amp;$P$1,'Form responses'!$D$2:$D62,$B35)
*Sum!$D$35</f>
        <v>0</v>
      </c>
      <c r="G35" s="421">
        <f>sumifs('Form responses'!$EQ$2:$EQ62,'Form responses'!$B$2:$B62,"&gt;="&amp;$M$1,'Form responses'!$C$2:$C62,"&lt;="&amp;$P$1,'Form responses'!$D$2:$D62,$B35)*Sum!$V$35+sumifs('Form responses'!$ER$2:$ER62,'Form responses'!$B$2:$B62,"&gt;="&amp;$M$1,'Form responses'!$C$2:$C62,"&lt;="&amp;$P$1,'Form responses'!$D$2:$D62,$B35)*Sum!$W$35+sumifs('Form responses'!$ES$2:$ES62,'Form responses'!$B$2:$B62,"&gt;="&amp;$M$1,'Form responses'!$C$2:$C62,"&lt;="&amp;$P$1,'Form responses'!$D$2:$D62,$B35)*Sum!$X$35+sumifs('Form responses'!$ET$2:$ET62,'Form responses'!$B$2:$B62,"&gt;="&amp;$M$1,'Form responses'!$C$2:$C62,"&lt;="&amp;$P$1,'Form responses'!$D$2:$D62,$B35)*Sum!$Y$35</f>
        <v>0</v>
      </c>
      <c r="H35" s="419">
        <f>((
sumifs('Form responses'!$V$2:$V62,'Form responses'!$C$2:$C62,"&gt;="&amp;$M$1,'Form responses'!$C$2:$C62,"&lt;="&amp;$P$1,'Form responses'!$D$2:$D62,$B35)
)*
Sum!$F$35
)+((
sumifs('Form responses'!$W$2:$W62,'Form responses'!$C$2:$C62,"&gt;="&amp;$M$1,'Form responses'!$C$2:$C62,"&lt;="&amp;$P$1,'Form responses'!$D$2:$D62,$B35)
)*
Sum!$G$35
)</f>
        <v>0</v>
      </c>
      <c r="I35" s="419">
        <f>((
sumifs('Form responses'!$X$2:$X62,'Form responses'!$C$2:$C62,"&gt;="&amp;$M$1,'Form responses'!$C$2:$C62,"&lt;="&amp;$P$1,'Form responses'!$D$2:$D62,$B35)
)*Sum!$H$35)+((
sumifs('Form responses'!$Y$2:$Y62,'Form responses'!$C$2:$C62,"&gt;="&amp;$M$1,'Form responses'!$C$2:$C62,"&lt;="&amp;$P$1,'Form responses'!$D$2:$D62,$B35)
)*Sum!$I$35)+((
sumifs('Form responses'!$Z$2:$Z62,'Form responses'!$C$2:$C62,"&gt;="&amp;$M$1,'Form responses'!$C$2:$C62,"&lt;="&amp;$P$1,'Form responses'!$D$2:$D62,$B35)
)*Sum!$Z$35)</f>
        <v>0</v>
      </c>
      <c r="J35" s="419">
        <f t="shared" si="1"/>
        <v>0</v>
      </c>
      <c r="K35" s="419">
        <f>(
sumifs('Form responses'!$AV$2:$AV62,'Form responses'!$C$2:$C62,"&gt;="&amp;$M$1,'Form responses'!$C$2:$C62,"&lt;="&amp;$P$1,'Form responses'!$D$2:$D62,$B35)
+
sumifs('Form responses'!$AW$2:$AW62,'Form responses'!$C$2:$C62,"&gt;="&amp;$M$1,'Form responses'!$C$2:$C62,"&lt;="&amp;$P$1,'Form responses'!$D$2:$D62,$B35)
+
sumifs('Form responses'!$AX$2:$AX62,'Form responses'!$C$2:$C62,"&gt;="&amp;$M$1,'Form responses'!$C$2:$C62,"&lt;="&amp;$P$1,'Form responses'!$D$2:$D62,$B35)
+
sumifs('Form responses'!$AY$2:$AY62,'Form responses'!$C$2:$C62,"&gt;="&amp;$M$1,'Form responses'!$C$2:$C62,"&lt;="&amp;$P$1,'Form responses'!$D$2:$D62,$B35)
)*Sum!$Q$35</f>
        <v>0</v>
      </c>
      <c r="L35" s="419">
        <f>(
sumifs('Form responses'!$BD$2:$BD62,'Form responses'!$C$2:$C62,"&gt;="&amp;$M$1,'Form responses'!$C$2:$C62,"&lt;="&amp;$P$1,'Form responses'!$D$2:$D62,$B35)
+
sumifs('Form responses'!$BE$2:$BE62,'Form responses'!$C$2:$C62,"&gt;="&amp;$M$1,'Form responses'!$C$2:$C62,"&lt;="&amp;$P$1,'Form responses'!$D$2:$D62,$B35)
)*Sum!$R$35</f>
        <v>0</v>
      </c>
      <c r="M35" s="419">
        <f>(
sumifs('Form responses'!$BF$2:$BF62,'Form responses'!$C$2:$C62,"&gt;="&amp;$M$1,'Form responses'!$C$2:$C62,"&lt;="&amp;$P$1,'Form responses'!$D$2:$D62,$B35)
+
sumifs('Form responses'!$BG$2:$BG62,'Form responses'!$C$2:$C62,"&gt;="&amp;$M$1,'Form responses'!$C$2:$C62,"&lt;="&amp;$P$1,'Form responses'!$D$2:$D62,$B35)
)*Sum!$S$35</f>
        <v>0</v>
      </c>
      <c r="N35" s="419">
        <f>sumifs('Form responses'!$BL$2:$BL62,'Form responses'!$C$2:$C62,"&gt;="&amp;$M$1,'Form responses'!$C$2:$C62,"&lt;="&amp;$P$1,'Form responses'!$D$2:$D62,$B35)
*Sum!$T$35</f>
        <v>0</v>
      </c>
      <c r="O35" s="419">
        <f t="shared" si="2"/>
        <v>0</v>
      </c>
      <c r="P35" s="419">
        <f>((sumifs('Form responses'!$BN$2:$BN62,'Form responses'!$C$2:$C62,"&gt;="&amp;$M$1,'Form responses'!$C$2:$C62,"&lt;="&amp;$P$1,'Form responses'!$D$2:$D62,$B35)+
sumifs('Form responses'!$BO$2:$BO62,'Form responses'!$C$2:$C62,"&gt;="&amp;$M$1,'Form responses'!$C$2:$C62,"&lt;="&amp;$P$1,'Form responses'!$D$2:$D62,$B35))*Sum!$U$35)</f>
        <v>0</v>
      </c>
      <c r="Q35" s="419">
        <f t="shared" si="3"/>
        <v>0</v>
      </c>
      <c r="R35" s="346">
        <f t="shared" si="4"/>
        <v>0</v>
      </c>
    </row>
    <row r="36" ht="27.75" customHeight="1">
      <c r="A36" s="417"/>
      <c r="B36" s="418" t="s">
        <v>634</v>
      </c>
      <c r="C36" s="419">
        <f>((sumifs('Form responses'!$G$2:$G62,'Form responses'!$C$2:$C62,"&gt;="&amp;$M$1,'Form responses'!$C$2:$C62,"&lt;="&amp;$P$1,'Form responses'!$D$2:$D62,$B36)
+sumifs('Form responses'!$H$2:$H62,'Form responses'!$C$2:$C62,"&gt;="&amp;$M$1,'Form responses'!$C$2:$C62,"&lt;="&amp;$P$1,'Form responses'!$D$2:$D62,$B36)
+sumifs('Form responses'!$I$2:$I62,'Form responses'!$C$2:$C62,"&gt;="&amp;$M$1,'Form responses'!$C$2:$C62,"&lt;="&amp;$P$1,'Form responses'!$D$2:$D62,$B36)
)*Sum!$B$35)</f>
        <v>0</v>
      </c>
      <c r="D36" s="420">
        <f>((sumifs('Form responses'!$J$2:$J62,'Form responses'!$C$2:$C62,"&gt;="&amp;$M$1,'Form responses'!$C$2:$C62,"&lt;="&amp;$P$1,'Form responses'!$D$2:$D62,$B36))*Sum!$C$35)</f>
        <v>0</v>
      </c>
      <c r="E36" s="419">
        <f>((
sumifs('Form responses'!$S$2:$S62,'Form responses'!$C$2:$C62,"&gt;="&amp;$M$1,'Form responses'!$C$2:$C62,"&lt;="&amp;$P$1,'Form responses'!$D$2:$D62,$B36)
+
sumifs('Form responses'!$T$2:$T62,'Form responses'!$C$2:$C62,"&gt;="&amp;$M$1,'Form responses'!$C$2:$C62,"&lt;="&amp;$P$1,'Form responses'!$D$2:$D62,$B36)
)*Sum!$E$35
)</f>
        <v>0</v>
      </c>
      <c r="F36" s="419">
        <f>sumifs('Form responses'!$U$2:$U62,'Form responses'!$C$2:$C62,"&gt;="&amp;$M$1,'Form responses'!$C$2:$C62,"&lt;="&amp;$P$1,'Form responses'!$D$2:$D62,$B36)
*Sum!$D$35</f>
        <v>0</v>
      </c>
      <c r="G36" s="421">
        <f>sumifs('Form responses'!$EQ$2:$EQ62,'Form responses'!$B$2:$B62,"&gt;="&amp;$M$1,'Form responses'!$C$2:$C62,"&lt;="&amp;$P$1,'Form responses'!$D$2:$D62,$B36)*Sum!$V$35+sumifs('Form responses'!$ER$2:$ER62,'Form responses'!$B$2:$B62,"&gt;="&amp;$M$1,'Form responses'!$C$2:$C62,"&lt;="&amp;$P$1,'Form responses'!$D$2:$D62,$B36)*Sum!$W$35+sumifs('Form responses'!$ES$2:$ES62,'Form responses'!$B$2:$B62,"&gt;="&amp;$M$1,'Form responses'!$C$2:$C62,"&lt;="&amp;$P$1,'Form responses'!$D$2:$D62,$B36)*Sum!$X$35+sumifs('Form responses'!$ET$2:$ET62,'Form responses'!$B$2:$B62,"&gt;="&amp;$M$1,'Form responses'!$C$2:$C62,"&lt;="&amp;$P$1,'Form responses'!$D$2:$D62,$B36)*Sum!$Y$35</f>
        <v>0</v>
      </c>
      <c r="H36" s="419">
        <f>((
sumifs('Form responses'!$V$2:$V62,'Form responses'!$C$2:$C62,"&gt;="&amp;$M$1,'Form responses'!$C$2:$C62,"&lt;="&amp;$P$1,'Form responses'!$D$2:$D62,$B36)
)*
Sum!$F$35
)+((
sumifs('Form responses'!$W$2:$W62,'Form responses'!$C$2:$C62,"&gt;="&amp;$M$1,'Form responses'!$C$2:$C62,"&lt;="&amp;$P$1,'Form responses'!$D$2:$D62,$B36)
)*
Sum!$G$35
)</f>
        <v>0</v>
      </c>
      <c r="I36" s="419">
        <f>((
sumifs('Form responses'!$X$2:$X62,'Form responses'!$C$2:$C62,"&gt;="&amp;$M$1,'Form responses'!$C$2:$C62,"&lt;="&amp;$P$1,'Form responses'!$D$2:$D62,$B36)
)*Sum!$H$35)+((
sumifs('Form responses'!$Y$2:$Y62,'Form responses'!$C$2:$C62,"&gt;="&amp;$M$1,'Form responses'!$C$2:$C62,"&lt;="&amp;$P$1,'Form responses'!$D$2:$D62,$B36)
)*Sum!$I$35)+((
sumifs('Form responses'!$Z$2:$Z62,'Form responses'!$C$2:$C62,"&gt;="&amp;$M$1,'Form responses'!$C$2:$C62,"&lt;="&amp;$P$1,'Form responses'!$D$2:$D62,$B36)
)*Sum!$Z$35)</f>
        <v>0</v>
      </c>
      <c r="J36" s="419">
        <f t="shared" si="1"/>
        <v>0</v>
      </c>
      <c r="K36" s="419">
        <f>(
sumifs('Form responses'!$AV$2:$AV62,'Form responses'!$C$2:$C62,"&gt;="&amp;$M$1,'Form responses'!$C$2:$C62,"&lt;="&amp;$P$1,'Form responses'!$D$2:$D62,$B36)
+
sumifs('Form responses'!$AW$2:$AW62,'Form responses'!$C$2:$C62,"&gt;="&amp;$M$1,'Form responses'!$C$2:$C62,"&lt;="&amp;$P$1,'Form responses'!$D$2:$D62,$B36)
+
sumifs('Form responses'!$AX$2:$AX62,'Form responses'!$C$2:$C62,"&gt;="&amp;$M$1,'Form responses'!$C$2:$C62,"&lt;="&amp;$P$1,'Form responses'!$D$2:$D62,$B36)
+
sumifs('Form responses'!$AY$2:$AY62,'Form responses'!$C$2:$C62,"&gt;="&amp;$M$1,'Form responses'!$C$2:$C62,"&lt;="&amp;$P$1,'Form responses'!$D$2:$D62,$B36)
)*Sum!$Q$35</f>
        <v>0</v>
      </c>
      <c r="L36" s="419">
        <f>(
sumifs('Form responses'!$BD$2:$BD62,'Form responses'!$C$2:$C62,"&gt;="&amp;$M$1,'Form responses'!$C$2:$C62,"&lt;="&amp;$P$1,'Form responses'!$D$2:$D62,$B36)
+
sumifs('Form responses'!$BE$2:$BE62,'Form responses'!$C$2:$C62,"&gt;="&amp;$M$1,'Form responses'!$C$2:$C62,"&lt;="&amp;$P$1,'Form responses'!$D$2:$D62,$B36)
)*Sum!$R$35</f>
        <v>0</v>
      </c>
      <c r="M36" s="419">
        <f>(
sumifs('Form responses'!$BF$2:$BF62,'Form responses'!$C$2:$C62,"&gt;="&amp;$M$1,'Form responses'!$C$2:$C62,"&lt;="&amp;$P$1,'Form responses'!$D$2:$D62,$B36)
+
sumifs('Form responses'!$BG$2:$BG62,'Form responses'!$C$2:$C62,"&gt;="&amp;$M$1,'Form responses'!$C$2:$C62,"&lt;="&amp;$P$1,'Form responses'!$D$2:$D62,$B36)
)*Sum!$S$35</f>
        <v>0</v>
      </c>
      <c r="N36" s="419">
        <f>sumifs('Form responses'!$BL$2:$BL62,'Form responses'!$C$2:$C62,"&gt;="&amp;$M$1,'Form responses'!$C$2:$C62,"&lt;="&amp;$P$1,'Form responses'!$D$2:$D62,$B36)
*Sum!$T$35</f>
        <v>0</v>
      </c>
      <c r="O36" s="419">
        <f t="shared" si="2"/>
        <v>0</v>
      </c>
      <c r="P36" s="419">
        <f>((sumifs('Form responses'!$BN$2:$BN62,'Form responses'!$C$2:$C62,"&gt;="&amp;$M$1,'Form responses'!$C$2:$C62,"&lt;="&amp;$P$1,'Form responses'!$D$2:$D62,$B36)+
sumifs('Form responses'!$BO$2:$BO62,'Form responses'!$C$2:$C62,"&gt;="&amp;$M$1,'Form responses'!$C$2:$C62,"&lt;="&amp;$P$1,'Form responses'!$D$2:$D62,$B36))*Sum!$U$35)</f>
        <v>0</v>
      </c>
      <c r="Q36" s="419">
        <f t="shared" si="3"/>
        <v>0</v>
      </c>
      <c r="R36" s="346">
        <f t="shared" si="4"/>
        <v>0</v>
      </c>
    </row>
    <row r="37" ht="27.75" customHeight="1">
      <c r="A37" s="417"/>
      <c r="B37" s="423" t="s">
        <v>635</v>
      </c>
      <c r="C37" s="419">
        <f>((sumifs('Form responses'!$G$2:$G62,'Form responses'!$C$2:$C62,"&gt;="&amp;$M$1,'Form responses'!$C$2:$C62,"&lt;="&amp;$P$1,'Form responses'!$D$2:$D62,$B37)
+sumifs('Form responses'!$H$2:$H62,'Form responses'!$C$2:$C62,"&gt;="&amp;$M$1,'Form responses'!$C$2:$C62,"&lt;="&amp;$P$1,'Form responses'!$D$2:$D62,$B37)
+sumifs('Form responses'!$I$2:$I62,'Form responses'!$C$2:$C62,"&gt;="&amp;$M$1,'Form responses'!$C$2:$C62,"&lt;="&amp;$P$1,'Form responses'!$D$2:$D62,$B37)
)*Sum!$B$35)</f>
        <v>0</v>
      </c>
      <c r="D37" s="420">
        <f>((sumifs('Form responses'!$J$2:$J62,'Form responses'!$C$2:$C62,"&gt;="&amp;$M$1,'Form responses'!$C$2:$C62,"&lt;="&amp;$P$1,'Form responses'!$D$2:$D62,$B37))*Sum!$C$35)</f>
        <v>0</v>
      </c>
      <c r="E37" s="419">
        <f>((
sumifs('Form responses'!$S$2:$S62,'Form responses'!$C$2:$C62,"&gt;="&amp;$M$1,'Form responses'!$C$2:$C62,"&lt;="&amp;$P$1,'Form responses'!$D$2:$D62,$B37)
+
sumifs('Form responses'!$T$2:$T62,'Form responses'!$C$2:$C62,"&gt;="&amp;$M$1,'Form responses'!$C$2:$C62,"&lt;="&amp;$P$1,'Form responses'!$D$2:$D62,$B37)
)*Sum!$E$35
)</f>
        <v>0</v>
      </c>
      <c r="F37" s="419">
        <f>sumifs('Form responses'!$U$2:$U62,'Form responses'!$C$2:$C62,"&gt;="&amp;$M$1,'Form responses'!$C$2:$C62,"&lt;="&amp;$P$1,'Form responses'!$D$2:$D62,$B37)
*Sum!$D$35</f>
        <v>0</v>
      </c>
      <c r="G37" s="421">
        <f>sumifs('Form responses'!$EQ$2:$EQ62,'Form responses'!$B$2:$B62,"&gt;="&amp;$M$1,'Form responses'!$C$2:$C62,"&lt;="&amp;$P$1,'Form responses'!$D$2:$D62,$B37)*Sum!$V$35+sumifs('Form responses'!$ER$2:$ER62,'Form responses'!$B$2:$B62,"&gt;="&amp;$M$1,'Form responses'!$C$2:$C62,"&lt;="&amp;$P$1,'Form responses'!$D$2:$D62,$B37)*Sum!$W$35+sumifs('Form responses'!$ES$2:$ES62,'Form responses'!$B$2:$B62,"&gt;="&amp;$M$1,'Form responses'!$C$2:$C62,"&lt;="&amp;$P$1,'Form responses'!$D$2:$D62,$B37)*Sum!$X$35+sumifs('Form responses'!$ET$2:$ET62,'Form responses'!$B$2:$B62,"&gt;="&amp;$M$1,'Form responses'!$C$2:$C62,"&lt;="&amp;$P$1,'Form responses'!$D$2:$D62,$B37)*Sum!$Y$35</f>
        <v>0</v>
      </c>
      <c r="H37" s="419">
        <f>((
sumifs('Form responses'!$V$2:$V62,'Form responses'!$C$2:$C62,"&gt;="&amp;$M$1,'Form responses'!$C$2:$C62,"&lt;="&amp;$P$1,'Form responses'!$D$2:$D62,$B37)
)*
Sum!$F$35
)+((
sumifs('Form responses'!$W$2:$W62,'Form responses'!$C$2:$C62,"&gt;="&amp;$M$1,'Form responses'!$C$2:$C62,"&lt;="&amp;$P$1,'Form responses'!$D$2:$D62,$B37)
)*
Sum!$G$35
)</f>
        <v>0</v>
      </c>
      <c r="I37" s="419">
        <f>((
sumifs('Form responses'!$X$2:$X62,'Form responses'!$C$2:$C62,"&gt;="&amp;$M$1,'Form responses'!$C$2:$C62,"&lt;="&amp;$P$1,'Form responses'!$D$2:$D62,$B37)
)*Sum!$H$35)+((
sumifs('Form responses'!$Y$2:$Y62,'Form responses'!$C$2:$C62,"&gt;="&amp;$M$1,'Form responses'!$C$2:$C62,"&lt;="&amp;$P$1,'Form responses'!$D$2:$D62,$B37)
)*Sum!$I$35)+((
sumifs('Form responses'!$Z$2:$Z62,'Form responses'!$C$2:$C62,"&gt;="&amp;$M$1,'Form responses'!$C$2:$C62,"&lt;="&amp;$P$1,'Form responses'!$D$2:$D62,$B37)
)*Sum!$Z$35)</f>
        <v>0</v>
      </c>
      <c r="J37" s="419">
        <f t="shared" si="1"/>
        <v>0</v>
      </c>
      <c r="K37" s="419">
        <f>(
sumifs('Form responses'!$AV$2:$AV62,'Form responses'!$C$2:$C62,"&gt;="&amp;$M$1,'Form responses'!$C$2:$C62,"&lt;="&amp;$P$1,'Form responses'!$D$2:$D62,$B37)
+
sumifs('Form responses'!$AW$2:$AW62,'Form responses'!$C$2:$C62,"&gt;="&amp;$M$1,'Form responses'!$C$2:$C62,"&lt;="&amp;$P$1,'Form responses'!$D$2:$D62,$B37)
+
sumifs('Form responses'!$AX$2:$AX62,'Form responses'!$C$2:$C62,"&gt;="&amp;$M$1,'Form responses'!$C$2:$C62,"&lt;="&amp;$P$1,'Form responses'!$D$2:$D62,$B37)
+
sumifs('Form responses'!$AY$2:$AY62,'Form responses'!$C$2:$C62,"&gt;="&amp;$M$1,'Form responses'!$C$2:$C62,"&lt;="&amp;$P$1,'Form responses'!$D$2:$D62,$B37)
)*Sum!$Q$35</f>
        <v>0</v>
      </c>
      <c r="L37" s="419">
        <f>(
sumifs('Form responses'!$BD$2:$BD62,'Form responses'!$C$2:$C62,"&gt;="&amp;$M$1,'Form responses'!$C$2:$C62,"&lt;="&amp;$P$1,'Form responses'!$D$2:$D62,$B37)
+
sumifs('Form responses'!$BE$2:$BE62,'Form responses'!$C$2:$C62,"&gt;="&amp;$M$1,'Form responses'!$C$2:$C62,"&lt;="&amp;$P$1,'Form responses'!$D$2:$D62,$B37)
)*Sum!$R$35</f>
        <v>0</v>
      </c>
      <c r="M37" s="419">
        <f>(
sumifs('Form responses'!$BF$2:$BF62,'Form responses'!$C$2:$C62,"&gt;="&amp;$M$1,'Form responses'!$C$2:$C62,"&lt;="&amp;$P$1,'Form responses'!$D$2:$D62,$B37)
+
sumifs('Form responses'!$BG$2:$BG62,'Form responses'!$C$2:$C62,"&gt;="&amp;$M$1,'Form responses'!$C$2:$C62,"&lt;="&amp;$P$1,'Form responses'!$D$2:$D62,$B37)
)*Sum!$S$35</f>
        <v>0</v>
      </c>
      <c r="N37" s="419">
        <f>sumifs('Form responses'!$BL$2:$BL62,'Form responses'!$C$2:$C62,"&gt;="&amp;$M$1,'Form responses'!$C$2:$C62,"&lt;="&amp;$P$1,'Form responses'!$D$2:$D62,$B37)
*Sum!$T$35</f>
        <v>0</v>
      </c>
      <c r="O37" s="419">
        <f t="shared" si="2"/>
        <v>0</v>
      </c>
      <c r="P37" s="419">
        <f>((sumifs('Form responses'!$BN$2:$BN62,'Form responses'!$C$2:$C62,"&gt;="&amp;$M$1,'Form responses'!$C$2:$C62,"&lt;="&amp;$P$1,'Form responses'!$D$2:$D62,$B37)+
sumifs('Form responses'!$BO$2:$BO62,'Form responses'!$C$2:$C62,"&gt;="&amp;$M$1,'Form responses'!$C$2:$C62,"&lt;="&amp;$P$1,'Form responses'!$D$2:$D62,$B37))*Sum!$U$35)</f>
        <v>0</v>
      </c>
      <c r="Q37" s="419">
        <f t="shared" si="3"/>
        <v>0</v>
      </c>
      <c r="R37" s="346">
        <f t="shared" si="4"/>
        <v>0</v>
      </c>
    </row>
    <row r="38" ht="27.75" customHeight="1">
      <c r="A38" s="417"/>
      <c r="B38" s="418" t="s">
        <v>636</v>
      </c>
      <c r="C38" s="419">
        <f>((sumifs('Form responses'!$G$2:$G62,'Form responses'!$C$2:$C62,"&gt;="&amp;$M$1,'Form responses'!$C$2:$C62,"&lt;="&amp;$P$1,'Form responses'!$D$2:$D62,$B38)
+sumifs('Form responses'!$H$2:$H62,'Form responses'!$C$2:$C62,"&gt;="&amp;$M$1,'Form responses'!$C$2:$C62,"&lt;="&amp;$P$1,'Form responses'!$D$2:$D62,$B38)
+sumifs('Form responses'!$I$2:$I62,'Form responses'!$C$2:$C62,"&gt;="&amp;$M$1,'Form responses'!$C$2:$C62,"&lt;="&amp;$P$1,'Form responses'!$D$2:$D62,$B38)
)*Sum!$B$35)</f>
        <v>0</v>
      </c>
      <c r="D38" s="420">
        <f>((sumifs('Form responses'!$J$2:$J62,'Form responses'!$C$2:$C62,"&gt;="&amp;$M$1,'Form responses'!$C$2:$C62,"&lt;="&amp;$P$1,'Form responses'!$D$2:$D62,$B38))*Sum!$C$35)</f>
        <v>0</v>
      </c>
      <c r="E38" s="419">
        <f>((
sumifs('Form responses'!$S$2:$S62,'Form responses'!$C$2:$C62,"&gt;="&amp;$M$1,'Form responses'!$C$2:$C62,"&lt;="&amp;$P$1,'Form responses'!$D$2:$D62,$B38)
+
sumifs('Form responses'!$T$2:$T62,'Form responses'!$C$2:$C62,"&gt;="&amp;$M$1,'Form responses'!$C$2:$C62,"&lt;="&amp;$P$1,'Form responses'!$D$2:$D62,$B38)
)*Sum!$E$35
)</f>
        <v>0</v>
      </c>
      <c r="F38" s="419">
        <f>sumifs('Form responses'!$U$2:$U62,'Form responses'!$C$2:$C62,"&gt;="&amp;$M$1,'Form responses'!$C$2:$C62,"&lt;="&amp;$P$1,'Form responses'!$D$2:$D62,$B38)
*Sum!$D$35</f>
        <v>0</v>
      </c>
      <c r="G38" s="421">
        <f>sumifs('Form responses'!$EQ$2:$EQ62,'Form responses'!$B$2:$B62,"&gt;="&amp;$M$1,'Form responses'!$C$2:$C62,"&lt;="&amp;$P$1,'Form responses'!$D$2:$D62,$B38)*Sum!$V$35+sumifs('Form responses'!$ER$2:$ER62,'Form responses'!$B$2:$B62,"&gt;="&amp;$M$1,'Form responses'!$C$2:$C62,"&lt;="&amp;$P$1,'Form responses'!$D$2:$D62,$B38)*Sum!$W$35+sumifs('Form responses'!$ES$2:$ES62,'Form responses'!$B$2:$B62,"&gt;="&amp;$M$1,'Form responses'!$C$2:$C62,"&lt;="&amp;$P$1,'Form responses'!$D$2:$D62,$B38)*Sum!$X$35+sumifs('Form responses'!$ET$2:$ET62,'Form responses'!$B$2:$B62,"&gt;="&amp;$M$1,'Form responses'!$C$2:$C62,"&lt;="&amp;$P$1,'Form responses'!$D$2:$D62,$B38)*Sum!$Y$35</f>
        <v>0</v>
      </c>
      <c r="H38" s="419">
        <f>((
sumifs('Form responses'!$V$2:$V62,'Form responses'!$C$2:$C62,"&gt;="&amp;$M$1,'Form responses'!$C$2:$C62,"&lt;="&amp;$P$1,'Form responses'!$D$2:$D62,$B38)
)*
Sum!$F$35
)+((
sumifs('Form responses'!$W$2:$W62,'Form responses'!$C$2:$C62,"&gt;="&amp;$M$1,'Form responses'!$C$2:$C62,"&lt;="&amp;$P$1,'Form responses'!$D$2:$D62,$B38)
)*
Sum!$G$35
)</f>
        <v>0</v>
      </c>
      <c r="I38" s="419">
        <f>((
sumifs('Form responses'!$X$2:$X62,'Form responses'!$C$2:$C62,"&gt;="&amp;$M$1,'Form responses'!$C$2:$C62,"&lt;="&amp;$P$1,'Form responses'!$D$2:$D62,$B38)
)*Sum!$H$35)+((
sumifs('Form responses'!$Y$2:$Y62,'Form responses'!$C$2:$C62,"&gt;="&amp;$M$1,'Form responses'!$C$2:$C62,"&lt;="&amp;$P$1,'Form responses'!$D$2:$D62,$B38)
)*Sum!$I$35)+((
sumifs('Form responses'!$Z$2:$Z62,'Form responses'!$C$2:$C62,"&gt;="&amp;$M$1,'Form responses'!$C$2:$C62,"&lt;="&amp;$P$1,'Form responses'!$D$2:$D62,$B38)
)*Sum!$Z$35)</f>
        <v>0</v>
      </c>
      <c r="J38" s="419">
        <f t="shared" si="1"/>
        <v>0</v>
      </c>
      <c r="K38" s="419">
        <f>(
sumifs('Form responses'!$AV$2:$AV62,'Form responses'!$C$2:$C62,"&gt;="&amp;$M$1,'Form responses'!$C$2:$C62,"&lt;="&amp;$P$1,'Form responses'!$D$2:$D62,$B38)
+
sumifs('Form responses'!$AW$2:$AW62,'Form responses'!$C$2:$C62,"&gt;="&amp;$M$1,'Form responses'!$C$2:$C62,"&lt;="&amp;$P$1,'Form responses'!$D$2:$D62,$B38)
+
sumifs('Form responses'!$AX$2:$AX62,'Form responses'!$C$2:$C62,"&gt;="&amp;$M$1,'Form responses'!$C$2:$C62,"&lt;="&amp;$P$1,'Form responses'!$D$2:$D62,$B38)
+
sumifs('Form responses'!$AY$2:$AY62,'Form responses'!$C$2:$C62,"&gt;="&amp;$M$1,'Form responses'!$C$2:$C62,"&lt;="&amp;$P$1,'Form responses'!$D$2:$D62,$B38)
)*Sum!$Q$35</f>
        <v>0</v>
      </c>
      <c r="L38" s="419">
        <f>(
sumifs('Form responses'!$BD$2:$BD62,'Form responses'!$C$2:$C62,"&gt;="&amp;$M$1,'Form responses'!$C$2:$C62,"&lt;="&amp;$P$1,'Form responses'!$D$2:$D62,$B38)
+
sumifs('Form responses'!$BE$2:$BE62,'Form responses'!$C$2:$C62,"&gt;="&amp;$M$1,'Form responses'!$C$2:$C62,"&lt;="&amp;$P$1,'Form responses'!$D$2:$D62,$B38)
)*Sum!$R$35</f>
        <v>0</v>
      </c>
      <c r="M38" s="419">
        <f>(
sumifs('Form responses'!$BF$2:$BF62,'Form responses'!$C$2:$C62,"&gt;="&amp;$M$1,'Form responses'!$C$2:$C62,"&lt;="&amp;$P$1,'Form responses'!$D$2:$D62,$B38)
+
sumifs('Form responses'!$BG$2:$BG62,'Form responses'!$C$2:$C62,"&gt;="&amp;$M$1,'Form responses'!$C$2:$C62,"&lt;="&amp;$P$1,'Form responses'!$D$2:$D62,$B38)
)*Sum!$S$35</f>
        <v>0</v>
      </c>
      <c r="N38" s="419">
        <f>sumifs('Form responses'!$BL$2:$BL62,'Form responses'!$C$2:$C62,"&gt;="&amp;$M$1,'Form responses'!$C$2:$C62,"&lt;="&amp;$P$1,'Form responses'!$D$2:$D62,$B38)
*Sum!$T$35</f>
        <v>0</v>
      </c>
      <c r="O38" s="419">
        <f t="shared" si="2"/>
        <v>0</v>
      </c>
      <c r="P38" s="419">
        <f>((sumifs('Form responses'!$BN$2:$BN62,'Form responses'!$C$2:$C62,"&gt;="&amp;$M$1,'Form responses'!$C$2:$C62,"&lt;="&amp;$P$1,'Form responses'!$D$2:$D62,$B38)+
sumifs('Form responses'!$BO$2:$BO62,'Form responses'!$C$2:$C62,"&gt;="&amp;$M$1,'Form responses'!$C$2:$C62,"&lt;="&amp;$P$1,'Form responses'!$D$2:$D62,$B38))*Sum!$U$35)</f>
        <v>0</v>
      </c>
      <c r="Q38" s="419">
        <f t="shared" si="3"/>
        <v>0</v>
      </c>
      <c r="R38" s="346">
        <f t="shared" si="4"/>
        <v>0</v>
      </c>
    </row>
    <row r="39" ht="27.75" customHeight="1">
      <c r="A39" s="417"/>
      <c r="B39" s="418" t="s">
        <v>637</v>
      </c>
      <c r="C39" s="419">
        <f>((sumifs('Form responses'!$G$2:$G62,'Form responses'!$C$2:$C62,"&gt;="&amp;$M$1,'Form responses'!$C$2:$C62,"&lt;="&amp;$P$1,'Form responses'!$D$2:$D62,$B39)
+sumifs('Form responses'!$H$2:$H62,'Form responses'!$C$2:$C62,"&gt;="&amp;$M$1,'Form responses'!$C$2:$C62,"&lt;="&amp;$P$1,'Form responses'!$D$2:$D62,$B39)
+sumifs('Form responses'!$I$2:$I62,'Form responses'!$C$2:$C62,"&gt;="&amp;$M$1,'Form responses'!$C$2:$C62,"&lt;="&amp;$P$1,'Form responses'!$D$2:$D62,$B39)
)*Sum!$B$35)</f>
        <v>0</v>
      </c>
      <c r="D39" s="420">
        <f>((sumifs('Form responses'!$J$2:$J62,'Form responses'!$C$2:$C62,"&gt;="&amp;$M$1,'Form responses'!$C$2:$C62,"&lt;="&amp;$P$1,'Form responses'!$D$2:$D62,$B39))*Sum!$C$35)</f>
        <v>0</v>
      </c>
      <c r="E39" s="419">
        <f>((
sumifs('Form responses'!$S$2:$S62,'Form responses'!$C$2:$C62,"&gt;="&amp;$M$1,'Form responses'!$C$2:$C62,"&lt;="&amp;$P$1,'Form responses'!$D$2:$D62,$B39)
+
sumifs('Form responses'!$T$2:$T62,'Form responses'!$C$2:$C62,"&gt;="&amp;$M$1,'Form responses'!$C$2:$C62,"&lt;="&amp;$P$1,'Form responses'!$D$2:$D62,$B39)
)*Sum!$E$35
)</f>
        <v>0</v>
      </c>
      <c r="F39" s="419">
        <f>sumifs('Form responses'!$U$2:$U62,'Form responses'!$C$2:$C62,"&gt;="&amp;$M$1,'Form responses'!$C$2:$C62,"&lt;="&amp;$P$1,'Form responses'!$D$2:$D62,$B39)
*Sum!$D$35</f>
        <v>0</v>
      </c>
      <c r="G39" s="421">
        <f>sumifs('Form responses'!$EQ$2:$EQ62,'Form responses'!$B$2:$B62,"&gt;="&amp;$M$1,'Form responses'!$C$2:$C62,"&lt;="&amp;$P$1,'Form responses'!$D$2:$D62,$B39)*Sum!$V$35+sumifs('Form responses'!$ER$2:$ER62,'Form responses'!$B$2:$B62,"&gt;="&amp;$M$1,'Form responses'!$C$2:$C62,"&lt;="&amp;$P$1,'Form responses'!$D$2:$D62,$B39)*Sum!$W$35+sumifs('Form responses'!$ES$2:$ES62,'Form responses'!$B$2:$B62,"&gt;="&amp;$M$1,'Form responses'!$C$2:$C62,"&lt;="&amp;$P$1,'Form responses'!$D$2:$D62,$B39)*Sum!$X$35+sumifs('Form responses'!$ET$2:$ET62,'Form responses'!$B$2:$B62,"&gt;="&amp;$M$1,'Form responses'!$C$2:$C62,"&lt;="&amp;$P$1,'Form responses'!$D$2:$D62,$B39)*Sum!$Y$35</f>
        <v>0</v>
      </c>
      <c r="H39" s="419">
        <f>((
sumifs('Form responses'!$V$2:$V62,'Form responses'!$C$2:$C62,"&gt;="&amp;$M$1,'Form responses'!$C$2:$C62,"&lt;="&amp;$P$1,'Form responses'!$D$2:$D62,$B39)
)*
Sum!$F$35
)+((
sumifs('Form responses'!$W$2:$W62,'Form responses'!$C$2:$C62,"&gt;="&amp;$M$1,'Form responses'!$C$2:$C62,"&lt;="&amp;$P$1,'Form responses'!$D$2:$D62,$B39)
)*
Sum!$G$35
)</f>
        <v>0</v>
      </c>
      <c r="I39" s="419">
        <f>((
sumifs('Form responses'!$X$2:$X62,'Form responses'!$C$2:$C62,"&gt;="&amp;$M$1,'Form responses'!$C$2:$C62,"&lt;="&amp;$P$1,'Form responses'!$D$2:$D62,$B39)
)*Sum!$H$35)+((
sumifs('Form responses'!$Y$2:$Y62,'Form responses'!$C$2:$C62,"&gt;="&amp;$M$1,'Form responses'!$C$2:$C62,"&lt;="&amp;$P$1,'Form responses'!$D$2:$D62,$B39)
)*Sum!$I$35)+((
sumifs('Form responses'!$Z$2:$Z62,'Form responses'!$C$2:$C62,"&gt;="&amp;$M$1,'Form responses'!$C$2:$C62,"&lt;="&amp;$P$1,'Form responses'!$D$2:$D62,$B39)
)*Sum!$Z$35)</f>
        <v>0</v>
      </c>
      <c r="J39" s="419">
        <f t="shared" si="1"/>
        <v>0</v>
      </c>
      <c r="K39" s="419">
        <f>(
sumifs('Form responses'!$AV$2:$AV62,'Form responses'!$C$2:$C62,"&gt;="&amp;$M$1,'Form responses'!$C$2:$C62,"&lt;="&amp;$P$1,'Form responses'!$D$2:$D62,$B39)
+
sumifs('Form responses'!$AW$2:$AW62,'Form responses'!$C$2:$C62,"&gt;="&amp;$M$1,'Form responses'!$C$2:$C62,"&lt;="&amp;$P$1,'Form responses'!$D$2:$D62,$B39)
+
sumifs('Form responses'!$AX$2:$AX62,'Form responses'!$C$2:$C62,"&gt;="&amp;$M$1,'Form responses'!$C$2:$C62,"&lt;="&amp;$P$1,'Form responses'!$D$2:$D62,$B39)
+
sumifs('Form responses'!$AY$2:$AY62,'Form responses'!$C$2:$C62,"&gt;="&amp;$M$1,'Form responses'!$C$2:$C62,"&lt;="&amp;$P$1,'Form responses'!$D$2:$D62,$B39)
)*Sum!$Q$35</f>
        <v>0</v>
      </c>
      <c r="L39" s="419">
        <f>(
sumifs('Form responses'!$BD$2:$BD62,'Form responses'!$C$2:$C62,"&gt;="&amp;$M$1,'Form responses'!$C$2:$C62,"&lt;="&amp;$P$1,'Form responses'!$D$2:$D62,$B39)
+
sumifs('Form responses'!$BE$2:$BE62,'Form responses'!$C$2:$C62,"&gt;="&amp;$M$1,'Form responses'!$C$2:$C62,"&lt;="&amp;$P$1,'Form responses'!$D$2:$D62,$B39)
)*Sum!$R$35</f>
        <v>0</v>
      </c>
      <c r="M39" s="419">
        <f>(
sumifs('Form responses'!$BF$2:$BF62,'Form responses'!$C$2:$C62,"&gt;="&amp;$M$1,'Form responses'!$C$2:$C62,"&lt;="&amp;$P$1,'Form responses'!$D$2:$D62,$B39)
+
sumifs('Form responses'!$BG$2:$BG62,'Form responses'!$C$2:$C62,"&gt;="&amp;$M$1,'Form responses'!$C$2:$C62,"&lt;="&amp;$P$1,'Form responses'!$D$2:$D62,$B39)
)*Sum!$S$35</f>
        <v>0</v>
      </c>
      <c r="N39" s="419">
        <f>sumifs('Form responses'!$BL$2:$BL62,'Form responses'!$C$2:$C62,"&gt;="&amp;$M$1,'Form responses'!$C$2:$C62,"&lt;="&amp;$P$1,'Form responses'!$D$2:$D62,$B39)
*Sum!$T$35</f>
        <v>0</v>
      </c>
      <c r="O39" s="419">
        <f t="shared" si="2"/>
        <v>0</v>
      </c>
      <c r="P39" s="419">
        <f>((sumifs('Form responses'!$BN$2:$BN62,'Form responses'!$C$2:$C62,"&gt;="&amp;$M$1,'Form responses'!$C$2:$C62,"&lt;="&amp;$P$1,'Form responses'!$D$2:$D62,$B39)+
sumifs('Form responses'!$BO$2:$BO62,'Form responses'!$C$2:$C62,"&gt;="&amp;$M$1,'Form responses'!$C$2:$C62,"&lt;="&amp;$P$1,'Form responses'!$D$2:$D62,$B39))*Sum!$U$35)</f>
        <v>0</v>
      </c>
      <c r="Q39" s="419">
        <f t="shared" si="3"/>
        <v>0</v>
      </c>
      <c r="R39" s="346">
        <f t="shared" si="4"/>
        <v>0</v>
      </c>
    </row>
    <row r="40" ht="27.75" customHeight="1">
      <c r="A40" s="424">
        <v>9.0</v>
      </c>
      <c r="B40" s="418" t="s">
        <v>638</v>
      </c>
      <c r="C40" s="419">
        <f>((sumifs('Form responses'!$G$2:$G62,'Form responses'!$C$2:$C62,"&gt;="&amp;$M$1,'Form responses'!$C$2:$C62,"&lt;="&amp;$P$1,'Form responses'!$D$2:$D62,$B40)
+sumifs('Form responses'!$H$2:$H62,'Form responses'!$C$2:$C62,"&gt;="&amp;$M$1,'Form responses'!$C$2:$C62,"&lt;="&amp;$P$1,'Form responses'!$D$2:$D62,$B40)
+sumifs('Form responses'!$I$2:$I62,'Form responses'!$C$2:$C62,"&gt;="&amp;$M$1,'Form responses'!$C$2:$C62,"&lt;="&amp;$P$1,'Form responses'!$D$2:$D62,$B40)
)*Sum!$B$35)</f>
        <v>0</v>
      </c>
      <c r="D40" s="420">
        <f>((sumifs('Form responses'!$J$2:$J62,'Form responses'!$C$2:$C62,"&gt;="&amp;$M$1,'Form responses'!$C$2:$C62,"&lt;="&amp;$P$1,'Form responses'!$D$2:$D62,$B40))*Sum!$C$35)</f>
        <v>0</v>
      </c>
      <c r="E40" s="419">
        <f>((
sumifs('Form responses'!$S$2:$S62,'Form responses'!$C$2:$C62,"&gt;="&amp;$M$1,'Form responses'!$C$2:$C62,"&lt;="&amp;$P$1,'Form responses'!$D$2:$D62,$B40)
+
sumifs('Form responses'!$T$2:$T62,'Form responses'!$C$2:$C62,"&gt;="&amp;$M$1,'Form responses'!$C$2:$C62,"&lt;="&amp;$P$1,'Form responses'!$D$2:$D62,$B40)
)*Sum!$E$35
)</f>
        <v>0</v>
      </c>
      <c r="F40" s="419">
        <f>sumifs('Form responses'!$U$2:$U62,'Form responses'!$C$2:$C62,"&gt;="&amp;$M$1,'Form responses'!$C$2:$C62,"&lt;="&amp;$P$1,'Form responses'!$D$2:$D62,$B40)
*Sum!$D$35</f>
        <v>0</v>
      </c>
      <c r="G40" s="421">
        <f>sumifs('Form responses'!$EQ$2:$EQ62,'Form responses'!$B$2:$B62,"&gt;="&amp;$M$1,'Form responses'!$C$2:$C62,"&lt;="&amp;$P$1,'Form responses'!$D$2:$D62,$B40)*Sum!$V$35+sumifs('Form responses'!$ER$2:$ER62,'Form responses'!$B$2:$B62,"&gt;="&amp;$M$1,'Form responses'!$C$2:$C62,"&lt;="&amp;$P$1,'Form responses'!$D$2:$D62,$B40)*Sum!$W$35+sumifs('Form responses'!$ES$2:$ES62,'Form responses'!$B$2:$B62,"&gt;="&amp;$M$1,'Form responses'!$C$2:$C62,"&lt;="&amp;$P$1,'Form responses'!$D$2:$D62,$B40)*Sum!$X$35+sumifs('Form responses'!$ET$2:$ET62,'Form responses'!$B$2:$B62,"&gt;="&amp;$M$1,'Form responses'!$C$2:$C62,"&lt;="&amp;$P$1,'Form responses'!$D$2:$D62,$B40)*Sum!$Y$35</f>
        <v>0</v>
      </c>
      <c r="H40" s="419">
        <f>((
sumifs('Form responses'!$V$2:$V62,'Form responses'!$C$2:$C62,"&gt;="&amp;$M$1,'Form responses'!$C$2:$C62,"&lt;="&amp;$P$1,'Form responses'!$D$2:$D62,$B40)
)*
Sum!$F$35
)+((
sumifs('Form responses'!$W$2:$W62,'Form responses'!$C$2:$C62,"&gt;="&amp;$M$1,'Form responses'!$C$2:$C62,"&lt;="&amp;$P$1,'Form responses'!$D$2:$D62,$B40)
)*
Sum!$G$35
)</f>
        <v>0</v>
      </c>
      <c r="I40" s="419">
        <f>((
sumifs('Form responses'!$X$2:$X62,'Form responses'!$C$2:$C62,"&gt;="&amp;$M$1,'Form responses'!$C$2:$C62,"&lt;="&amp;$P$1,'Form responses'!$D$2:$D62,$B40)
)*Sum!$H$35)+((
sumifs('Form responses'!$Y$2:$Y62,'Form responses'!$C$2:$C62,"&gt;="&amp;$M$1,'Form responses'!$C$2:$C62,"&lt;="&amp;$P$1,'Form responses'!$D$2:$D62,$B40)
)*Sum!$I$35)+((
sumifs('Form responses'!$Z$2:$Z62,'Form responses'!$C$2:$C62,"&gt;="&amp;$M$1,'Form responses'!$C$2:$C62,"&lt;="&amp;$P$1,'Form responses'!$D$2:$D62,$B40)
)*Sum!$Z$35)</f>
        <v>0</v>
      </c>
      <c r="J40" s="419">
        <f t="shared" si="1"/>
        <v>0</v>
      </c>
      <c r="K40" s="419">
        <f>(
sumifs('Form responses'!$AV$2:$AV62,'Form responses'!$C$2:$C62,"&gt;="&amp;$M$1,'Form responses'!$C$2:$C62,"&lt;="&amp;$P$1,'Form responses'!$D$2:$D62,$B40)
+
sumifs('Form responses'!$AW$2:$AW62,'Form responses'!$C$2:$C62,"&gt;="&amp;$M$1,'Form responses'!$C$2:$C62,"&lt;="&amp;$P$1,'Form responses'!$D$2:$D62,$B40)
+
sumifs('Form responses'!$AX$2:$AX62,'Form responses'!$C$2:$C62,"&gt;="&amp;$M$1,'Form responses'!$C$2:$C62,"&lt;="&amp;$P$1,'Form responses'!$D$2:$D62,$B40)
+
sumifs('Form responses'!$AY$2:$AY62,'Form responses'!$C$2:$C62,"&gt;="&amp;$M$1,'Form responses'!$C$2:$C62,"&lt;="&amp;$P$1,'Form responses'!$D$2:$D62,$B40)
)*Sum!$Q$35</f>
        <v>0</v>
      </c>
      <c r="L40" s="419">
        <f>(
sumifs('Form responses'!$BD$2:$BD62,'Form responses'!$C$2:$C62,"&gt;="&amp;$M$1,'Form responses'!$C$2:$C62,"&lt;="&amp;$P$1,'Form responses'!$D$2:$D62,$B40)
+
sumifs('Form responses'!$BE$2:$BE62,'Form responses'!$C$2:$C62,"&gt;="&amp;$M$1,'Form responses'!$C$2:$C62,"&lt;="&amp;$P$1,'Form responses'!$D$2:$D62,$B40)
)*Sum!$R$35</f>
        <v>0</v>
      </c>
      <c r="M40" s="419">
        <f>(
sumifs('Form responses'!$BF$2:$BF62,'Form responses'!$C$2:$C62,"&gt;="&amp;$M$1,'Form responses'!$C$2:$C62,"&lt;="&amp;$P$1,'Form responses'!$D$2:$D62,$B40)
+
sumifs('Form responses'!$BG$2:$BG62,'Form responses'!$C$2:$C62,"&gt;="&amp;$M$1,'Form responses'!$C$2:$C62,"&lt;="&amp;$P$1,'Form responses'!$D$2:$D62,$B40)
)*Sum!$S$35</f>
        <v>0</v>
      </c>
      <c r="N40" s="419">
        <f>sumifs('Form responses'!$BL$2:$BL62,'Form responses'!$C$2:$C62,"&gt;="&amp;$M$1,'Form responses'!$C$2:$C62,"&lt;="&amp;$P$1,'Form responses'!$D$2:$D62,$B40)
*Sum!$T$35</f>
        <v>0</v>
      </c>
      <c r="O40" s="419">
        <f t="shared" si="2"/>
        <v>0</v>
      </c>
      <c r="P40" s="419">
        <f>((sumifs('Form responses'!$BN$2:$BN62,'Form responses'!$C$2:$C62,"&gt;="&amp;$M$1,'Form responses'!$C$2:$C62,"&lt;="&amp;$P$1,'Form responses'!$D$2:$D62,$B40)+
sumifs('Form responses'!$BO$2:$BO62,'Form responses'!$C$2:$C62,"&gt;="&amp;$M$1,'Form responses'!$C$2:$C62,"&lt;="&amp;$P$1,'Form responses'!$D$2:$D62,$B40))*Sum!$U$35)</f>
        <v>0</v>
      </c>
      <c r="Q40" s="419">
        <f t="shared" si="3"/>
        <v>0</v>
      </c>
      <c r="R40" s="346">
        <f t="shared" si="4"/>
        <v>0</v>
      </c>
    </row>
    <row r="41" ht="27.75" customHeight="1">
      <c r="A41" s="417"/>
      <c r="B41" s="418" t="s">
        <v>639</v>
      </c>
      <c r="C41" s="419">
        <f>((sumifs('Form responses'!$G$2:$G62,'Form responses'!$C$2:$C62,"&gt;="&amp;$M$1,'Form responses'!$C$2:$C62,"&lt;="&amp;$P$1,'Form responses'!$D$2:$D62,$B41)
+sumifs('Form responses'!$H$2:$H62,'Form responses'!$C$2:$C62,"&gt;="&amp;$M$1,'Form responses'!$C$2:$C62,"&lt;="&amp;$P$1,'Form responses'!$D$2:$D62,$B41)
+sumifs('Form responses'!$I$2:$I62,'Form responses'!$C$2:$C62,"&gt;="&amp;$M$1,'Form responses'!$C$2:$C62,"&lt;="&amp;$P$1,'Form responses'!$D$2:$D62,$B41)
)*Sum!$B$35)</f>
        <v>0</v>
      </c>
      <c r="D41" s="420">
        <f>((sumifs('Form responses'!$J$2:$J62,'Form responses'!$C$2:$C62,"&gt;="&amp;$M$1,'Form responses'!$C$2:$C62,"&lt;="&amp;$P$1,'Form responses'!$D$2:$D62,$B41))*Sum!$C$35)</f>
        <v>0</v>
      </c>
      <c r="E41" s="419">
        <f>((
sumifs('Form responses'!$S$2:$S62,'Form responses'!$C$2:$C62,"&gt;="&amp;$M$1,'Form responses'!$C$2:$C62,"&lt;="&amp;$P$1,'Form responses'!$D$2:$D62,$B41)
+
sumifs('Form responses'!$T$2:$T62,'Form responses'!$C$2:$C62,"&gt;="&amp;$M$1,'Form responses'!$C$2:$C62,"&lt;="&amp;$P$1,'Form responses'!$D$2:$D62,$B41)
)*Sum!$E$35
)</f>
        <v>0</v>
      </c>
      <c r="F41" s="419">
        <f>sumifs('Form responses'!$U$2:$U62,'Form responses'!$C$2:$C62,"&gt;="&amp;$M$1,'Form responses'!$C$2:$C62,"&lt;="&amp;$P$1,'Form responses'!$D$2:$D62,$B41)
*Sum!$D$35</f>
        <v>0</v>
      </c>
      <c r="G41" s="421">
        <f>sumifs('Form responses'!$EQ$2:$EQ62,'Form responses'!$B$2:$B62,"&gt;="&amp;$M$1,'Form responses'!$C$2:$C62,"&lt;="&amp;$P$1,'Form responses'!$D$2:$D62,$B41)*Sum!$V$35+sumifs('Form responses'!$ER$2:$ER62,'Form responses'!$B$2:$B62,"&gt;="&amp;$M$1,'Form responses'!$C$2:$C62,"&lt;="&amp;$P$1,'Form responses'!$D$2:$D62,$B41)*Sum!$W$35+sumifs('Form responses'!$ES$2:$ES62,'Form responses'!$B$2:$B62,"&gt;="&amp;$M$1,'Form responses'!$C$2:$C62,"&lt;="&amp;$P$1,'Form responses'!$D$2:$D62,$B41)*Sum!$X$35+sumifs('Form responses'!$ET$2:$ET62,'Form responses'!$B$2:$B62,"&gt;="&amp;$M$1,'Form responses'!$C$2:$C62,"&lt;="&amp;$P$1,'Form responses'!$D$2:$D62,$B41)*Sum!$Y$35</f>
        <v>0</v>
      </c>
      <c r="H41" s="419">
        <f>((
sumifs('Form responses'!$V$2:$V62,'Form responses'!$C$2:$C62,"&gt;="&amp;$M$1,'Form responses'!$C$2:$C62,"&lt;="&amp;$P$1,'Form responses'!$D$2:$D62,$B41)
)*
Sum!$F$35
)+((
sumifs('Form responses'!$W$2:$W62,'Form responses'!$C$2:$C62,"&gt;="&amp;$M$1,'Form responses'!$C$2:$C62,"&lt;="&amp;$P$1,'Form responses'!$D$2:$D62,$B41)
)*
Sum!$G$35
)</f>
        <v>0</v>
      </c>
      <c r="I41" s="419">
        <f>((
sumifs('Form responses'!$X$2:$X62,'Form responses'!$C$2:$C62,"&gt;="&amp;$M$1,'Form responses'!$C$2:$C62,"&lt;="&amp;$P$1,'Form responses'!$D$2:$D62,$B41)
)*Sum!$H$35)+((
sumifs('Form responses'!$Y$2:$Y62,'Form responses'!$C$2:$C62,"&gt;="&amp;$M$1,'Form responses'!$C$2:$C62,"&lt;="&amp;$P$1,'Form responses'!$D$2:$D62,$B41)
)*Sum!$I$35)+((
sumifs('Form responses'!$Z$2:$Z62,'Form responses'!$C$2:$C62,"&gt;="&amp;$M$1,'Form responses'!$C$2:$C62,"&lt;="&amp;$P$1,'Form responses'!$D$2:$D62,$B41)
)*Sum!$Z$35)</f>
        <v>0</v>
      </c>
      <c r="J41" s="419">
        <f t="shared" si="1"/>
        <v>0</v>
      </c>
      <c r="K41" s="419">
        <f>(
sumifs('Form responses'!$AV$2:$AV62,'Form responses'!$C$2:$C62,"&gt;="&amp;$M$1,'Form responses'!$C$2:$C62,"&lt;="&amp;$P$1,'Form responses'!$D$2:$D62,$B41)
+
sumifs('Form responses'!$AW$2:$AW62,'Form responses'!$C$2:$C62,"&gt;="&amp;$M$1,'Form responses'!$C$2:$C62,"&lt;="&amp;$P$1,'Form responses'!$D$2:$D62,$B41)
+
sumifs('Form responses'!$AX$2:$AX62,'Form responses'!$C$2:$C62,"&gt;="&amp;$M$1,'Form responses'!$C$2:$C62,"&lt;="&amp;$P$1,'Form responses'!$D$2:$D62,$B41)
+
sumifs('Form responses'!$AY$2:$AY62,'Form responses'!$C$2:$C62,"&gt;="&amp;$M$1,'Form responses'!$C$2:$C62,"&lt;="&amp;$P$1,'Form responses'!$D$2:$D62,$B41)
)*Sum!$Q$35</f>
        <v>0</v>
      </c>
      <c r="L41" s="419">
        <f>(
sumifs('Form responses'!$BD$2:$BD62,'Form responses'!$C$2:$C62,"&gt;="&amp;$M$1,'Form responses'!$C$2:$C62,"&lt;="&amp;$P$1,'Form responses'!$D$2:$D62,$B41)
+
sumifs('Form responses'!$BE$2:$BE62,'Form responses'!$C$2:$C62,"&gt;="&amp;$M$1,'Form responses'!$C$2:$C62,"&lt;="&amp;$P$1,'Form responses'!$D$2:$D62,$B41)
)*Sum!$R$35</f>
        <v>0</v>
      </c>
      <c r="M41" s="419">
        <f>(
sumifs('Form responses'!$BF$2:$BF62,'Form responses'!$C$2:$C62,"&gt;="&amp;$M$1,'Form responses'!$C$2:$C62,"&lt;="&amp;$P$1,'Form responses'!$D$2:$D62,$B41)
+
sumifs('Form responses'!$BG$2:$BG62,'Form responses'!$C$2:$C62,"&gt;="&amp;$M$1,'Form responses'!$C$2:$C62,"&lt;="&amp;$P$1,'Form responses'!$D$2:$D62,$B41)
)*Sum!$S$35</f>
        <v>0</v>
      </c>
      <c r="N41" s="419">
        <f>sumifs('Form responses'!$BL$2:$BL62,'Form responses'!$C$2:$C62,"&gt;="&amp;$M$1,'Form responses'!$C$2:$C62,"&lt;="&amp;$P$1,'Form responses'!$D$2:$D62,$B41)
*Sum!$T$35</f>
        <v>0</v>
      </c>
      <c r="O41" s="419">
        <f t="shared" si="2"/>
        <v>0</v>
      </c>
      <c r="P41" s="419">
        <f>((sumifs('Form responses'!$BN$2:$BN62,'Form responses'!$C$2:$C62,"&gt;="&amp;$M$1,'Form responses'!$C$2:$C62,"&lt;="&amp;$P$1,'Form responses'!$D$2:$D62,$B41)+
sumifs('Form responses'!$BO$2:$BO62,'Form responses'!$C$2:$C62,"&gt;="&amp;$M$1,'Form responses'!$C$2:$C62,"&lt;="&amp;$P$1,'Form responses'!$D$2:$D62,$B41))*Sum!$U$35)</f>
        <v>0</v>
      </c>
      <c r="Q41" s="419">
        <f t="shared" si="3"/>
        <v>0</v>
      </c>
      <c r="R41" s="346">
        <f t="shared" si="4"/>
        <v>0</v>
      </c>
    </row>
    <row r="42" ht="27.75" customHeight="1">
      <c r="A42" s="417"/>
      <c r="B42" s="423" t="s">
        <v>640</v>
      </c>
      <c r="C42" s="419">
        <f>((sumifs('Form responses'!$G$2:$G62,'Form responses'!$C$2:$C62,"&gt;="&amp;$M$1,'Form responses'!$C$2:$C62,"&lt;="&amp;$P$1,'Form responses'!$D$2:$D62,$B42)
+sumifs('Form responses'!$H$2:$H62,'Form responses'!$C$2:$C62,"&gt;="&amp;$M$1,'Form responses'!$C$2:$C62,"&lt;="&amp;$P$1,'Form responses'!$D$2:$D62,$B42)
+sumifs('Form responses'!$I$2:$I62,'Form responses'!$C$2:$C62,"&gt;="&amp;$M$1,'Form responses'!$C$2:$C62,"&lt;="&amp;$P$1,'Form responses'!$D$2:$D62,$B42)
)*Sum!$B$35)</f>
        <v>0</v>
      </c>
      <c r="D42" s="420">
        <f>((sumifs('Form responses'!$J$2:$J62,'Form responses'!$C$2:$C62,"&gt;="&amp;$M$1,'Form responses'!$C$2:$C62,"&lt;="&amp;$P$1,'Form responses'!$D$2:$D62,$B42))*Sum!$C$35)</f>
        <v>0</v>
      </c>
      <c r="E42" s="419">
        <f>((
sumifs('Form responses'!$S$2:$S62,'Form responses'!$C$2:$C62,"&gt;="&amp;$M$1,'Form responses'!$C$2:$C62,"&lt;="&amp;$P$1,'Form responses'!$D$2:$D62,$B42)
+
sumifs('Form responses'!$T$2:$T62,'Form responses'!$C$2:$C62,"&gt;="&amp;$M$1,'Form responses'!$C$2:$C62,"&lt;="&amp;$P$1,'Form responses'!$D$2:$D62,$B42)
)*Sum!$E$35
)</f>
        <v>0</v>
      </c>
      <c r="F42" s="419">
        <f>sumifs('Form responses'!$U$2:$U62,'Form responses'!$C$2:$C62,"&gt;="&amp;$M$1,'Form responses'!$C$2:$C62,"&lt;="&amp;$P$1,'Form responses'!$D$2:$D62,$B42)
*Sum!$D$35</f>
        <v>0</v>
      </c>
      <c r="G42" s="421">
        <f>sumifs('Form responses'!$EQ$2:$EQ62,'Form responses'!$B$2:$B62,"&gt;="&amp;$M$1,'Form responses'!$C$2:$C62,"&lt;="&amp;$P$1,'Form responses'!$D$2:$D62,$B42)*Sum!$V$35+sumifs('Form responses'!$ER$2:$ER62,'Form responses'!$B$2:$B62,"&gt;="&amp;$M$1,'Form responses'!$C$2:$C62,"&lt;="&amp;$P$1,'Form responses'!$D$2:$D62,$B42)*Sum!$W$35+sumifs('Form responses'!$ES$2:$ES62,'Form responses'!$B$2:$B62,"&gt;="&amp;$M$1,'Form responses'!$C$2:$C62,"&lt;="&amp;$P$1,'Form responses'!$D$2:$D62,$B42)*Sum!$X$35+sumifs('Form responses'!$ET$2:$ET62,'Form responses'!$B$2:$B62,"&gt;="&amp;$M$1,'Form responses'!$C$2:$C62,"&lt;="&amp;$P$1,'Form responses'!$D$2:$D62,$B42)*Sum!$Y$35</f>
        <v>0</v>
      </c>
      <c r="H42" s="419">
        <f>((
sumifs('Form responses'!$V$2:$V62,'Form responses'!$C$2:$C62,"&gt;="&amp;$M$1,'Form responses'!$C$2:$C62,"&lt;="&amp;$P$1,'Form responses'!$D$2:$D62,$B42)
)*
Sum!$F$35
)+((
sumifs('Form responses'!$W$2:$W62,'Form responses'!$C$2:$C62,"&gt;="&amp;$M$1,'Form responses'!$C$2:$C62,"&lt;="&amp;$P$1,'Form responses'!$D$2:$D62,$B42)
)*
Sum!$G$35
)</f>
        <v>0</v>
      </c>
      <c r="I42" s="419">
        <f>((
sumifs('Form responses'!$X$2:$X62,'Form responses'!$C$2:$C62,"&gt;="&amp;$M$1,'Form responses'!$C$2:$C62,"&lt;="&amp;$P$1,'Form responses'!$D$2:$D62,$B42)
)*Sum!$H$35)+((
sumifs('Form responses'!$Y$2:$Y62,'Form responses'!$C$2:$C62,"&gt;="&amp;$M$1,'Form responses'!$C$2:$C62,"&lt;="&amp;$P$1,'Form responses'!$D$2:$D62,$B42)
)*Sum!$I$35)+((
sumifs('Form responses'!$Z$2:$Z62,'Form responses'!$C$2:$C62,"&gt;="&amp;$M$1,'Form responses'!$C$2:$C62,"&lt;="&amp;$P$1,'Form responses'!$D$2:$D62,$B42)
)*Sum!$Z$35)</f>
        <v>0</v>
      </c>
      <c r="J42" s="419">
        <f t="shared" si="1"/>
        <v>0</v>
      </c>
      <c r="K42" s="419">
        <f>(
sumifs('Form responses'!$AV$2:$AV62,'Form responses'!$C$2:$C62,"&gt;="&amp;$M$1,'Form responses'!$C$2:$C62,"&lt;="&amp;$P$1,'Form responses'!$D$2:$D62,$B42)
+
sumifs('Form responses'!$AW$2:$AW62,'Form responses'!$C$2:$C62,"&gt;="&amp;$M$1,'Form responses'!$C$2:$C62,"&lt;="&amp;$P$1,'Form responses'!$D$2:$D62,$B42)
+
sumifs('Form responses'!$AX$2:$AX62,'Form responses'!$C$2:$C62,"&gt;="&amp;$M$1,'Form responses'!$C$2:$C62,"&lt;="&amp;$P$1,'Form responses'!$D$2:$D62,$B42)
+
sumifs('Form responses'!$AY$2:$AY62,'Form responses'!$C$2:$C62,"&gt;="&amp;$M$1,'Form responses'!$C$2:$C62,"&lt;="&amp;$P$1,'Form responses'!$D$2:$D62,$B42)
)*Sum!$Q$35</f>
        <v>0</v>
      </c>
      <c r="L42" s="419">
        <f>(
sumifs('Form responses'!$BD$2:$BD62,'Form responses'!$C$2:$C62,"&gt;="&amp;$M$1,'Form responses'!$C$2:$C62,"&lt;="&amp;$P$1,'Form responses'!$D$2:$D62,$B42)
+
sumifs('Form responses'!$BE$2:$BE62,'Form responses'!$C$2:$C62,"&gt;="&amp;$M$1,'Form responses'!$C$2:$C62,"&lt;="&amp;$P$1,'Form responses'!$D$2:$D62,$B42)
)*Sum!$R$35</f>
        <v>0</v>
      </c>
      <c r="M42" s="419">
        <f>(
sumifs('Form responses'!$BF$2:$BF62,'Form responses'!$C$2:$C62,"&gt;="&amp;$M$1,'Form responses'!$C$2:$C62,"&lt;="&amp;$P$1,'Form responses'!$D$2:$D62,$B42)
+
sumifs('Form responses'!$BG$2:$BG62,'Form responses'!$C$2:$C62,"&gt;="&amp;$M$1,'Form responses'!$C$2:$C62,"&lt;="&amp;$P$1,'Form responses'!$D$2:$D62,$B42)
)*Sum!$S$35</f>
        <v>0</v>
      </c>
      <c r="N42" s="419">
        <f>sumifs('Form responses'!$BL$2:$BL62,'Form responses'!$C$2:$C62,"&gt;="&amp;$M$1,'Form responses'!$C$2:$C62,"&lt;="&amp;$P$1,'Form responses'!$D$2:$D62,$B42)
*Sum!$T$35</f>
        <v>0</v>
      </c>
      <c r="O42" s="419">
        <f t="shared" si="2"/>
        <v>0</v>
      </c>
      <c r="P42" s="419">
        <f>((sumifs('Form responses'!$BN$2:$BN62,'Form responses'!$C$2:$C62,"&gt;="&amp;$M$1,'Form responses'!$C$2:$C62,"&lt;="&amp;$P$1,'Form responses'!$D$2:$D62,$B42)+
sumifs('Form responses'!$BO$2:$BO62,'Form responses'!$C$2:$C62,"&gt;="&amp;$M$1,'Form responses'!$C$2:$C62,"&lt;="&amp;$P$1,'Form responses'!$D$2:$D62,$B42))*Sum!$U$35)</f>
        <v>0</v>
      </c>
      <c r="Q42" s="419">
        <f t="shared" si="3"/>
        <v>0</v>
      </c>
      <c r="R42" s="346">
        <f t="shared" si="4"/>
        <v>0</v>
      </c>
    </row>
    <row r="43" ht="27.75" customHeight="1">
      <c r="A43" s="417"/>
      <c r="B43" s="418" t="s">
        <v>641</v>
      </c>
      <c r="C43" s="419">
        <f>((sumifs('Form responses'!$G$2:$G62,'Form responses'!$C$2:$C62,"&gt;="&amp;$M$1,'Form responses'!$C$2:$C62,"&lt;="&amp;$P$1,'Form responses'!$D$2:$D62,$B43)
+sumifs('Form responses'!$H$2:$H62,'Form responses'!$C$2:$C62,"&gt;="&amp;$M$1,'Form responses'!$C$2:$C62,"&lt;="&amp;$P$1,'Form responses'!$D$2:$D62,$B43)
+sumifs('Form responses'!$I$2:$I62,'Form responses'!$C$2:$C62,"&gt;="&amp;$M$1,'Form responses'!$C$2:$C62,"&lt;="&amp;$P$1,'Form responses'!$D$2:$D62,$B43)
)*Sum!$B$35)</f>
        <v>0</v>
      </c>
      <c r="D43" s="420">
        <f>((sumifs('Form responses'!$J$2:$J62,'Form responses'!$C$2:$C62,"&gt;="&amp;$M$1,'Form responses'!$C$2:$C62,"&lt;="&amp;$P$1,'Form responses'!$D$2:$D62,$B43))*Sum!$C$35)</f>
        <v>0</v>
      </c>
      <c r="E43" s="419">
        <f>((
sumifs('Form responses'!$S$2:$S62,'Form responses'!$C$2:$C62,"&gt;="&amp;$M$1,'Form responses'!$C$2:$C62,"&lt;="&amp;$P$1,'Form responses'!$D$2:$D62,$B43)
+
sumifs('Form responses'!$T$2:$T62,'Form responses'!$C$2:$C62,"&gt;="&amp;$M$1,'Form responses'!$C$2:$C62,"&lt;="&amp;$P$1,'Form responses'!$D$2:$D62,$B43)
)*Sum!$E$35
)</f>
        <v>0</v>
      </c>
      <c r="F43" s="419">
        <f>sumifs('Form responses'!$U$2:$U62,'Form responses'!$C$2:$C62,"&gt;="&amp;$M$1,'Form responses'!$C$2:$C62,"&lt;="&amp;$P$1,'Form responses'!$D$2:$D62,$B43)
*Sum!$D$35</f>
        <v>0</v>
      </c>
      <c r="G43" s="421">
        <f>sumifs('Form responses'!$EQ$2:$EQ62,'Form responses'!$B$2:$B62,"&gt;="&amp;$M$1,'Form responses'!$C$2:$C62,"&lt;="&amp;$P$1,'Form responses'!$D$2:$D62,$B43)*Sum!$V$35+sumifs('Form responses'!$ER$2:$ER62,'Form responses'!$B$2:$B62,"&gt;="&amp;$M$1,'Form responses'!$C$2:$C62,"&lt;="&amp;$P$1,'Form responses'!$D$2:$D62,$B43)*Sum!$W$35+sumifs('Form responses'!$ES$2:$ES62,'Form responses'!$B$2:$B62,"&gt;="&amp;$M$1,'Form responses'!$C$2:$C62,"&lt;="&amp;$P$1,'Form responses'!$D$2:$D62,$B43)*Sum!$X$35+sumifs('Form responses'!$ET$2:$ET62,'Form responses'!$B$2:$B62,"&gt;="&amp;$M$1,'Form responses'!$C$2:$C62,"&lt;="&amp;$P$1,'Form responses'!$D$2:$D62,$B43)*Sum!$Y$35</f>
        <v>0</v>
      </c>
      <c r="H43" s="419">
        <f>((
sumifs('Form responses'!$V$2:$V62,'Form responses'!$C$2:$C62,"&gt;="&amp;$M$1,'Form responses'!$C$2:$C62,"&lt;="&amp;$P$1,'Form responses'!$D$2:$D62,$B43)
)*
Sum!$F$35
)+((
sumifs('Form responses'!$W$2:$W62,'Form responses'!$C$2:$C62,"&gt;="&amp;$M$1,'Form responses'!$C$2:$C62,"&lt;="&amp;$P$1,'Form responses'!$D$2:$D62,$B43)
)*
Sum!$G$35
)</f>
        <v>0</v>
      </c>
      <c r="I43" s="419">
        <f>((
sumifs('Form responses'!$X$2:$X62,'Form responses'!$C$2:$C62,"&gt;="&amp;$M$1,'Form responses'!$C$2:$C62,"&lt;="&amp;$P$1,'Form responses'!$D$2:$D62,$B43)
)*Sum!$H$35)+((
sumifs('Form responses'!$Y$2:$Y62,'Form responses'!$C$2:$C62,"&gt;="&amp;$M$1,'Form responses'!$C$2:$C62,"&lt;="&amp;$P$1,'Form responses'!$D$2:$D62,$B43)
)*Sum!$I$35)+((
sumifs('Form responses'!$Z$2:$Z62,'Form responses'!$C$2:$C62,"&gt;="&amp;$M$1,'Form responses'!$C$2:$C62,"&lt;="&amp;$P$1,'Form responses'!$D$2:$D62,$B43)
)*Sum!$Z$35)</f>
        <v>0</v>
      </c>
      <c r="J43" s="419">
        <f t="shared" si="1"/>
        <v>0</v>
      </c>
      <c r="K43" s="419">
        <f>(
sumifs('Form responses'!$AV$2:$AV62,'Form responses'!$C$2:$C62,"&gt;="&amp;$M$1,'Form responses'!$C$2:$C62,"&lt;="&amp;$P$1,'Form responses'!$D$2:$D62,$B43)
+
sumifs('Form responses'!$AW$2:$AW62,'Form responses'!$C$2:$C62,"&gt;="&amp;$M$1,'Form responses'!$C$2:$C62,"&lt;="&amp;$P$1,'Form responses'!$D$2:$D62,$B43)
+
sumifs('Form responses'!$AX$2:$AX62,'Form responses'!$C$2:$C62,"&gt;="&amp;$M$1,'Form responses'!$C$2:$C62,"&lt;="&amp;$P$1,'Form responses'!$D$2:$D62,$B43)
+
sumifs('Form responses'!$AY$2:$AY62,'Form responses'!$C$2:$C62,"&gt;="&amp;$M$1,'Form responses'!$C$2:$C62,"&lt;="&amp;$P$1,'Form responses'!$D$2:$D62,$B43)
)*Sum!$Q$35</f>
        <v>0</v>
      </c>
      <c r="L43" s="419">
        <f>(
sumifs('Form responses'!$BD$2:$BD62,'Form responses'!$C$2:$C62,"&gt;="&amp;$M$1,'Form responses'!$C$2:$C62,"&lt;="&amp;$P$1,'Form responses'!$D$2:$D62,$B43)
+
sumifs('Form responses'!$BE$2:$BE62,'Form responses'!$C$2:$C62,"&gt;="&amp;$M$1,'Form responses'!$C$2:$C62,"&lt;="&amp;$P$1,'Form responses'!$D$2:$D62,$B43)
)*Sum!$R$35</f>
        <v>0</v>
      </c>
      <c r="M43" s="419">
        <f>(
sumifs('Form responses'!$BF$2:$BF62,'Form responses'!$C$2:$C62,"&gt;="&amp;$M$1,'Form responses'!$C$2:$C62,"&lt;="&amp;$P$1,'Form responses'!$D$2:$D62,$B43)
+
sumifs('Form responses'!$BG$2:$BG62,'Form responses'!$C$2:$C62,"&gt;="&amp;$M$1,'Form responses'!$C$2:$C62,"&lt;="&amp;$P$1,'Form responses'!$D$2:$D62,$B43)
)*Sum!$S$35</f>
        <v>0</v>
      </c>
      <c r="N43" s="419">
        <f>sumifs('Form responses'!$BL$2:$BL62,'Form responses'!$C$2:$C62,"&gt;="&amp;$M$1,'Form responses'!$C$2:$C62,"&lt;="&amp;$P$1,'Form responses'!$D$2:$D62,$B43)
*Sum!$T$35</f>
        <v>0</v>
      </c>
      <c r="O43" s="419">
        <f t="shared" si="2"/>
        <v>0</v>
      </c>
      <c r="P43" s="419">
        <f>((sumifs('Form responses'!$BN$2:$BN62,'Form responses'!$C$2:$C62,"&gt;="&amp;$M$1,'Form responses'!$C$2:$C62,"&lt;="&amp;$P$1,'Form responses'!$D$2:$D62,$B43)+
sumifs('Form responses'!$BO$2:$BO62,'Form responses'!$C$2:$C62,"&gt;="&amp;$M$1,'Form responses'!$C$2:$C62,"&lt;="&amp;$P$1,'Form responses'!$D$2:$D62,$B43))*Sum!$U$35)</f>
        <v>0</v>
      </c>
      <c r="Q43" s="419">
        <f t="shared" si="3"/>
        <v>0</v>
      </c>
      <c r="R43" s="346">
        <f t="shared" si="4"/>
        <v>0</v>
      </c>
    </row>
    <row r="44" ht="27.75" customHeight="1">
      <c r="A44" s="417"/>
      <c r="B44" s="418" t="s">
        <v>642</v>
      </c>
      <c r="C44" s="419">
        <f>((sumifs('Form responses'!$G$2:$G62,'Form responses'!$C$2:$C62,"&gt;="&amp;$M$1,'Form responses'!$C$2:$C62,"&lt;="&amp;$P$1,'Form responses'!$D$2:$D62,$B44)
+sumifs('Form responses'!$H$2:$H62,'Form responses'!$C$2:$C62,"&gt;="&amp;$M$1,'Form responses'!$C$2:$C62,"&lt;="&amp;$P$1,'Form responses'!$D$2:$D62,$B44)
+sumifs('Form responses'!$I$2:$I62,'Form responses'!$C$2:$C62,"&gt;="&amp;$M$1,'Form responses'!$C$2:$C62,"&lt;="&amp;$P$1,'Form responses'!$D$2:$D62,$B44)
)*Sum!$B$35)</f>
        <v>0</v>
      </c>
      <c r="D44" s="420">
        <f>((sumifs('Form responses'!$J$2:$J62,'Form responses'!$C$2:$C62,"&gt;="&amp;$M$1,'Form responses'!$C$2:$C62,"&lt;="&amp;$P$1,'Form responses'!$D$2:$D62,$B44))*Sum!$C$35)</f>
        <v>0</v>
      </c>
      <c r="E44" s="419">
        <f>((
sumifs('Form responses'!$S$2:$S62,'Form responses'!$C$2:$C62,"&gt;="&amp;$M$1,'Form responses'!$C$2:$C62,"&lt;="&amp;$P$1,'Form responses'!$D$2:$D62,$B44)
+
sumifs('Form responses'!$T$2:$T62,'Form responses'!$C$2:$C62,"&gt;="&amp;$M$1,'Form responses'!$C$2:$C62,"&lt;="&amp;$P$1,'Form responses'!$D$2:$D62,$B44)
)*Sum!$E$35
)</f>
        <v>0</v>
      </c>
      <c r="F44" s="419">
        <f>sumifs('Form responses'!$U$2:$U62,'Form responses'!$C$2:$C62,"&gt;="&amp;$M$1,'Form responses'!$C$2:$C62,"&lt;="&amp;$P$1,'Form responses'!$D$2:$D62,$B44)
*Sum!$D$35</f>
        <v>0</v>
      </c>
      <c r="G44" s="421">
        <f>sumifs('Form responses'!$EQ$2:$EQ62,'Form responses'!$B$2:$B62,"&gt;="&amp;$M$1,'Form responses'!$C$2:$C62,"&lt;="&amp;$P$1,'Form responses'!$D$2:$D62,$B44)*Sum!$V$35+sumifs('Form responses'!$ER$2:$ER62,'Form responses'!$B$2:$B62,"&gt;="&amp;$M$1,'Form responses'!$C$2:$C62,"&lt;="&amp;$P$1,'Form responses'!$D$2:$D62,$B44)*Sum!$W$35+sumifs('Form responses'!$ES$2:$ES62,'Form responses'!$B$2:$B62,"&gt;="&amp;$M$1,'Form responses'!$C$2:$C62,"&lt;="&amp;$P$1,'Form responses'!$D$2:$D62,$B44)*Sum!$X$35+sumifs('Form responses'!$ET$2:$ET62,'Form responses'!$B$2:$B62,"&gt;="&amp;$M$1,'Form responses'!$C$2:$C62,"&lt;="&amp;$P$1,'Form responses'!$D$2:$D62,$B44)*Sum!$Y$35</f>
        <v>0</v>
      </c>
      <c r="H44" s="419">
        <f>((
sumifs('Form responses'!$V$2:$V62,'Form responses'!$C$2:$C62,"&gt;="&amp;$M$1,'Form responses'!$C$2:$C62,"&lt;="&amp;$P$1,'Form responses'!$D$2:$D62,$B44)
)*
Sum!$F$35
)+((
sumifs('Form responses'!$W$2:$W62,'Form responses'!$C$2:$C62,"&gt;="&amp;$M$1,'Form responses'!$C$2:$C62,"&lt;="&amp;$P$1,'Form responses'!$D$2:$D62,$B44)
)*
Sum!$G$35
)</f>
        <v>0</v>
      </c>
      <c r="I44" s="419">
        <f>((
sumifs('Form responses'!$X$2:$X62,'Form responses'!$C$2:$C62,"&gt;="&amp;$M$1,'Form responses'!$C$2:$C62,"&lt;="&amp;$P$1,'Form responses'!$D$2:$D62,$B44)
)*Sum!$H$35)+((
sumifs('Form responses'!$Y$2:$Y62,'Form responses'!$C$2:$C62,"&gt;="&amp;$M$1,'Form responses'!$C$2:$C62,"&lt;="&amp;$P$1,'Form responses'!$D$2:$D62,$B44)
)*Sum!$I$35)+((
sumifs('Form responses'!$Z$2:$Z62,'Form responses'!$C$2:$C62,"&gt;="&amp;$M$1,'Form responses'!$C$2:$C62,"&lt;="&amp;$P$1,'Form responses'!$D$2:$D62,$B44)
)*Sum!$Z$35)</f>
        <v>0</v>
      </c>
      <c r="J44" s="419">
        <f t="shared" si="1"/>
        <v>0</v>
      </c>
      <c r="K44" s="419">
        <f>(
sumifs('Form responses'!$AV$2:$AV62,'Form responses'!$C$2:$C62,"&gt;="&amp;$M$1,'Form responses'!$C$2:$C62,"&lt;="&amp;$P$1,'Form responses'!$D$2:$D62,$B44)
+
sumifs('Form responses'!$AW$2:$AW62,'Form responses'!$C$2:$C62,"&gt;="&amp;$M$1,'Form responses'!$C$2:$C62,"&lt;="&amp;$P$1,'Form responses'!$D$2:$D62,$B44)
+
sumifs('Form responses'!$AX$2:$AX62,'Form responses'!$C$2:$C62,"&gt;="&amp;$M$1,'Form responses'!$C$2:$C62,"&lt;="&amp;$P$1,'Form responses'!$D$2:$D62,$B44)
+
sumifs('Form responses'!$AY$2:$AY62,'Form responses'!$C$2:$C62,"&gt;="&amp;$M$1,'Form responses'!$C$2:$C62,"&lt;="&amp;$P$1,'Form responses'!$D$2:$D62,$B44)
)*Sum!$Q$35</f>
        <v>0</v>
      </c>
      <c r="L44" s="419">
        <f>(
sumifs('Form responses'!$BD$2:$BD62,'Form responses'!$C$2:$C62,"&gt;="&amp;$M$1,'Form responses'!$C$2:$C62,"&lt;="&amp;$P$1,'Form responses'!$D$2:$D62,$B44)
+
sumifs('Form responses'!$BE$2:$BE62,'Form responses'!$C$2:$C62,"&gt;="&amp;$M$1,'Form responses'!$C$2:$C62,"&lt;="&amp;$P$1,'Form responses'!$D$2:$D62,$B44)
)*Sum!$R$35</f>
        <v>0</v>
      </c>
      <c r="M44" s="419">
        <f>(
sumifs('Form responses'!$BF$2:$BF62,'Form responses'!$C$2:$C62,"&gt;="&amp;$M$1,'Form responses'!$C$2:$C62,"&lt;="&amp;$P$1,'Form responses'!$D$2:$D62,$B44)
+
sumifs('Form responses'!$BG$2:$BG62,'Form responses'!$C$2:$C62,"&gt;="&amp;$M$1,'Form responses'!$C$2:$C62,"&lt;="&amp;$P$1,'Form responses'!$D$2:$D62,$B44)
)*Sum!$S$35</f>
        <v>0</v>
      </c>
      <c r="N44" s="419">
        <f>sumifs('Form responses'!$BL$2:$BL62,'Form responses'!$C$2:$C62,"&gt;="&amp;$M$1,'Form responses'!$C$2:$C62,"&lt;="&amp;$P$1,'Form responses'!$D$2:$D62,$B44)
*Sum!$T$35</f>
        <v>0</v>
      </c>
      <c r="O44" s="419">
        <f t="shared" si="2"/>
        <v>0</v>
      </c>
      <c r="P44" s="419">
        <f>((sumifs('Form responses'!$BN$2:$BN62,'Form responses'!$C$2:$C62,"&gt;="&amp;$M$1,'Form responses'!$C$2:$C62,"&lt;="&amp;$P$1,'Form responses'!$D$2:$D62,$B44)+
sumifs('Form responses'!$BO$2:$BO62,'Form responses'!$C$2:$C62,"&gt;="&amp;$M$1,'Form responses'!$C$2:$C62,"&lt;="&amp;$P$1,'Form responses'!$D$2:$D62,$B44))*Sum!$U$35)</f>
        <v>0</v>
      </c>
      <c r="Q44" s="419">
        <f t="shared" si="3"/>
        <v>0</v>
      </c>
      <c r="R44" s="346">
        <f t="shared" si="4"/>
        <v>0</v>
      </c>
    </row>
    <row r="45" ht="27.75" customHeight="1">
      <c r="A45" s="424">
        <v>10.0</v>
      </c>
      <c r="B45" s="418" t="s">
        <v>643</v>
      </c>
      <c r="C45" s="419">
        <f>((sumifs('Form responses'!$G$2:$G62,'Form responses'!$C$2:$C62,"&gt;="&amp;$M$1,'Form responses'!$C$2:$C62,"&lt;="&amp;$P$1,'Form responses'!$D$2:$D62,$B45)
+sumifs('Form responses'!$H$2:$H62,'Form responses'!$C$2:$C62,"&gt;="&amp;$M$1,'Form responses'!$C$2:$C62,"&lt;="&amp;$P$1,'Form responses'!$D$2:$D62,$B45)
+sumifs('Form responses'!$I$2:$I62,'Form responses'!$C$2:$C62,"&gt;="&amp;$M$1,'Form responses'!$C$2:$C62,"&lt;="&amp;$P$1,'Form responses'!$D$2:$D62,$B45)
)*Sum!$B$35)</f>
        <v>0</v>
      </c>
      <c r="D45" s="420">
        <f>((sumifs('Form responses'!$J$2:$J62,'Form responses'!$C$2:$C62,"&gt;="&amp;$M$1,'Form responses'!$C$2:$C62,"&lt;="&amp;$P$1,'Form responses'!$D$2:$D62,$B45))*Sum!$C$35)</f>
        <v>0</v>
      </c>
      <c r="E45" s="419">
        <f>((
sumifs('Form responses'!$S$2:$S62,'Form responses'!$C$2:$C62,"&gt;="&amp;$M$1,'Form responses'!$C$2:$C62,"&lt;="&amp;$P$1,'Form responses'!$D$2:$D62,$B45)
+
sumifs('Form responses'!$T$2:$T62,'Form responses'!$C$2:$C62,"&gt;="&amp;$M$1,'Form responses'!$C$2:$C62,"&lt;="&amp;$P$1,'Form responses'!$D$2:$D62,$B45)
)*Sum!$E$35
)</f>
        <v>0</v>
      </c>
      <c r="F45" s="419">
        <f>sumifs('Form responses'!$U$2:$U62,'Form responses'!$C$2:$C62,"&gt;="&amp;$M$1,'Form responses'!$C$2:$C62,"&lt;="&amp;$P$1,'Form responses'!$D$2:$D62,$B45)
*Sum!$D$35</f>
        <v>0</v>
      </c>
      <c r="G45" s="421">
        <f>sumifs('Form responses'!$EQ$2:$EQ62,'Form responses'!$B$2:$B62,"&gt;="&amp;$M$1,'Form responses'!$C$2:$C62,"&lt;="&amp;$P$1,'Form responses'!$D$2:$D62,$B45)*Sum!$V$35+sumifs('Form responses'!$ER$2:$ER62,'Form responses'!$B$2:$B62,"&gt;="&amp;$M$1,'Form responses'!$C$2:$C62,"&lt;="&amp;$P$1,'Form responses'!$D$2:$D62,$B45)*Sum!$W$35+sumifs('Form responses'!$ES$2:$ES62,'Form responses'!$B$2:$B62,"&gt;="&amp;$M$1,'Form responses'!$C$2:$C62,"&lt;="&amp;$P$1,'Form responses'!$D$2:$D62,$B45)*Sum!$X$35+sumifs('Form responses'!$ET$2:$ET62,'Form responses'!$B$2:$B62,"&gt;="&amp;$M$1,'Form responses'!$C$2:$C62,"&lt;="&amp;$P$1,'Form responses'!$D$2:$D62,$B45)*Sum!$Y$35</f>
        <v>0</v>
      </c>
      <c r="H45" s="419">
        <f>((
sumifs('Form responses'!$V$2:$V62,'Form responses'!$C$2:$C62,"&gt;="&amp;$M$1,'Form responses'!$C$2:$C62,"&lt;="&amp;$P$1,'Form responses'!$D$2:$D62,$B45)
)*
Sum!$F$35
)+((
sumifs('Form responses'!$W$2:$W62,'Form responses'!$C$2:$C62,"&gt;="&amp;$M$1,'Form responses'!$C$2:$C62,"&lt;="&amp;$P$1,'Form responses'!$D$2:$D62,$B45)
)*
Sum!$G$35
)</f>
        <v>0</v>
      </c>
      <c r="I45" s="419">
        <f>((
sumifs('Form responses'!$X$2:$X62,'Form responses'!$C$2:$C62,"&gt;="&amp;$M$1,'Form responses'!$C$2:$C62,"&lt;="&amp;$P$1,'Form responses'!$D$2:$D62,$B45)
)*Sum!$H$35)+((
sumifs('Form responses'!$Y$2:$Y62,'Form responses'!$C$2:$C62,"&gt;="&amp;$M$1,'Form responses'!$C$2:$C62,"&lt;="&amp;$P$1,'Form responses'!$D$2:$D62,$B45)
)*Sum!$I$35)+((
sumifs('Form responses'!$Z$2:$Z62,'Form responses'!$C$2:$C62,"&gt;="&amp;$M$1,'Form responses'!$C$2:$C62,"&lt;="&amp;$P$1,'Form responses'!$D$2:$D62,$B45)
)*Sum!$Z$35)</f>
        <v>0</v>
      </c>
      <c r="J45" s="419">
        <f t="shared" si="1"/>
        <v>0</v>
      </c>
      <c r="K45" s="419">
        <f>(
sumifs('Form responses'!$AV$2:$AV62,'Form responses'!$C$2:$C62,"&gt;="&amp;$M$1,'Form responses'!$C$2:$C62,"&lt;="&amp;$P$1,'Form responses'!$D$2:$D62,$B45)
+
sumifs('Form responses'!$AW$2:$AW62,'Form responses'!$C$2:$C62,"&gt;="&amp;$M$1,'Form responses'!$C$2:$C62,"&lt;="&amp;$P$1,'Form responses'!$D$2:$D62,$B45)
+
sumifs('Form responses'!$AX$2:$AX62,'Form responses'!$C$2:$C62,"&gt;="&amp;$M$1,'Form responses'!$C$2:$C62,"&lt;="&amp;$P$1,'Form responses'!$D$2:$D62,$B45)
+
sumifs('Form responses'!$AY$2:$AY62,'Form responses'!$C$2:$C62,"&gt;="&amp;$M$1,'Form responses'!$C$2:$C62,"&lt;="&amp;$P$1,'Form responses'!$D$2:$D62,$B45)
)*Sum!$Q$35</f>
        <v>0</v>
      </c>
      <c r="L45" s="419">
        <f>(
sumifs('Form responses'!$BD$2:$BD62,'Form responses'!$C$2:$C62,"&gt;="&amp;$M$1,'Form responses'!$C$2:$C62,"&lt;="&amp;$P$1,'Form responses'!$D$2:$D62,$B45)
+
sumifs('Form responses'!$BE$2:$BE62,'Form responses'!$C$2:$C62,"&gt;="&amp;$M$1,'Form responses'!$C$2:$C62,"&lt;="&amp;$P$1,'Form responses'!$D$2:$D62,$B45)
)*Sum!$R$35</f>
        <v>0</v>
      </c>
      <c r="M45" s="419">
        <f>(
sumifs('Form responses'!$BF$2:$BF62,'Form responses'!$C$2:$C62,"&gt;="&amp;$M$1,'Form responses'!$C$2:$C62,"&lt;="&amp;$P$1,'Form responses'!$D$2:$D62,$B45)
+
sumifs('Form responses'!$BG$2:$BG62,'Form responses'!$C$2:$C62,"&gt;="&amp;$M$1,'Form responses'!$C$2:$C62,"&lt;="&amp;$P$1,'Form responses'!$D$2:$D62,$B45)
)*Sum!$S$35</f>
        <v>0</v>
      </c>
      <c r="N45" s="419">
        <f>sumifs('Form responses'!$BL$2:$BL62,'Form responses'!$C$2:$C62,"&gt;="&amp;$M$1,'Form responses'!$C$2:$C62,"&lt;="&amp;$P$1,'Form responses'!$D$2:$D62,$B45)
*Sum!$T$35</f>
        <v>0</v>
      </c>
      <c r="O45" s="419">
        <f t="shared" si="2"/>
        <v>0</v>
      </c>
      <c r="P45" s="419">
        <f>((sumifs('Form responses'!$BN$2:$BN62,'Form responses'!$C$2:$C62,"&gt;="&amp;$M$1,'Form responses'!$C$2:$C62,"&lt;="&amp;$P$1,'Form responses'!$D$2:$D62,$B45)+
sumifs('Form responses'!$BO$2:$BO62,'Form responses'!$C$2:$C62,"&gt;="&amp;$M$1,'Form responses'!$C$2:$C62,"&lt;="&amp;$P$1,'Form responses'!$D$2:$D62,$B45))*Sum!$U$35)</f>
        <v>0</v>
      </c>
      <c r="Q45" s="419">
        <f t="shared" si="3"/>
        <v>0</v>
      </c>
      <c r="R45" s="346">
        <f t="shared" si="4"/>
        <v>0</v>
      </c>
    </row>
    <row r="46" ht="27.75" customHeight="1">
      <c r="A46" s="424">
        <v>11.0</v>
      </c>
      <c r="B46" s="418" t="s">
        <v>644</v>
      </c>
      <c r="C46" s="419">
        <f>((sumifs('Form responses'!$G$2:$G62,'Form responses'!$C$2:$C62,"&gt;="&amp;$M$1,'Form responses'!$C$2:$C62,"&lt;="&amp;$P$1,'Form responses'!$D$2:$D62,$B46)
+sumifs('Form responses'!$H$2:$H62,'Form responses'!$C$2:$C62,"&gt;="&amp;$M$1,'Form responses'!$C$2:$C62,"&lt;="&amp;$P$1,'Form responses'!$D$2:$D62,$B46)
+sumifs('Form responses'!$I$2:$I62,'Form responses'!$C$2:$C62,"&gt;="&amp;$M$1,'Form responses'!$C$2:$C62,"&lt;="&amp;$P$1,'Form responses'!$D$2:$D62,$B46)
)*Sum!$B$35)</f>
        <v>0</v>
      </c>
      <c r="D46" s="420">
        <f>((sumifs('Form responses'!$J$2:$J62,'Form responses'!$C$2:$C62,"&gt;="&amp;$M$1,'Form responses'!$C$2:$C62,"&lt;="&amp;$P$1,'Form responses'!$D$2:$D62,$B46))*Sum!$C$35)</f>
        <v>0</v>
      </c>
      <c r="E46" s="419">
        <f>((
sumifs('Form responses'!$S$2:$S62,'Form responses'!$C$2:$C62,"&gt;="&amp;$M$1,'Form responses'!$C$2:$C62,"&lt;="&amp;$P$1,'Form responses'!$D$2:$D62,$B46)
+
sumifs('Form responses'!$T$2:$T62,'Form responses'!$C$2:$C62,"&gt;="&amp;$M$1,'Form responses'!$C$2:$C62,"&lt;="&amp;$P$1,'Form responses'!$D$2:$D62,$B46)
)*Sum!$E$35
)</f>
        <v>0</v>
      </c>
      <c r="F46" s="419">
        <f>sumifs('Form responses'!$U$2:$U62,'Form responses'!$C$2:$C62,"&gt;="&amp;$M$1,'Form responses'!$C$2:$C62,"&lt;="&amp;$P$1,'Form responses'!$D$2:$D62,$B46)
*Sum!$D$35</f>
        <v>0</v>
      </c>
      <c r="G46" s="421">
        <f>sumifs('Form responses'!$EQ$2:$EQ62,'Form responses'!$B$2:$B62,"&gt;="&amp;$M$1,'Form responses'!$C$2:$C62,"&lt;="&amp;$P$1,'Form responses'!$D$2:$D62,$B46)*Sum!$V$35+sumifs('Form responses'!$ER$2:$ER62,'Form responses'!$B$2:$B62,"&gt;="&amp;$M$1,'Form responses'!$C$2:$C62,"&lt;="&amp;$P$1,'Form responses'!$D$2:$D62,$B46)*Sum!$W$35+sumifs('Form responses'!$ES$2:$ES62,'Form responses'!$B$2:$B62,"&gt;="&amp;$M$1,'Form responses'!$C$2:$C62,"&lt;="&amp;$P$1,'Form responses'!$D$2:$D62,$B46)*Sum!$X$35+sumifs('Form responses'!$ET$2:$ET62,'Form responses'!$B$2:$B62,"&gt;="&amp;$M$1,'Form responses'!$C$2:$C62,"&lt;="&amp;$P$1,'Form responses'!$D$2:$D62,$B46)*Sum!$Y$35</f>
        <v>0</v>
      </c>
      <c r="H46" s="419">
        <f>((
sumifs('Form responses'!$V$2:$V62,'Form responses'!$C$2:$C62,"&gt;="&amp;$M$1,'Form responses'!$C$2:$C62,"&lt;="&amp;$P$1,'Form responses'!$D$2:$D62,$B46)
)*
Sum!$F$35
)+((
sumifs('Form responses'!$W$2:$W62,'Form responses'!$C$2:$C62,"&gt;="&amp;$M$1,'Form responses'!$C$2:$C62,"&lt;="&amp;$P$1,'Form responses'!$D$2:$D62,$B46)
)*
Sum!$G$35
)</f>
        <v>0</v>
      </c>
      <c r="I46" s="419">
        <f>((
sumifs('Form responses'!$X$2:$X62,'Form responses'!$C$2:$C62,"&gt;="&amp;$M$1,'Form responses'!$C$2:$C62,"&lt;="&amp;$P$1,'Form responses'!$D$2:$D62,$B46)
)*Sum!$H$35)+((
sumifs('Form responses'!$Y$2:$Y62,'Form responses'!$C$2:$C62,"&gt;="&amp;$M$1,'Form responses'!$C$2:$C62,"&lt;="&amp;$P$1,'Form responses'!$D$2:$D62,$B46)
)*Sum!$I$35)+((
sumifs('Form responses'!$Z$2:$Z62,'Form responses'!$C$2:$C62,"&gt;="&amp;$M$1,'Form responses'!$C$2:$C62,"&lt;="&amp;$P$1,'Form responses'!$D$2:$D62,$B46)
)*Sum!$Z$35)</f>
        <v>0</v>
      </c>
      <c r="J46" s="419">
        <f t="shared" si="1"/>
        <v>0</v>
      </c>
      <c r="K46" s="419">
        <f>(
sumifs('Form responses'!$AV$2:$AV62,'Form responses'!$C$2:$C62,"&gt;="&amp;$M$1,'Form responses'!$C$2:$C62,"&lt;="&amp;$P$1,'Form responses'!$D$2:$D62,$B46)
+
sumifs('Form responses'!$AW$2:$AW62,'Form responses'!$C$2:$C62,"&gt;="&amp;$M$1,'Form responses'!$C$2:$C62,"&lt;="&amp;$P$1,'Form responses'!$D$2:$D62,$B46)
+
sumifs('Form responses'!$AX$2:$AX62,'Form responses'!$C$2:$C62,"&gt;="&amp;$M$1,'Form responses'!$C$2:$C62,"&lt;="&amp;$P$1,'Form responses'!$D$2:$D62,$B46)
+
sumifs('Form responses'!$AY$2:$AY62,'Form responses'!$C$2:$C62,"&gt;="&amp;$M$1,'Form responses'!$C$2:$C62,"&lt;="&amp;$P$1,'Form responses'!$D$2:$D62,$B46)
)*Sum!$Q$35</f>
        <v>0</v>
      </c>
      <c r="L46" s="419">
        <f>(
sumifs('Form responses'!$BD$2:$BD62,'Form responses'!$C$2:$C62,"&gt;="&amp;$M$1,'Form responses'!$C$2:$C62,"&lt;="&amp;$P$1,'Form responses'!$D$2:$D62,$B46)
+
sumifs('Form responses'!$BE$2:$BE62,'Form responses'!$C$2:$C62,"&gt;="&amp;$M$1,'Form responses'!$C$2:$C62,"&lt;="&amp;$P$1,'Form responses'!$D$2:$D62,$B46)
)*Sum!$R$35</f>
        <v>0</v>
      </c>
      <c r="M46" s="419">
        <f>(
sumifs('Form responses'!$BF$2:$BF62,'Form responses'!$C$2:$C62,"&gt;="&amp;$M$1,'Form responses'!$C$2:$C62,"&lt;="&amp;$P$1,'Form responses'!$D$2:$D62,$B46)
+
sumifs('Form responses'!$BG$2:$BG62,'Form responses'!$C$2:$C62,"&gt;="&amp;$M$1,'Form responses'!$C$2:$C62,"&lt;="&amp;$P$1,'Form responses'!$D$2:$D62,$B46)
)*Sum!$S$35</f>
        <v>0</v>
      </c>
      <c r="N46" s="419">
        <f>sumifs('Form responses'!$BL$2:$BL62,'Form responses'!$C$2:$C62,"&gt;="&amp;$M$1,'Form responses'!$C$2:$C62,"&lt;="&amp;$P$1,'Form responses'!$D$2:$D62,$B46)
*Sum!$T$35</f>
        <v>0</v>
      </c>
      <c r="O46" s="419">
        <f t="shared" si="2"/>
        <v>0</v>
      </c>
      <c r="P46" s="419">
        <f>((sumifs('Form responses'!$BN$2:$BN62,'Form responses'!$C$2:$C62,"&gt;="&amp;$M$1,'Form responses'!$C$2:$C62,"&lt;="&amp;$P$1,'Form responses'!$D$2:$D62,$B46)+
sumifs('Form responses'!$BO$2:$BO62,'Form responses'!$C$2:$C62,"&gt;="&amp;$M$1,'Form responses'!$C$2:$C62,"&lt;="&amp;$P$1,'Form responses'!$D$2:$D62,$B46))*Sum!$U$35)</f>
        <v>0</v>
      </c>
      <c r="Q46" s="419">
        <f t="shared" si="3"/>
        <v>0</v>
      </c>
      <c r="R46" s="346">
        <f t="shared" si="4"/>
        <v>0</v>
      </c>
    </row>
    <row r="47" ht="27.75" customHeight="1">
      <c r="A47" s="417"/>
      <c r="B47" s="418" t="s">
        <v>645</v>
      </c>
      <c r="C47" s="419">
        <f>((sumifs('Form responses'!$G$2:$G62,'Form responses'!$C$2:$C62,"&gt;="&amp;$M$1,'Form responses'!$C$2:$C62,"&lt;="&amp;$P$1,'Form responses'!$D$2:$D62,$B47)
+sumifs('Form responses'!$H$2:$H62,'Form responses'!$C$2:$C62,"&gt;="&amp;$M$1,'Form responses'!$C$2:$C62,"&lt;="&amp;$P$1,'Form responses'!$D$2:$D62,$B47)
+sumifs('Form responses'!$I$2:$I62,'Form responses'!$C$2:$C62,"&gt;="&amp;$M$1,'Form responses'!$C$2:$C62,"&lt;="&amp;$P$1,'Form responses'!$D$2:$D62,$B47)
)*Sum!$B$35)</f>
        <v>0</v>
      </c>
      <c r="D47" s="420">
        <f>((sumifs('Form responses'!$J$2:$J62,'Form responses'!$C$2:$C62,"&gt;="&amp;$M$1,'Form responses'!$C$2:$C62,"&lt;="&amp;$P$1,'Form responses'!$D$2:$D62,$B47))*Sum!$C$35)</f>
        <v>0</v>
      </c>
      <c r="E47" s="419">
        <f>((
sumifs('Form responses'!$S$2:$S62,'Form responses'!$C$2:$C62,"&gt;="&amp;$M$1,'Form responses'!$C$2:$C62,"&lt;="&amp;$P$1,'Form responses'!$D$2:$D62,$B47)
+
sumifs('Form responses'!$T$2:$T62,'Form responses'!$C$2:$C62,"&gt;="&amp;$M$1,'Form responses'!$C$2:$C62,"&lt;="&amp;$P$1,'Form responses'!$D$2:$D62,$B47)
)*Sum!$E$35
)</f>
        <v>0</v>
      </c>
      <c r="F47" s="419">
        <f>sumifs('Form responses'!$U$2:$U62,'Form responses'!$C$2:$C62,"&gt;="&amp;$M$1,'Form responses'!$C$2:$C62,"&lt;="&amp;$P$1,'Form responses'!$D$2:$D62,$B47)
*Sum!$D$35</f>
        <v>0</v>
      </c>
      <c r="G47" s="421">
        <f>sumifs('Form responses'!$EQ$2:$EQ62,'Form responses'!$B$2:$B62,"&gt;="&amp;$M$1,'Form responses'!$C$2:$C62,"&lt;="&amp;$P$1,'Form responses'!$D$2:$D62,$B47)*Sum!$V$35+sumifs('Form responses'!$ER$2:$ER62,'Form responses'!$B$2:$B62,"&gt;="&amp;$M$1,'Form responses'!$C$2:$C62,"&lt;="&amp;$P$1,'Form responses'!$D$2:$D62,$B47)*Sum!$W$35+sumifs('Form responses'!$ES$2:$ES62,'Form responses'!$B$2:$B62,"&gt;="&amp;$M$1,'Form responses'!$C$2:$C62,"&lt;="&amp;$P$1,'Form responses'!$D$2:$D62,$B47)*Sum!$X$35+sumifs('Form responses'!$ET$2:$ET62,'Form responses'!$B$2:$B62,"&gt;="&amp;$M$1,'Form responses'!$C$2:$C62,"&lt;="&amp;$P$1,'Form responses'!$D$2:$D62,$B47)*Sum!$Y$35</f>
        <v>0</v>
      </c>
      <c r="H47" s="419">
        <f>((
sumifs('Form responses'!$V$2:$V62,'Form responses'!$C$2:$C62,"&gt;="&amp;$M$1,'Form responses'!$C$2:$C62,"&lt;="&amp;$P$1,'Form responses'!$D$2:$D62,$B47)
)*
Sum!$F$35
)+((
sumifs('Form responses'!$W$2:$W62,'Form responses'!$C$2:$C62,"&gt;="&amp;$M$1,'Form responses'!$C$2:$C62,"&lt;="&amp;$P$1,'Form responses'!$D$2:$D62,$B47)
)*
Sum!$G$35
)</f>
        <v>0</v>
      </c>
      <c r="I47" s="419">
        <f>((
sumifs('Form responses'!$X$2:$X62,'Form responses'!$C$2:$C62,"&gt;="&amp;$M$1,'Form responses'!$C$2:$C62,"&lt;="&amp;$P$1,'Form responses'!$D$2:$D62,$B47)
)*Sum!$H$35)+((
sumifs('Form responses'!$Y$2:$Y62,'Form responses'!$C$2:$C62,"&gt;="&amp;$M$1,'Form responses'!$C$2:$C62,"&lt;="&amp;$P$1,'Form responses'!$D$2:$D62,$B47)
)*Sum!$I$35)+((
sumifs('Form responses'!$Z$2:$Z62,'Form responses'!$C$2:$C62,"&gt;="&amp;$M$1,'Form responses'!$C$2:$C62,"&lt;="&amp;$P$1,'Form responses'!$D$2:$D62,$B47)
)*Sum!$Z$35)</f>
        <v>0</v>
      </c>
      <c r="J47" s="419">
        <f t="shared" si="1"/>
        <v>0</v>
      </c>
      <c r="K47" s="419">
        <f>(
sumifs('Form responses'!$AV$2:$AV62,'Form responses'!$C$2:$C62,"&gt;="&amp;$M$1,'Form responses'!$C$2:$C62,"&lt;="&amp;$P$1,'Form responses'!$D$2:$D62,$B47)
+
sumifs('Form responses'!$AW$2:$AW62,'Form responses'!$C$2:$C62,"&gt;="&amp;$M$1,'Form responses'!$C$2:$C62,"&lt;="&amp;$P$1,'Form responses'!$D$2:$D62,$B47)
+
sumifs('Form responses'!$AX$2:$AX62,'Form responses'!$C$2:$C62,"&gt;="&amp;$M$1,'Form responses'!$C$2:$C62,"&lt;="&amp;$P$1,'Form responses'!$D$2:$D62,$B47)
+
sumifs('Form responses'!$AY$2:$AY62,'Form responses'!$C$2:$C62,"&gt;="&amp;$M$1,'Form responses'!$C$2:$C62,"&lt;="&amp;$P$1,'Form responses'!$D$2:$D62,$B47)
)*Sum!$Q$35</f>
        <v>0</v>
      </c>
      <c r="L47" s="419">
        <f>(
sumifs('Form responses'!$BD$2:$BD62,'Form responses'!$C$2:$C62,"&gt;="&amp;$M$1,'Form responses'!$C$2:$C62,"&lt;="&amp;$P$1,'Form responses'!$D$2:$D62,$B47)
+
sumifs('Form responses'!$BE$2:$BE62,'Form responses'!$C$2:$C62,"&gt;="&amp;$M$1,'Form responses'!$C$2:$C62,"&lt;="&amp;$P$1,'Form responses'!$D$2:$D62,$B47)
)*Sum!$R$35</f>
        <v>0</v>
      </c>
      <c r="M47" s="419">
        <f>(
sumifs('Form responses'!$BF$2:$BF62,'Form responses'!$C$2:$C62,"&gt;="&amp;$M$1,'Form responses'!$C$2:$C62,"&lt;="&amp;$P$1,'Form responses'!$D$2:$D62,$B47)
+
sumifs('Form responses'!$BG$2:$BG62,'Form responses'!$C$2:$C62,"&gt;="&amp;$M$1,'Form responses'!$C$2:$C62,"&lt;="&amp;$P$1,'Form responses'!$D$2:$D62,$B47)
)*Sum!$S$35</f>
        <v>0</v>
      </c>
      <c r="N47" s="419">
        <f>sumifs('Form responses'!$BL$2:$BL62,'Form responses'!$C$2:$C62,"&gt;="&amp;$M$1,'Form responses'!$C$2:$C62,"&lt;="&amp;$P$1,'Form responses'!$D$2:$D62,$B47)
*Sum!$T$35</f>
        <v>0</v>
      </c>
      <c r="O47" s="419">
        <f t="shared" si="2"/>
        <v>0</v>
      </c>
      <c r="P47" s="419">
        <f>((sumifs('Form responses'!$BN$2:$BN62,'Form responses'!$C$2:$C62,"&gt;="&amp;$M$1,'Form responses'!$C$2:$C62,"&lt;="&amp;$P$1,'Form responses'!$D$2:$D62,$B47)+
sumifs('Form responses'!$BO$2:$BO62,'Form responses'!$C$2:$C62,"&gt;="&amp;$M$1,'Form responses'!$C$2:$C62,"&lt;="&amp;$P$1,'Form responses'!$D$2:$D62,$B47))*Sum!$U$35)</f>
        <v>0</v>
      </c>
      <c r="Q47" s="419">
        <f t="shared" si="3"/>
        <v>0</v>
      </c>
      <c r="R47" s="346">
        <f t="shared" si="4"/>
        <v>0</v>
      </c>
    </row>
    <row r="48" ht="27.75" customHeight="1">
      <c r="A48" s="424">
        <v>12.0</v>
      </c>
      <c r="B48" s="418" t="s">
        <v>646</v>
      </c>
      <c r="C48" s="419">
        <f>((sumifs('Form responses'!$G$2:$G62,'Form responses'!$C$2:$C62,"&gt;="&amp;$M$1,'Form responses'!$C$2:$C62,"&lt;="&amp;$P$1,'Form responses'!$D$2:$D62,$B48)
+sumifs('Form responses'!$H$2:$H62,'Form responses'!$C$2:$C62,"&gt;="&amp;$M$1,'Form responses'!$C$2:$C62,"&lt;="&amp;$P$1,'Form responses'!$D$2:$D62,$B48)
+sumifs('Form responses'!$I$2:$I62,'Form responses'!$C$2:$C62,"&gt;="&amp;$M$1,'Form responses'!$C$2:$C62,"&lt;="&amp;$P$1,'Form responses'!$D$2:$D62,$B48)
)*Sum!$B$35)</f>
        <v>0</v>
      </c>
      <c r="D48" s="420">
        <f>((sumifs('Form responses'!$J$2:$J62,'Form responses'!$C$2:$C62,"&gt;="&amp;$M$1,'Form responses'!$C$2:$C62,"&lt;="&amp;$P$1,'Form responses'!$D$2:$D62,$B48))*Sum!$C$35)</f>
        <v>0</v>
      </c>
      <c r="E48" s="419">
        <f>((
sumifs('Form responses'!$S$2:$S62,'Form responses'!$C$2:$C62,"&gt;="&amp;$M$1,'Form responses'!$C$2:$C62,"&lt;="&amp;$P$1,'Form responses'!$D$2:$D62,$B48)
+
sumifs('Form responses'!$T$2:$T62,'Form responses'!$C$2:$C62,"&gt;="&amp;$M$1,'Form responses'!$C$2:$C62,"&lt;="&amp;$P$1,'Form responses'!$D$2:$D62,$B48)
)*Sum!$E$35
)</f>
        <v>0</v>
      </c>
      <c r="F48" s="419">
        <f>sumifs('Form responses'!$U$2:$U62,'Form responses'!$C$2:$C62,"&gt;="&amp;$M$1,'Form responses'!$C$2:$C62,"&lt;="&amp;$P$1,'Form responses'!$D$2:$D62,$B48)
*Sum!$D$35</f>
        <v>0</v>
      </c>
      <c r="G48" s="421">
        <f>sumifs('Form responses'!$EQ$2:$EQ62,'Form responses'!$B$2:$B62,"&gt;="&amp;$M$1,'Form responses'!$C$2:$C62,"&lt;="&amp;$P$1,'Form responses'!$D$2:$D62,$B48)*Sum!$V$35+sumifs('Form responses'!$ER$2:$ER62,'Form responses'!$B$2:$B62,"&gt;="&amp;$M$1,'Form responses'!$C$2:$C62,"&lt;="&amp;$P$1,'Form responses'!$D$2:$D62,$B48)*Sum!$W$35+sumifs('Form responses'!$ES$2:$ES62,'Form responses'!$B$2:$B62,"&gt;="&amp;$M$1,'Form responses'!$C$2:$C62,"&lt;="&amp;$P$1,'Form responses'!$D$2:$D62,$B48)*Sum!$X$35+sumifs('Form responses'!$ET$2:$ET62,'Form responses'!$B$2:$B62,"&gt;="&amp;$M$1,'Form responses'!$C$2:$C62,"&lt;="&amp;$P$1,'Form responses'!$D$2:$D62,$B48)*Sum!$Y$35</f>
        <v>0</v>
      </c>
      <c r="H48" s="419">
        <f>((
sumifs('Form responses'!$V$2:$V62,'Form responses'!$C$2:$C62,"&gt;="&amp;$M$1,'Form responses'!$C$2:$C62,"&lt;="&amp;$P$1,'Form responses'!$D$2:$D62,$B48)
)*
Sum!$F$35
)+((
sumifs('Form responses'!$W$2:$W62,'Form responses'!$C$2:$C62,"&gt;="&amp;$M$1,'Form responses'!$C$2:$C62,"&lt;="&amp;$P$1,'Form responses'!$D$2:$D62,$B48)
)*
Sum!$G$35
)</f>
        <v>0</v>
      </c>
      <c r="I48" s="419">
        <f>((
sumifs('Form responses'!$X$2:$X62,'Form responses'!$C$2:$C62,"&gt;="&amp;$M$1,'Form responses'!$C$2:$C62,"&lt;="&amp;$P$1,'Form responses'!$D$2:$D62,$B48)
)*Sum!$H$35)+((
sumifs('Form responses'!$Y$2:$Y62,'Form responses'!$C$2:$C62,"&gt;="&amp;$M$1,'Form responses'!$C$2:$C62,"&lt;="&amp;$P$1,'Form responses'!$D$2:$D62,$B48)
)*Sum!$I$35)+((
sumifs('Form responses'!$Z$2:$Z62,'Form responses'!$C$2:$C62,"&gt;="&amp;$M$1,'Form responses'!$C$2:$C62,"&lt;="&amp;$P$1,'Form responses'!$D$2:$D62,$B48)
)*Sum!$Z$35)</f>
        <v>0</v>
      </c>
      <c r="J48" s="419">
        <f t="shared" si="1"/>
        <v>0</v>
      </c>
      <c r="K48" s="419">
        <f>(
sumifs('Form responses'!$AV$2:$AV62,'Form responses'!$C$2:$C62,"&gt;="&amp;$M$1,'Form responses'!$C$2:$C62,"&lt;="&amp;$P$1,'Form responses'!$D$2:$D62,$B48)
+
sumifs('Form responses'!$AW$2:$AW62,'Form responses'!$C$2:$C62,"&gt;="&amp;$M$1,'Form responses'!$C$2:$C62,"&lt;="&amp;$P$1,'Form responses'!$D$2:$D62,$B48)
+
sumifs('Form responses'!$AX$2:$AX62,'Form responses'!$C$2:$C62,"&gt;="&amp;$M$1,'Form responses'!$C$2:$C62,"&lt;="&amp;$P$1,'Form responses'!$D$2:$D62,$B48)
+
sumifs('Form responses'!$AY$2:$AY62,'Form responses'!$C$2:$C62,"&gt;="&amp;$M$1,'Form responses'!$C$2:$C62,"&lt;="&amp;$P$1,'Form responses'!$D$2:$D62,$B48)
)*Sum!$Q$35</f>
        <v>0</v>
      </c>
      <c r="L48" s="419">
        <f>(
sumifs('Form responses'!$BD$2:$BD62,'Form responses'!$C$2:$C62,"&gt;="&amp;$M$1,'Form responses'!$C$2:$C62,"&lt;="&amp;$P$1,'Form responses'!$D$2:$D62,$B48)
+
sumifs('Form responses'!$BE$2:$BE62,'Form responses'!$C$2:$C62,"&gt;="&amp;$M$1,'Form responses'!$C$2:$C62,"&lt;="&amp;$P$1,'Form responses'!$D$2:$D62,$B48)
)*Sum!$R$35</f>
        <v>0</v>
      </c>
      <c r="M48" s="419">
        <f>(
sumifs('Form responses'!$BF$2:$BF62,'Form responses'!$C$2:$C62,"&gt;="&amp;$M$1,'Form responses'!$C$2:$C62,"&lt;="&amp;$P$1,'Form responses'!$D$2:$D62,$B48)
+
sumifs('Form responses'!$BG$2:$BG62,'Form responses'!$C$2:$C62,"&gt;="&amp;$M$1,'Form responses'!$C$2:$C62,"&lt;="&amp;$P$1,'Form responses'!$D$2:$D62,$B48)
)*Sum!$S$35</f>
        <v>0</v>
      </c>
      <c r="N48" s="419">
        <f>sumifs('Form responses'!$BL$2:$BL62,'Form responses'!$C$2:$C62,"&gt;="&amp;$M$1,'Form responses'!$C$2:$C62,"&lt;="&amp;$P$1,'Form responses'!$D$2:$D62,$B48)
*Sum!$T$35</f>
        <v>0</v>
      </c>
      <c r="O48" s="419">
        <f t="shared" si="2"/>
        <v>0</v>
      </c>
      <c r="P48" s="419">
        <f>((sumifs('Form responses'!$BN$2:$BN62,'Form responses'!$C$2:$C62,"&gt;="&amp;$M$1,'Form responses'!$C$2:$C62,"&lt;="&amp;$P$1,'Form responses'!$D$2:$D62,$B48)+
sumifs('Form responses'!$BO$2:$BO62,'Form responses'!$C$2:$C62,"&gt;="&amp;$M$1,'Form responses'!$C$2:$C62,"&lt;="&amp;$P$1,'Form responses'!$D$2:$D62,$B48))*Sum!$U$35)</f>
        <v>0</v>
      </c>
      <c r="Q48" s="419">
        <f t="shared" si="3"/>
        <v>0</v>
      </c>
      <c r="R48" s="346">
        <f t="shared" si="4"/>
        <v>0</v>
      </c>
    </row>
    <row r="49" ht="27.75" customHeight="1">
      <c r="A49" s="424">
        <v>13.0</v>
      </c>
      <c r="B49" s="418" t="s">
        <v>647</v>
      </c>
      <c r="C49" s="419">
        <f>((sumifs('Form responses'!$G$2:$G62,'Form responses'!$C$2:$C62,"&gt;="&amp;$M$1,'Form responses'!$C$2:$C62,"&lt;="&amp;$P$1,'Form responses'!$D$2:$D62,$B49)
+sumifs('Form responses'!$H$2:$H62,'Form responses'!$C$2:$C62,"&gt;="&amp;$M$1,'Form responses'!$C$2:$C62,"&lt;="&amp;$P$1,'Form responses'!$D$2:$D62,$B49)
+sumifs('Form responses'!$I$2:$I62,'Form responses'!$C$2:$C62,"&gt;="&amp;$M$1,'Form responses'!$C$2:$C62,"&lt;="&amp;$P$1,'Form responses'!$D$2:$D62,$B49)
)*Sum!$B$35)</f>
        <v>0</v>
      </c>
      <c r="D49" s="420">
        <f>((sumifs('Form responses'!$J$2:$J62,'Form responses'!$C$2:$C62,"&gt;="&amp;$M$1,'Form responses'!$C$2:$C62,"&lt;="&amp;$P$1,'Form responses'!$D$2:$D62,$B49))*Sum!$C$35)</f>
        <v>0</v>
      </c>
      <c r="E49" s="419">
        <f>((
sumifs('Form responses'!$S$2:$S62,'Form responses'!$C$2:$C62,"&gt;="&amp;$M$1,'Form responses'!$C$2:$C62,"&lt;="&amp;$P$1,'Form responses'!$D$2:$D62,$B49)
+
sumifs('Form responses'!$T$2:$T62,'Form responses'!$C$2:$C62,"&gt;="&amp;$M$1,'Form responses'!$C$2:$C62,"&lt;="&amp;$P$1,'Form responses'!$D$2:$D62,$B49)
)*Sum!$E$35
)</f>
        <v>0</v>
      </c>
      <c r="F49" s="419">
        <f>sumifs('Form responses'!$U$2:$U62,'Form responses'!$C$2:$C62,"&gt;="&amp;$M$1,'Form responses'!$C$2:$C62,"&lt;="&amp;$P$1,'Form responses'!$D$2:$D62,$B49)
*Sum!$D$35</f>
        <v>0</v>
      </c>
      <c r="G49" s="421">
        <f>sumifs('Form responses'!$EQ$2:$EQ62,'Form responses'!$B$2:$B62,"&gt;="&amp;$M$1,'Form responses'!$C$2:$C62,"&lt;="&amp;$P$1,'Form responses'!$D$2:$D62,$B49)*Sum!$V$35+sumifs('Form responses'!$ER$2:$ER62,'Form responses'!$B$2:$B62,"&gt;="&amp;$M$1,'Form responses'!$C$2:$C62,"&lt;="&amp;$P$1,'Form responses'!$D$2:$D62,$B49)*Sum!$W$35+sumifs('Form responses'!$ES$2:$ES62,'Form responses'!$B$2:$B62,"&gt;="&amp;$M$1,'Form responses'!$C$2:$C62,"&lt;="&amp;$P$1,'Form responses'!$D$2:$D62,$B49)*Sum!$X$35+sumifs('Form responses'!$ET$2:$ET62,'Form responses'!$B$2:$B62,"&gt;="&amp;$M$1,'Form responses'!$C$2:$C62,"&lt;="&amp;$P$1,'Form responses'!$D$2:$D62,$B49)*Sum!$Y$35</f>
        <v>0</v>
      </c>
      <c r="H49" s="419">
        <f>((
sumifs('Form responses'!$V$2:$V62,'Form responses'!$C$2:$C62,"&gt;="&amp;$M$1,'Form responses'!$C$2:$C62,"&lt;="&amp;$P$1,'Form responses'!$D$2:$D62,$B49)
)*
Sum!$F$35
)+((
sumifs('Form responses'!$W$2:$W62,'Form responses'!$C$2:$C62,"&gt;="&amp;$M$1,'Form responses'!$C$2:$C62,"&lt;="&amp;$P$1,'Form responses'!$D$2:$D62,$B49)
)*
Sum!$G$35
)</f>
        <v>0</v>
      </c>
      <c r="I49" s="419">
        <f>((
sumifs('Form responses'!$X$2:$X62,'Form responses'!$C$2:$C62,"&gt;="&amp;$M$1,'Form responses'!$C$2:$C62,"&lt;="&amp;$P$1,'Form responses'!$D$2:$D62,$B49)
)*Sum!$H$35)+((
sumifs('Form responses'!$Y$2:$Y62,'Form responses'!$C$2:$C62,"&gt;="&amp;$M$1,'Form responses'!$C$2:$C62,"&lt;="&amp;$P$1,'Form responses'!$D$2:$D62,$B49)
)*Sum!$I$35)+((
sumifs('Form responses'!$Z$2:$Z62,'Form responses'!$C$2:$C62,"&gt;="&amp;$M$1,'Form responses'!$C$2:$C62,"&lt;="&amp;$P$1,'Form responses'!$D$2:$D62,$B49)
)*Sum!$Z$35)</f>
        <v>0</v>
      </c>
      <c r="J49" s="419">
        <f t="shared" si="1"/>
        <v>0</v>
      </c>
      <c r="K49" s="419">
        <f>(
sumifs('Form responses'!$AV$2:$AV62,'Form responses'!$C$2:$C62,"&gt;="&amp;$M$1,'Form responses'!$C$2:$C62,"&lt;="&amp;$P$1,'Form responses'!$D$2:$D62,$B49)
+
sumifs('Form responses'!$AW$2:$AW62,'Form responses'!$C$2:$C62,"&gt;="&amp;$M$1,'Form responses'!$C$2:$C62,"&lt;="&amp;$P$1,'Form responses'!$D$2:$D62,$B49)
+
sumifs('Form responses'!$AX$2:$AX62,'Form responses'!$C$2:$C62,"&gt;="&amp;$M$1,'Form responses'!$C$2:$C62,"&lt;="&amp;$P$1,'Form responses'!$D$2:$D62,$B49)
+
sumifs('Form responses'!$AY$2:$AY62,'Form responses'!$C$2:$C62,"&gt;="&amp;$M$1,'Form responses'!$C$2:$C62,"&lt;="&amp;$P$1,'Form responses'!$D$2:$D62,$B49)
)*Sum!$Q$35</f>
        <v>0</v>
      </c>
      <c r="L49" s="419">
        <f>(
sumifs('Form responses'!$BD$2:$BD62,'Form responses'!$C$2:$C62,"&gt;="&amp;$M$1,'Form responses'!$C$2:$C62,"&lt;="&amp;$P$1,'Form responses'!$D$2:$D62,$B49)
+
sumifs('Form responses'!$BE$2:$BE62,'Form responses'!$C$2:$C62,"&gt;="&amp;$M$1,'Form responses'!$C$2:$C62,"&lt;="&amp;$P$1,'Form responses'!$D$2:$D62,$B49)
)*Sum!$R$35</f>
        <v>0</v>
      </c>
      <c r="M49" s="419">
        <f>(
sumifs('Form responses'!$BF$2:$BF62,'Form responses'!$C$2:$C62,"&gt;="&amp;$M$1,'Form responses'!$C$2:$C62,"&lt;="&amp;$P$1,'Form responses'!$D$2:$D62,$B49)
+
sumifs('Form responses'!$BG$2:$BG62,'Form responses'!$C$2:$C62,"&gt;="&amp;$M$1,'Form responses'!$C$2:$C62,"&lt;="&amp;$P$1,'Form responses'!$D$2:$D62,$B49)
)*Sum!$S$35</f>
        <v>0</v>
      </c>
      <c r="N49" s="419">
        <f>sumifs('Form responses'!$BL$2:$BL62,'Form responses'!$C$2:$C62,"&gt;="&amp;$M$1,'Form responses'!$C$2:$C62,"&lt;="&amp;$P$1,'Form responses'!$D$2:$D62,$B49)
*Sum!$T$35</f>
        <v>0</v>
      </c>
      <c r="O49" s="419">
        <f t="shared" si="2"/>
        <v>0</v>
      </c>
      <c r="P49" s="419">
        <f>((sumifs('Form responses'!$BN$2:$BN62,'Form responses'!$C$2:$C62,"&gt;="&amp;$M$1,'Form responses'!$C$2:$C62,"&lt;="&amp;$P$1,'Form responses'!$D$2:$D62,$B49)+
sumifs('Form responses'!$BO$2:$BO62,'Form responses'!$C$2:$C62,"&gt;="&amp;$M$1,'Form responses'!$C$2:$C62,"&lt;="&amp;$P$1,'Form responses'!$D$2:$D62,$B49))*Sum!$U$35)</f>
        <v>0</v>
      </c>
      <c r="Q49" s="419">
        <f t="shared" si="3"/>
        <v>0</v>
      </c>
      <c r="R49" s="346">
        <f t="shared" si="4"/>
        <v>0</v>
      </c>
    </row>
    <row r="50" ht="27.75" customHeight="1">
      <c r="A50" s="424">
        <v>14.0</v>
      </c>
      <c r="B50" s="423" t="s">
        <v>648</v>
      </c>
      <c r="C50" s="419">
        <f>((sumifs('Form responses'!$G$2:$G62,'Form responses'!$C$2:$C62,"&gt;="&amp;$M$1,'Form responses'!$C$2:$C62,"&lt;="&amp;$P$1,'Form responses'!$D$2:$D62,$B50)
+sumifs('Form responses'!$H$2:$H62,'Form responses'!$C$2:$C62,"&gt;="&amp;$M$1,'Form responses'!$C$2:$C62,"&lt;="&amp;$P$1,'Form responses'!$D$2:$D62,$B50)
+sumifs('Form responses'!$I$2:$I62,'Form responses'!$C$2:$C62,"&gt;="&amp;$M$1,'Form responses'!$C$2:$C62,"&lt;="&amp;$P$1,'Form responses'!$D$2:$D62,$B50)
)*Sum!$B$35)</f>
        <v>0</v>
      </c>
      <c r="D50" s="420">
        <f>((sumifs('Form responses'!$J$2:$J62,'Form responses'!$C$2:$C62,"&gt;="&amp;$M$1,'Form responses'!$C$2:$C62,"&lt;="&amp;$P$1,'Form responses'!$D$2:$D62,$B50))*Sum!$C$35)</f>
        <v>0</v>
      </c>
      <c r="E50" s="419">
        <f>((
sumifs('Form responses'!$S$2:$S62,'Form responses'!$C$2:$C62,"&gt;="&amp;$M$1,'Form responses'!$C$2:$C62,"&lt;="&amp;$P$1,'Form responses'!$D$2:$D62,$B50)
+
sumifs('Form responses'!$T$2:$T62,'Form responses'!$C$2:$C62,"&gt;="&amp;$M$1,'Form responses'!$C$2:$C62,"&lt;="&amp;$P$1,'Form responses'!$D$2:$D62,$B50)
)*Sum!$E$35
)</f>
        <v>0</v>
      </c>
      <c r="F50" s="419">
        <f>sumifs('Form responses'!$U$2:$U62,'Form responses'!$C$2:$C62,"&gt;="&amp;$M$1,'Form responses'!$C$2:$C62,"&lt;="&amp;$P$1,'Form responses'!$D$2:$D62,$B50)
*Sum!$D$35</f>
        <v>0</v>
      </c>
      <c r="G50" s="421">
        <f>sumifs('Form responses'!$EQ$2:$EQ62,'Form responses'!$B$2:$B62,"&gt;="&amp;$M$1,'Form responses'!$C$2:$C62,"&lt;="&amp;$P$1,'Form responses'!$D$2:$D62,$B50)*Sum!$V$35+sumifs('Form responses'!$ER$2:$ER62,'Form responses'!$B$2:$B62,"&gt;="&amp;$M$1,'Form responses'!$C$2:$C62,"&lt;="&amp;$P$1,'Form responses'!$D$2:$D62,$B50)*Sum!$W$35+sumifs('Form responses'!$ES$2:$ES62,'Form responses'!$B$2:$B62,"&gt;="&amp;$M$1,'Form responses'!$C$2:$C62,"&lt;="&amp;$P$1,'Form responses'!$D$2:$D62,$B50)*Sum!$X$35+sumifs('Form responses'!$ET$2:$ET62,'Form responses'!$B$2:$B62,"&gt;="&amp;$M$1,'Form responses'!$C$2:$C62,"&lt;="&amp;$P$1,'Form responses'!$D$2:$D62,$B50)*Sum!$Y$35</f>
        <v>0</v>
      </c>
      <c r="H50" s="419">
        <f>((
sumifs('Form responses'!$V$2:$V62,'Form responses'!$C$2:$C62,"&gt;="&amp;$M$1,'Form responses'!$C$2:$C62,"&lt;="&amp;$P$1,'Form responses'!$D$2:$D62,$B50)
)*
Sum!$F$35
)+((
sumifs('Form responses'!$W$2:$W62,'Form responses'!$C$2:$C62,"&gt;="&amp;$M$1,'Form responses'!$C$2:$C62,"&lt;="&amp;$P$1,'Form responses'!$D$2:$D62,$B50)
)*
Sum!$G$35
)</f>
        <v>0</v>
      </c>
      <c r="I50" s="419">
        <f>((
sumifs('Form responses'!$X$2:$X62,'Form responses'!$C$2:$C62,"&gt;="&amp;$M$1,'Form responses'!$C$2:$C62,"&lt;="&amp;$P$1,'Form responses'!$D$2:$D62,$B50)
)*Sum!$H$35)+((
sumifs('Form responses'!$Y$2:$Y62,'Form responses'!$C$2:$C62,"&gt;="&amp;$M$1,'Form responses'!$C$2:$C62,"&lt;="&amp;$P$1,'Form responses'!$D$2:$D62,$B50)
)*Sum!$I$35)+((
sumifs('Form responses'!$Z$2:$Z62,'Form responses'!$C$2:$C62,"&gt;="&amp;$M$1,'Form responses'!$C$2:$C62,"&lt;="&amp;$P$1,'Form responses'!$D$2:$D62,$B50)
)*Sum!$Z$35)</f>
        <v>0</v>
      </c>
      <c r="J50" s="419">
        <f t="shared" si="1"/>
        <v>0</v>
      </c>
      <c r="K50" s="419">
        <f>(
sumifs('Form responses'!$AV$2:$AV62,'Form responses'!$C$2:$C62,"&gt;="&amp;$M$1,'Form responses'!$C$2:$C62,"&lt;="&amp;$P$1,'Form responses'!$D$2:$D62,$B50)
+
sumifs('Form responses'!$AW$2:$AW62,'Form responses'!$C$2:$C62,"&gt;="&amp;$M$1,'Form responses'!$C$2:$C62,"&lt;="&amp;$P$1,'Form responses'!$D$2:$D62,$B50)
+
sumifs('Form responses'!$AX$2:$AX62,'Form responses'!$C$2:$C62,"&gt;="&amp;$M$1,'Form responses'!$C$2:$C62,"&lt;="&amp;$P$1,'Form responses'!$D$2:$D62,$B50)
+
sumifs('Form responses'!$AY$2:$AY62,'Form responses'!$C$2:$C62,"&gt;="&amp;$M$1,'Form responses'!$C$2:$C62,"&lt;="&amp;$P$1,'Form responses'!$D$2:$D62,$B50)
)*Sum!$Q$35</f>
        <v>0</v>
      </c>
      <c r="L50" s="419">
        <f>(
sumifs('Form responses'!$BD$2:$BD62,'Form responses'!$C$2:$C62,"&gt;="&amp;$M$1,'Form responses'!$C$2:$C62,"&lt;="&amp;$P$1,'Form responses'!$D$2:$D62,$B50)
+
sumifs('Form responses'!$BE$2:$BE62,'Form responses'!$C$2:$C62,"&gt;="&amp;$M$1,'Form responses'!$C$2:$C62,"&lt;="&amp;$P$1,'Form responses'!$D$2:$D62,$B50)
)*Sum!$R$35</f>
        <v>0</v>
      </c>
      <c r="M50" s="419">
        <f>(
sumifs('Form responses'!$BF$2:$BF62,'Form responses'!$C$2:$C62,"&gt;="&amp;$M$1,'Form responses'!$C$2:$C62,"&lt;="&amp;$P$1,'Form responses'!$D$2:$D62,$B50)
+
sumifs('Form responses'!$BG$2:$BG62,'Form responses'!$C$2:$C62,"&gt;="&amp;$M$1,'Form responses'!$C$2:$C62,"&lt;="&amp;$P$1,'Form responses'!$D$2:$D62,$B50)
)*Sum!$S$35</f>
        <v>0</v>
      </c>
      <c r="N50" s="419">
        <f>sumifs('Form responses'!$BL$2:$BL62,'Form responses'!$C$2:$C62,"&gt;="&amp;$M$1,'Form responses'!$C$2:$C62,"&lt;="&amp;$P$1,'Form responses'!$D$2:$D62,$B50)
*Sum!$T$35</f>
        <v>0</v>
      </c>
      <c r="O50" s="419">
        <f t="shared" si="2"/>
        <v>0</v>
      </c>
      <c r="P50" s="419">
        <f>((sumifs('Form responses'!$BN$2:$BN62,'Form responses'!$C$2:$C62,"&gt;="&amp;$M$1,'Form responses'!$C$2:$C62,"&lt;="&amp;$P$1,'Form responses'!$D$2:$D62,$B50)+
sumifs('Form responses'!$BO$2:$BO62,'Form responses'!$C$2:$C62,"&gt;="&amp;$M$1,'Form responses'!$C$2:$C62,"&lt;="&amp;$P$1,'Form responses'!$D$2:$D62,$B50))*Sum!$U$35)</f>
        <v>0</v>
      </c>
      <c r="Q50" s="419">
        <f t="shared" si="3"/>
        <v>0</v>
      </c>
      <c r="R50" s="346">
        <f t="shared" si="4"/>
        <v>0</v>
      </c>
    </row>
    <row r="51" ht="27.75" customHeight="1">
      <c r="A51" s="424">
        <v>15.0</v>
      </c>
      <c r="B51" s="418" t="s">
        <v>649</v>
      </c>
      <c r="C51" s="419">
        <f>((sumifs('Form responses'!$G$2:$G62,'Form responses'!$C$2:$C62,"&gt;="&amp;$M$1,'Form responses'!$C$2:$C62,"&lt;="&amp;$P$1,'Form responses'!$D$2:$D62,$B51)
+sumifs('Form responses'!$H$2:$H62,'Form responses'!$C$2:$C62,"&gt;="&amp;$M$1,'Form responses'!$C$2:$C62,"&lt;="&amp;$P$1,'Form responses'!$D$2:$D62,$B51)
+sumifs('Form responses'!$I$2:$I62,'Form responses'!$C$2:$C62,"&gt;="&amp;$M$1,'Form responses'!$C$2:$C62,"&lt;="&amp;$P$1,'Form responses'!$D$2:$D62,$B51)
)*Sum!$B$35)</f>
        <v>0</v>
      </c>
      <c r="D51" s="420">
        <f>((sumifs('Form responses'!$J$2:$J62,'Form responses'!$C$2:$C62,"&gt;="&amp;$M$1,'Form responses'!$C$2:$C62,"&lt;="&amp;$P$1,'Form responses'!$D$2:$D62,$B51))*Sum!$C$35)</f>
        <v>0</v>
      </c>
      <c r="E51" s="419">
        <f>((
sumifs('Form responses'!$S$2:$S62,'Form responses'!$C$2:$C62,"&gt;="&amp;$M$1,'Form responses'!$C$2:$C62,"&lt;="&amp;$P$1,'Form responses'!$D$2:$D62,$B51)
+
sumifs('Form responses'!$T$2:$T62,'Form responses'!$C$2:$C62,"&gt;="&amp;$M$1,'Form responses'!$C$2:$C62,"&lt;="&amp;$P$1,'Form responses'!$D$2:$D62,$B51)
)*Sum!$E$35
)</f>
        <v>0</v>
      </c>
      <c r="F51" s="419">
        <f>sumifs('Form responses'!$U$2:$U62,'Form responses'!$C$2:$C62,"&gt;="&amp;$M$1,'Form responses'!$C$2:$C62,"&lt;="&amp;$P$1,'Form responses'!$D$2:$D62,$B51)
*Sum!$D$35</f>
        <v>0</v>
      </c>
      <c r="G51" s="421">
        <f>sumifs('Form responses'!$EQ$2:$EQ62,'Form responses'!$B$2:$B62,"&gt;="&amp;$M$1,'Form responses'!$C$2:$C62,"&lt;="&amp;$P$1,'Form responses'!$D$2:$D62,$B51)*Sum!$V$35+sumifs('Form responses'!$ER$2:$ER62,'Form responses'!$B$2:$B62,"&gt;="&amp;$M$1,'Form responses'!$C$2:$C62,"&lt;="&amp;$P$1,'Form responses'!$D$2:$D62,$B51)*Sum!$W$35+sumifs('Form responses'!$ES$2:$ES62,'Form responses'!$B$2:$B62,"&gt;="&amp;$M$1,'Form responses'!$C$2:$C62,"&lt;="&amp;$P$1,'Form responses'!$D$2:$D62,$B51)*Sum!$X$35+sumifs('Form responses'!$ET$2:$ET62,'Form responses'!$B$2:$B62,"&gt;="&amp;$M$1,'Form responses'!$C$2:$C62,"&lt;="&amp;$P$1,'Form responses'!$D$2:$D62,$B51)*Sum!$Y$35</f>
        <v>0</v>
      </c>
      <c r="H51" s="419">
        <f>((
sumifs('Form responses'!$V$2:$V62,'Form responses'!$C$2:$C62,"&gt;="&amp;$M$1,'Form responses'!$C$2:$C62,"&lt;="&amp;$P$1,'Form responses'!$D$2:$D62,$B51)
)*
Sum!$F$35
)+((
sumifs('Form responses'!$W$2:$W62,'Form responses'!$C$2:$C62,"&gt;="&amp;$M$1,'Form responses'!$C$2:$C62,"&lt;="&amp;$P$1,'Form responses'!$D$2:$D62,$B51)
)*
Sum!$G$35
)</f>
        <v>0</v>
      </c>
      <c r="I51" s="419">
        <f>((
sumifs('Form responses'!$X$2:$X62,'Form responses'!$C$2:$C62,"&gt;="&amp;$M$1,'Form responses'!$C$2:$C62,"&lt;="&amp;$P$1,'Form responses'!$D$2:$D62,$B51)
)*Sum!$H$35)+((
sumifs('Form responses'!$Y$2:$Y62,'Form responses'!$C$2:$C62,"&gt;="&amp;$M$1,'Form responses'!$C$2:$C62,"&lt;="&amp;$P$1,'Form responses'!$D$2:$D62,$B51)
)*Sum!$I$35)+((
sumifs('Form responses'!$Z$2:$Z62,'Form responses'!$C$2:$C62,"&gt;="&amp;$M$1,'Form responses'!$C$2:$C62,"&lt;="&amp;$P$1,'Form responses'!$D$2:$D62,$B51)
)*Sum!$Z$35)</f>
        <v>0</v>
      </c>
      <c r="J51" s="419">
        <f t="shared" si="1"/>
        <v>0</v>
      </c>
      <c r="K51" s="419">
        <f>(
sumifs('Form responses'!$AV$2:$AV62,'Form responses'!$C$2:$C62,"&gt;="&amp;$M$1,'Form responses'!$C$2:$C62,"&lt;="&amp;$P$1,'Form responses'!$D$2:$D62,$B51)
+
sumifs('Form responses'!$AW$2:$AW62,'Form responses'!$C$2:$C62,"&gt;="&amp;$M$1,'Form responses'!$C$2:$C62,"&lt;="&amp;$P$1,'Form responses'!$D$2:$D62,$B51)
+
sumifs('Form responses'!$AX$2:$AX62,'Form responses'!$C$2:$C62,"&gt;="&amp;$M$1,'Form responses'!$C$2:$C62,"&lt;="&amp;$P$1,'Form responses'!$D$2:$D62,$B51)
+
sumifs('Form responses'!$AY$2:$AY62,'Form responses'!$C$2:$C62,"&gt;="&amp;$M$1,'Form responses'!$C$2:$C62,"&lt;="&amp;$P$1,'Form responses'!$D$2:$D62,$B51)
)*Sum!$Q$35</f>
        <v>0</v>
      </c>
      <c r="L51" s="419">
        <f>(
sumifs('Form responses'!$BD$2:$BD62,'Form responses'!$C$2:$C62,"&gt;="&amp;$M$1,'Form responses'!$C$2:$C62,"&lt;="&amp;$P$1,'Form responses'!$D$2:$D62,$B51)
+
sumifs('Form responses'!$BE$2:$BE62,'Form responses'!$C$2:$C62,"&gt;="&amp;$M$1,'Form responses'!$C$2:$C62,"&lt;="&amp;$P$1,'Form responses'!$D$2:$D62,$B51)
)*Sum!$R$35</f>
        <v>0</v>
      </c>
      <c r="M51" s="419">
        <f>(
sumifs('Form responses'!$BF$2:$BF62,'Form responses'!$C$2:$C62,"&gt;="&amp;$M$1,'Form responses'!$C$2:$C62,"&lt;="&amp;$P$1,'Form responses'!$D$2:$D62,$B51)
+
sumifs('Form responses'!$BG$2:$BG62,'Form responses'!$C$2:$C62,"&gt;="&amp;$M$1,'Form responses'!$C$2:$C62,"&lt;="&amp;$P$1,'Form responses'!$D$2:$D62,$B51)
)*Sum!$S$35</f>
        <v>0</v>
      </c>
      <c r="N51" s="419">
        <f>sumifs('Form responses'!$BL$2:$BL62,'Form responses'!$C$2:$C62,"&gt;="&amp;$M$1,'Form responses'!$C$2:$C62,"&lt;="&amp;$P$1,'Form responses'!$D$2:$D62,$B51)
*Sum!$T$35</f>
        <v>0</v>
      </c>
      <c r="O51" s="419">
        <f t="shared" si="2"/>
        <v>0</v>
      </c>
      <c r="P51" s="419">
        <f>((sumifs('Form responses'!$BN$2:$BN62,'Form responses'!$C$2:$C62,"&gt;="&amp;$M$1,'Form responses'!$C$2:$C62,"&lt;="&amp;$P$1,'Form responses'!$D$2:$D62,$B51)+
sumifs('Form responses'!$BO$2:$BO62,'Form responses'!$C$2:$C62,"&gt;="&amp;$M$1,'Form responses'!$C$2:$C62,"&lt;="&amp;$P$1,'Form responses'!$D$2:$D62,$B51))*Sum!$U$35)</f>
        <v>0</v>
      </c>
      <c r="Q51" s="419">
        <f t="shared" si="3"/>
        <v>0</v>
      </c>
      <c r="R51" s="346">
        <f t="shared" si="4"/>
        <v>0</v>
      </c>
    </row>
    <row r="52" ht="27.75" customHeight="1">
      <c r="A52" s="417"/>
      <c r="B52" s="418" t="s">
        <v>650</v>
      </c>
      <c r="C52" s="419">
        <f>((sumifs('Form responses'!$G$2:$G62,'Form responses'!$C$2:$C62,"&gt;="&amp;$M$1,'Form responses'!$C$2:$C62,"&lt;="&amp;$P$1,'Form responses'!$D$2:$D62,$B52)
+sumifs('Form responses'!$H$2:$H62,'Form responses'!$C$2:$C62,"&gt;="&amp;$M$1,'Form responses'!$C$2:$C62,"&lt;="&amp;$P$1,'Form responses'!$D$2:$D62,$B52)
+sumifs('Form responses'!$I$2:$I62,'Form responses'!$C$2:$C62,"&gt;="&amp;$M$1,'Form responses'!$C$2:$C62,"&lt;="&amp;$P$1,'Form responses'!$D$2:$D62,$B52)
)*Sum!$B$35)</f>
        <v>0</v>
      </c>
      <c r="D52" s="420">
        <f>((sumifs('Form responses'!$J$2:$J62,'Form responses'!$C$2:$C62,"&gt;="&amp;$M$1,'Form responses'!$C$2:$C62,"&lt;="&amp;$P$1,'Form responses'!$D$2:$D62,$B52))*Sum!$C$35)</f>
        <v>0</v>
      </c>
      <c r="E52" s="419">
        <f>((
sumifs('Form responses'!$S$2:$S62,'Form responses'!$C$2:$C62,"&gt;="&amp;$M$1,'Form responses'!$C$2:$C62,"&lt;="&amp;$P$1,'Form responses'!$D$2:$D62,$B52)
+
sumifs('Form responses'!$T$2:$T62,'Form responses'!$C$2:$C62,"&gt;="&amp;$M$1,'Form responses'!$C$2:$C62,"&lt;="&amp;$P$1,'Form responses'!$D$2:$D62,$B52)
)*Sum!$E$35
)</f>
        <v>0</v>
      </c>
      <c r="F52" s="419">
        <f>sumifs('Form responses'!$U$2:$U62,'Form responses'!$C$2:$C62,"&gt;="&amp;$M$1,'Form responses'!$C$2:$C62,"&lt;="&amp;$P$1,'Form responses'!$D$2:$D62,$B52)
*Sum!$D$35</f>
        <v>0</v>
      </c>
      <c r="G52" s="421">
        <f>sumifs('Form responses'!$EQ$2:$EQ62,'Form responses'!$B$2:$B62,"&gt;="&amp;$M$1,'Form responses'!$C$2:$C62,"&lt;="&amp;$P$1,'Form responses'!$D$2:$D62,$B52)*Sum!$V$35+sumifs('Form responses'!$ER$2:$ER62,'Form responses'!$B$2:$B62,"&gt;="&amp;$M$1,'Form responses'!$C$2:$C62,"&lt;="&amp;$P$1,'Form responses'!$D$2:$D62,$B52)*Sum!$W$35+sumifs('Form responses'!$ES$2:$ES62,'Form responses'!$B$2:$B62,"&gt;="&amp;$M$1,'Form responses'!$C$2:$C62,"&lt;="&amp;$P$1,'Form responses'!$D$2:$D62,$B52)*Sum!$X$35+sumifs('Form responses'!$ET$2:$ET62,'Form responses'!$B$2:$B62,"&gt;="&amp;$M$1,'Form responses'!$C$2:$C62,"&lt;="&amp;$P$1,'Form responses'!$D$2:$D62,$B52)*Sum!$Y$35</f>
        <v>0</v>
      </c>
      <c r="H52" s="419">
        <f>((
sumifs('Form responses'!$V$2:$V62,'Form responses'!$C$2:$C62,"&gt;="&amp;$M$1,'Form responses'!$C$2:$C62,"&lt;="&amp;$P$1,'Form responses'!$D$2:$D62,$B52)
)*
Sum!$F$35
)+((
sumifs('Form responses'!$W$2:$W62,'Form responses'!$C$2:$C62,"&gt;="&amp;$M$1,'Form responses'!$C$2:$C62,"&lt;="&amp;$P$1,'Form responses'!$D$2:$D62,$B52)
)*
Sum!$G$35
)</f>
        <v>0</v>
      </c>
      <c r="I52" s="419">
        <f>((
sumifs('Form responses'!$X$2:$X62,'Form responses'!$C$2:$C62,"&gt;="&amp;$M$1,'Form responses'!$C$2:$C62,"&lt;="&amp;$P$1,'Form responses'!$D$2:$D62,$B52)
)*Sum!$H$35)+((
sumifs('Form responses'!$Y$2:$Y62,'Form responses'!$C$2:$C62,"&gt;="&amp;$M$1,'Form responses'!$C$2:$C62,"&lt;="&amp;$P$1,'Form responses'!$D$2:$D62,$B52)
)*Sum!$I$35)+((
sumifs('Form responses'!$Z$2:$Z62,'Form responses'!$C$2:$C62,"&gt;="&amp;$M$1,'Form responses'!$C$2:$C62,"&lt;="&amp;$P$1,'Form responses'!$D$2:$D62,$B52)
)*Sum!$Z$35)</f>
        <v>0</v>
      </c>
      <c r="J52" s="419">
        <f t="shared" si="1"/>
        <v>0</v>
      </c>
      <c r="K52" s="419">
        <f>(
sumifs('Form responses'!$AV$2:$AV62,'Form responses'!$C$2:$C62,"&gt;="&amp;$M$1,'Form responses'!$C$2:$C62,"&lt;="&amp;$P$1,'Form responses'!$D$2:$D62,$B52)
+
sumifs('Form responses'!$AW$2:$AW62,'Form responses'!$C$2:$C62,"&gt;="&amp;$M$1,'Form responses'!$C$2:$C62,"&lt;="&amp;$P$1,'Form responses'!$D$2:$D62,$B52)
+
sumifs('Form responses'!$AX$2:$AX62,'Form responses'!$C$2:$C62,"&gt;="&amp;$M$1,'Form responses'!$C$2:$C62,"&lt;="&amp;$P$1,'Form responses'!$D$2:$D62,$B52)
+
sumifs('Form responses'!$AY$2:$AY62,'Form responses'!$C$2:$C62,"&gt;="&amp;$M$1,'Form responses'!$C$2:$C62,"&lt;="&amp;$P$1,'Form responses'!$D$2:$D62,$B52)
)*Sum!$Q$35</f>
        <v>0</v>
      </c>
      <c r="L52" s="419">
        <f>(
sumifs('Form responses'!$BD$2:$BD62,'Form responses'!$C$2:$C62,"&gt;="&amp;$M$1,'Form responses'!$C$2:$C62,"&lt;="&amp;$P$1,'Form responses'!$D$2:$D62,$B52)
+
sumifs('Form responses'!$BE$2:$BE62,'Form responses'!$C$2:$C62,"&gt;="&amp;$M$1,'Form responses'!$C$2:$C62,"&lt;="&amp;$P$1,'Form responses'!$D$2:$D62,$B52)
)*Sum!$R$35</f>
        <v>0</v>
      </c>
      <c r="M52" s="419">
        <f>(
sumifs('Form responses'!$BF$2:$BF62,'Form responses'!$C$2:$C62,"&gt;="&amp;$M$1,'Form responses'!$C$2:$C62,"&lt;="&amp;$P$1,'Form responses'!$D$2:$D62,$B52)
+
sumifs('Form responses'!$BG$2:$BG62,'Form responses'!$C$2:$C62,"&gt;="&amp;$M$1,'Form responses'!$C$2:$C62,"&lt;="&amp;$P$1,'Form responses'!$D$2:$D62,$B52)
)*Sum!$S$35</f>
        <v>0</v>
      </c>
      <c r="N52" s="419">
        <f>sumifs('Form responses'!$BL$2:$BL62,'Form responses'!$C$2:$C62,"&gt;="&amp;$M$1,'Form responses'!$C$2:$C62,"&lt;="&amp;$P$1,'Form responses'!$D$2:$D62,$B52)
*Sum!$T$35</f>
        <v>0</v>
      </c>
      <c r="O52" s="419">
        <f t="shared" si="2"/>
        <v>0</v>
      </c>
      <c r="P52" s="419">
        <f>((sumifs('Form responses'!$BN$2:$BN62,'Form responses'!$C$2:$C62,"&gt;="&amp;$M$1,'Form responses'!$C$2:$C62,"&lt;="&amp;$P$1,'Form responses'!$D$2:$D62,$B52)+
sumifs('Form responses'!$BO$2:$BO62,'Form responses'!$C$2:$C62,"&gt;="&amp;$M$1,'Form responses'!$C$2:$C62,"&lt;="&amp;$P$1,'Form responses'!$D$2:$D62,$B52))*Sum!$U$35)</f>
        <v>0</v>
      </c>
      <c r="Q52" s="419">
        <f t="shared" si="3"/>
        <v>0</v>
      </c>
      <c r="R52" s="346">
        <f t="shared" si="4"/>
        <v>0</v>
      </c>
    </row>
    <row r="53" ht="27.75" customHeight="1">
      <c r="A53" s="424">
        <v>16.0</v>
      </c>
      <c r="B53" s="423" t="s">
        <v>651</v>
      </c>
      <c r="C53" s="419">
        <f>((sumifs('Form responses'!$G$2:$G62,'Form responses'!$C$2:$C62,"&gt;="&amp;$M$1,'Form responses'!$C$2:$C62,"&lt;="&amp;$P$1,'Form responses'!$D$2:$D62,$B53)
+sumifs('Form responses'!$H$2:$H62,'Form responses'!$C$2:$C62,"&gt;="&amp;$M$1,'Form responses'!$C$2:$C62,"&lt;="&amp;$P$1,'Form responses'!$D$2:$D62,$B53)
+sumifs('Form responses'!$I$2:$I62,'Form responses'!$C$2:$C62,"&gt;="&amp;$M$1,'Form responses'!$C$2:$C62,"&lt;="&amp;$P$1,'Form responses'!$D$2:$D62,$B53)
)*Sum!$B$35)</f>
        <v>0</v>
      </c>
      <c r="D53" s="420">
        <f>((sumifs('Form responses'!$J$2:$J62,'Form responses'!$C$2:$C62,"&gt;="&amp;$M$1,'Form responses'!$C$2:$C62,"&lt;="&amp;$P$1,'Form responses'!$D$2:$D62,$B53))*Sum!$C$35)</f>
        <v>0</v>
      </c>
      <c r="E53" s="419">
        <f>((
sumifs('Form responses'!$S$2:$S62,'Form responses'!$C$2:$C62,"&gt;="&amp;$M$1,'Form responses'!$C$2:$C62,"&lt;="&amp;$P$1,'Form responses'!$D$2:$D62,$B53)
+
sumifs('Form responses'!$T$2:$T62,'Form responses'!$C$2:$C62,"&gt;="&amp;$M$1,'Form responses'!$C$2:$C62,"&lt;="&amp;$P$1,'Form responses'!$D$2:$D62,$B53)
)*Sum!$E$35
)</f>
        <v>0</v>
      </c>
      <c r="F53" s="419">
        <f>sumifs('Form responses'!$U$2:$U62,'Form responses'!$C$2:$C62,"&gt;="&amp;$M$1,'Form responses'!$C$2:$C62,"&lt;="&amp;$P$1,'Form responses'!$D$2:$D62,$B53)
*Sum!$D$35</f>
        <v>0</v>
      </c>
      <c r="G53" s="421">
        <f>sumifs('Form responses'!$EQ$2:$EQ62,'Form responses'!$B$2:$B62,"&gt;="&amp;$M$1,'Form responses'!$C$2:$C62,"&lt;="&amp;$P$1,'Form responses'!$D$2:$D62,$B53)*Sum!$V$35+sumifs('Form responses'!$ER$2:$ER62,'Form responses'!$B$2:$B62,"&gt;="&amp;$M$1,'Form responses'!$C$2:$C62,"&lt;="&amp;$P$1,'Form responses'!$D$2:$D62,$B53)*Sum!$W$35+sumifs('Form responses'!$ES$2:$ES62,'Form responses'!$B$2:$B62,"&gt;="&amp;$M$1,'Form responses'!$C$2:$C62,"&lt;="&amp;$P$1,'Form responses'!$D$2:$D62,$B53)*Sum!$X$35+sumifs('Form responses'!$ET$2:$ET62,'Form responses'!$B$2:$B62,"&gt;="&amp;$M$1,'Form responses'!$C$2:$C62,"&lt;="&amp;$P$1,'Form responses'!$D$2:$D62,$B53)*Sum!$Y$35</f>
        <v>0</v>
      </c>
      <c r="H53" s="419">
        <f>((
sumifs('Form responses'!$V$2:$V62,'Form responses'!$C$2:$C62,"&gt;="&amp;$M$1,'Form responses'!$C$2:$C62,"&lt;="&amp;$P$1,'Form responses'!$D$2:$D62,$B53)
)*
Sum!$F$35
)+((
sumifs('Form responses'!$W$2:$W62,'Form responses'!$C$2:$C62,"&gt;="&amp;$M$1,'Form responses'!$C$2:$C62,"&lt;="&amp;$P$1,'Form responses'!$D$2:$D62,$B53)
)*
Sum!$G$35
)</f>
        <v>0</v>
      </c>
      <c r="I53" s="419">
        <f>((
sumifs('Form responses'!$X$2:$X62,'Form responses'!$C$2:$C62,"&gt;="&amp;$M$1,'Form responses'!$C$2:$C62,"&lt;="&amp;$P$1,'Form responses'!$D$2:$D62,$B53)
)*Sum!$H$35)+((
sumifs('Form responses'!$Y$2:$Y62,'Form responses'!$C$2:$C62,"&gt;="&amp;$M$1,'Form responses'!$C$2:$C62,"&lt;="&amp;$P$1,'Form responses'!$D$2:$D62,$B53)
)*Sum!$I$35)+((
sumifs('Form responses'!$Z$2:$Z62,'Form responses'!$C$2:$C62,"&gt;="&amp;$M$1,'Form responses'!$C$2:$C62,"&lt;="&amp;$P$1,'Form responses'!$D$2:$D62,$B53)
)*Sum!$Z$35)</f>
        <v>0</v>
      </c>
      <c r="J53" s="419">
        <f t="shared" si="1"/>
        <v>0</v>
      </c>
      <c r="K53" s="419">
        <f>(
sumifs('Form responses'!$AV$2:$AV62,'Form responses'!$C$2:$C62,"&gt;="&amp;$M$1,'Form responses'!$C$2:$C62,"&lt;="&amp;$P$1,'Form responses'!$D$2:$D62,$B53)
+
sumifs('Form responses'!$AW$2:$AW62,'Form responses'!$C$2:$C62,"&gt;="&amp;$M$1,'Form responses'!$C$2:$C62,"&lt;="&amp;$P$1,'Form responses'!$D$2:$D62,$B53)
+
sumifs('Form responses'!$AX$2:$AX62,'Form responses'!$C$2:$C62,"&gt;="&amp;$M$1,'Form responses'!$C$2:$C62,"&lt;="&amp;$P$1,'Form responses'!$D$2:$D62,$B53)
+
sumifs('Form responses'!$AY$2:$AY62,'Form responses'!$C$2:$C62,"&gt;="&amp;$M$1,'Form responses'!$C$2:$C62,"&lt;="&amp;$P$1,'Form responses'!$D$2:$D62,$B53)
)*Sum!$Q$35</f>
        <v>0</v>
      </c>
      <c r="L53" s="419">
        <f>(
sumifs('Form responses'!$BD$2:$BD62,'Form responses'!$C$2:$C62,"&gt;="&amp;$M$1,'Form responses'!$C$2:$C62,"&lt;="&amp;$P$1,'Form responses'!$D$2:$D62,$B53)
+
sumifs('Form responses'!$BE$2:$BE62,'Form responses'!$C$2:$C62,"&gt;="&amp;$M$1,'Form responses'!$C$2:$C62,"&lt;="&amp;$P$1,'Form responses'!$D$2:$D62,$B53)
)*Sum!$R$35</f>
        <v>0</v>
      </c>
      <c r="M53" s="419">
        <f>(
sumifs('Form responses'!$BF$2:$BF62,'Form responses'!$C$2:$C62,"&gt;="&amp;$M$1,'Form responses'!$C$2:$C62,"&lt;="&amp;$P$1,'Form responses'!$D$2:$D62,$B53)
+
sumifs('Form responses'!$BG$2:$BG62,'Form responses'!$C$2:$C62,"&gt;="&amp;$M$1,'Form responses'!$C$2:$C62,"&lt;="&amp;$P$1,'Form responses'!$D$2:$D62,$B53)
)*Sum!$S$35</f>
        <v>0</v>
      </c>
      <c r="N53" s="419">
        <f>sumifs('Form responses'!$BL$2:$BL62,'Form responses'!$C$2:$C62,"&gt;="&amp;$M$1,'Form responses'!$C$2:$C62,"&lt;="&amp;$P$1,'Form responses'!$D$2:$D62,$B53)
*Sum!$T$35</f>
        <v>0</v>
      </c>
      <c r="O53" s="419">
        <f t="shared" si="2"/>
        <v>0</v>
      </c>
      <c r="P53" s="419">
        <f>((sumifs('Form responses'!$BN$2:$BN62,'Form responses'!$C$2:$C62,"&gt;="&amp;$M$1,'Form responses'!$C$2:$C62,"&lt;="&amp;$P$1,'Form responses'!$D$2:$D62,$B53)+
sumifs('Form responses'!$BO$2:$BO62,'Form responses'!$C$2:$C62,"&gt;="&amp;$M$1,'Form responses'!$C$2:$C62,"&lt;="&amp;$P$1,'Form responses'!$D$2:$D62,$B53))*Sum!$U$35)</f>
        <v>0</v>
      </c>
      <c r="Q53" s="419">
        <f t="shared" si="3"/>
        <v>0</v>
      </c>
      <c r="R53" s="346">
        <f t="shared" si="4"/>
        <v>0</v>
      </c>
    </row>
    <row r="54" ht="27.75" customHeight="1">
      <c r="A54" s="417"/>
      <c r="B54" s="418" t="s">
        <v>652</v>
      </c>
      <c r="C54" s="419">
        <f>((sumifs('Form responses'!$G$2:$G62,'Form responses'!$C$2:$C62,"&gt;="&amp;$M$1,'Form responses'!$C$2:$C62,"&lt;="&amp;$P$1,'Form responses'!$D$2:$D62,$B54)
+sumifs('Form responses'!$H$2:$H62,'Form responses'!$C$2:$C62,"&gt;="&amp;$M$1,'Form responses'!$C$2:$C62,"&lt;="&amp;$P$1,'Form responses'!$D$2:$D62,$B54)
+sumifs('Form responses'!$I$2:$I62,'Form responses'!$C$2:$C62,"&gt;="&amp;$M$1,'Form responses'!$C$2:$C62,"&lt;="&amp;$P$1,'Form responses'!$D$2:$D62,$B54)
)*Sum!$B$35)</f>
        <v>0</v>
      </c>
      <c r="D54" s="420">
        <f>((sumifs('Form responses'!$J$2:$J62,'Form responses'!$C$2:$C62,"&gt;="&amp;$M$1,'Form responses'!$C$2:$C62,"&lt;="&amp;$P$1,'Form responses'!$D$2:$D62,$B54))*Sum!$C$35)</f>
        <v>0</v>
      </c>
      <c r="E54" s="419">
        <f>((
sumifs('Form responses'!$S$2:$S62,'Form responses'!$C$2:$C62,"&gt;="&amp;$M$1,'Form responses'!$C$2:$C62,"&lt;="&amp;$P$1,'Form responses'!$D$2:$D62,$B54)
+
sumifs('Form responses'!$T$2:$T62,'Form responses'!$C$2:$C62,"&gt;="&amp;$M$1,'Form responses'!$C$2:$C62,"&lt;="&amp;$P$1,'Form responses'!$D$2:$D62,$B54)
)*Sum!$E$35
)</f>
        <v>0</v>
      </c>
      <c r="F54" s="419">
        <f>sumifs('Form responses'!$U$2:$U62,'Form responses'!$C$2:$C62,"&gt;="&amp;$M$1,'Form responses'!$C$2:$C62,"&lt;="&amp;$P$1,'Form responses'!$D$2:$D62,$B54)
*Sum!$D$35</f>
        <v>0</v>
      </c>
      <c r="G54" s="421">
        <f>sumifs('Form responses'!$EQ$2:$EQ62,'Form responses'!$B$2:$B62,"&gt;="&amp;$M$1,'Form responses'!$C$2:$C62,"&lt;="&amp;$P$1,'Form responses'!$D$2:$D62,$B54)*Sum!$V$35+sumifs('Form responses'!$ER$2:$ER62,'Form responses'!$B$2:$B62,"&gt;="&amp;$M$1,'Form responses'!$C$2:$C62,"&lt;="&amp;$P$1,'Form responses'!$D$2:$D62,$B54)*Sum!$W$35+sumifs('Form responses'!$ES$2:$ES62,'Form responses'!$B$2:$B62,"&gt;="&amp;$M$1,'Form responses'!$C$2:$C62,"&lt;="&amp;$P$1,'Form responses'!$D$2:$D62,$B54)*Sum!$X$35+sumifs('Form responses'!$ET$2:$ET62,'Form responses'!$B$2:$B62,"&gt;="&amp;$M$1,'Form responses'!$C$2:$C62,"&lt;="&amp;$P$1,'Form responses'!$D$2:$D62,$B54)*Sum!$Y$35</f>
        <v>0</v>
      </c>
      <c r="H54" s="419">
        <f>((
sumifs('Form responses'!$V$2:$V62,'Form responses'!$C$2:$C62,"&gt;="&amp;$M$1,'Form responses'!$C$2:$C62,"&lt;="&amp;$P$1,'Form responses'!$D$2:$D62,$B54)
)*
Sum!$F$35
)+((
sumifs('Form responses'!$W$2:$W62,'Form responses'!$C$2:$C62,"&gt;="&amp;$M$1,'Form responses'!$C$2:$C62,"&lt;="&amp;$P$1,'Form responses'!$D$2:$D62,$B54)
)*
Sum!$G$35
)</f>
        <v>0</v>
      </c>
      <c r="I54" s="419">
        <f>((
sumifs('Form responses'!$X$2:$X62,'Form responses'!$C$2:$C62,"&gt;="&amp;$M$1,'Form responses'!$C$2:$C62,"&lt;="&amp;$P$1,'Form responses'!$D$2:$D62,$B54)
)*Sum!$H$35)+((
sumifs('Form responses'!$Y$2:$Y62,'Form responses'!$C$2:$C62,"&gt;="&amp;$M$1,'Form responses'!$C$2:$C62,"&lt;="&amp;$P$1,'Form responses'!$D$2:$D62,$B54)
)*Sum!$I$35)+((
sumifs('Form responses'!$Z$2:$Z62,'Form responses'!$C$2:$C62,"&gt;="&amp;$M$1,'Form responses'!$C$2:$C62,"&lt;="&amp;$P$1,'Form responses'!$D$2:$D62,$B54)
)*Sum!$Z$35)</f>
        <v>0</v>
      </c>
      <c r="J54" s="419">
        <f t="shared" si="1"/>
        <v>0</v>
      </c>
      <c r="K54" s="419">
        <f>(
sumifs('Form responses'!$AV$2:$AV62,'Form responses'!$C$2:$C62,"&gt;="&amp;$M$1,'Form responses'!$C$2:$C62,"&lt;="&amp;$P$1,'Form responses'!$D$2:$D62,$B54)
+
sumifs('Form responses'!$AW$2:$AW62,'Form responses'!$C$2:$C62,"&gt;="&amp;$M$1,'Form responses'!$C$2:$C62,"&lt;="&amp;$P$1,'Form responses'!$D$2:$D62,$B54)
+
sumifs('Form responses'!$AX$2:$AX62,'Form responses'!$C$2:$C62,"&gt;="&amp;$M$1,'Form responses'!$C$2:$C62,"&lt;="&amp;$P$1,'Form responses'!$D$2:$D62,$B54)
+
sumifs('Form responses'!$AY$2:$AY62,'Form responses'!$C$2:$C62,"&gt;="&amp;$M$1,'Form responses'!$C$2:$C62,"&lt;="&amp;$P$1,'Form responses'!$D$2:$D62,$B54)
)*Sum!$Q$35</f>
        <v>0</v>
      </c>
      <c r="L54" s="419">
        <f>(
sumifs('Form responses'!$BD$2:$BD62,'Form responses'!$C$2:$C62,"&gt;="&amp;$M$1,'Form responses'!$C$2:$C62,"&lt;="&amp;$P$1,'Form responses'!$D$2:$D62,$B54)
+
sumifs('Form responses'!$BE$2:$BE62,'Form responses'!$C$2:$C62,"&gt;="&amp;$M$1,'Form responses'!$C$2:$C62,"&lt;="&amp;$P$1,'Form responses'!$D$2:$D62,$B54)
)*Sum!$R$35</f>
        <v>0</v>
      </c>
      <c r="M54" s="419">
        <f>(
sumifs('Form responses'!$BF$2:$BF62,'Form responses'!$C$2:$C62,"&gt;="&amp;$M$1,'Form responses'!$C$2:$C62,"&lt;="&amp;$P$1,'Form responses'!$D$2:$D62,$B54)
+
sumifs('Form responses'!$BG$2:$BG62,'Form responses'!$C$2:$C62,"&gt;="&amp;$M$1,'Form responses'!$C$2:$C62,"&lt;="&amp;$P$1,'Form responses'!$D$2:$D62,$B54)
)*Sum!$S$35</f>
        <v>0</v>
      </c>
      <c r="N54" s="419">
        <f>sumifs('Form responses'!$BL$2:$BL62,'Form responses'!$C$2:$C62,"&gt;="&amp;$M$1,'Form responses'!$C$2:$C62,"&lt;="&amp;$P$1,'Form responses'!$D$2:$D62,$B54)
*Sum!$T$35</f>
        <v>0</v>
      </c>
      <c r="O54" s="419">
        <f t="shared" si="2"/>
        <v>0</v>
      </c>
      <c r="P54" s="419">
        <f>((sumifs('Form responses'!$BN$2:$BN62,'Form responses'!$C$2:$C62,"&gt;="&amp;$M$1,'Form responses'!$C$2:$C62,"&lt;="&amp;$P$1,'Form responses'!$D$2:$D62,$B54)+
sumifs('Form responses'!$BO$2:$BO62,'Form responses'!$C$2:$C62,"&gt;="&amp;$M$1,'Form responses'!$C$2:$C62,"&lt;="&amp;$P$1,'Form responses'!$D$2:$D62,$B54))*Sum!$U$35)</f>
        <v>0</v>
      </c>
      <c r="Q54" s="419">
        <f t="shared" si="3"/>
        <v>0</v>
      </c>
      <c r="R54" s="346">
        <f t="shared" si="4"/>
        <v>0</v>
      </c>
    </row>
    <row r="55" ht="27.75" customHeight="1">
      <c r="A55" s="424">
        <v>17.0</v>
      </c>
      <c r="B55" s="423" t="s">
        <v>653</v>
      </c>
      <c r="C55" s="419">
        <f>((sumifs('Form responses'!$G$2:$G62,'Form responses'!$C$2:$C62,"&gt;="&amp;$M$1,'Form responses'!$C$2:$C62,"&lt;="&amp;$P$1,'Form responses'!$D$2:$D62,$B55)
+sumifs('Form responses'!$H$2:$H62,'Form responses'!$C$2:$C62,"&gt;="&amp;$M$1,'Form responses'!$C$2:$C62,"&lt;="&amp;$P$1,'Form responses'!$D$2:$D62,$B55)
+sumifs('Form responses'!$I$2:$I62,'Form responses'!$C$2:$C62,"&gt;="&amp;$M$1,'Form responses'!$C$2:$C62,"&lt;="&amp;$P$1,'Form responses'!$D$2:$D62,$B55)
)*Sum!$B$35)</f>
        <v>0</v>
      </c>
      <c r="D55" s="420">
        <f>((sumifs('Form responses'!$J$2:$J62,'Form responses'!$C$2:$C62,"&gt;="&amp;$M$1,'Form responses'!$C$2:$C62,"&lt;="&amp;$P$1,'Form responses'!$D$2:$D62,$B55))*Sum!$C$35)</f>
        <v>0</v>
      </c>
      <c r="E55" s="419">
        <f>((
sumifs('Form responses'!$S$2:$S62,'Form responses'!$C$2:$C62,"&gt;="&amp;$M$1,'Form responses'!$C$2:$C62,"&lt;="&amp;$P$1,'Form responses'!$D$2:$D62,$B55)
+
sumifs('Form responses'!$T$2:$T62,'Form responses'!$C$2:$C62,"&gt;="&amp;$M$1,'Form responses'!$C$2:$C62,"&lt;="&amp;$P$1,'Form responses'!$D$2:$D62,$B55)
)*Sum!$E$35
)</f>
        <v>0</v>
      </c>
      <c r="F55" s="419">
        <f>sumifs('Form responses'!$U$2:$U62,'Form responses'!$C$2:$C62,"&gt;="&amp;$M$1,'Form responses'!$C$2:$C62,"&lt;="&amp;$P$1,'Form responses'!$D$2:$D62,$B55)
*Sum!$D$35</f>
        <v>0</v>
      </c>
      <c r="G55" s="421">
        <f>sumifs('Form responses'!$EQ$2:$EQ62,'Form responses'!$B$2:$B62,"&gt;="&amp;$M$1,'Form responses'!$C$2:$C62,"&lt;="&amp;$P$1,'Form responses'!$D$2:$D62,$B55)*Sum!$V$35+sumifs('Form responses'!$ER$2:$ER62,'Form responses'!$B$2:$B62,"&gt;="&amp;$M$1,'Form responses'!$C$2:$C62,"&lt;="&amp;$P$1,'Form responses'!$D$2:$D62,$B55)*Sum!$W$35+sumifs('Form responses'!$ES$2:$ES62,'Form responses'!$B$2:$B62,"&gt;="&amp;$M$1,'Form responses'!$C$2:$C62,"&lt;="&amp;$P$1,'Form responses'!$D$2:$D62,$B55)*Sum!$X$35+sumifs('Form responses'!$ET$2:$ET62,'Form responses'!$B$2:$B62,"&gt;="&amp;$M$1,'Form responses'!$C$2:$C62,"&lt;="&amp;$P$1,'Form responses'!$D$2:$D62,$B55)*Sum!$Y$35</f>
        <v>0</v>
      </c>
      <c r="H55" s="419">
        <f>((
sumifs('Form responses'!$V$2:$V62,'Form responses'!$C$2:$C62,"&gt;="&amp;$M$1,'Form responses'!$C$2:$C62,"&lt;="&amp;$P$1,'Form responses'!$D$2:$D62,$B55)
)*
Sum!$F$35
)+((
sumifs('Form responses'!$W$2:$W62,'Form responses'!$C$2:$C62,"&gt;="&amp;$M$1,'Form responses'!$C$2:$C62,"&lt;="&amp;$P$1,'Form responses'!$D$2:$D62,$B55)
)*
Sum!$G$35
)</f>
        <v>0</v>
      </c>
      <c r="I55" s="419">
        <f>((
sumifs('Form responses'!$X$2:$X62,'Form responses'!$C$2:$C62,"&gt;="&amp;$M$1,'Form responses'!$C$2:$C62,"&lt;="&amp;$P$1,'Form responses'!$D$2:$D62,$B55)
)*Sum!$H$35)+((
sumifs('Form responses'!$Y$2:$Y62,'Form responses'!$C$2:$C62,"&gt;="&amp;$M$1,'Form responses'!$C$2:$C62,"&lt;="&amp;$P$1,'Form responses'!$D$2:$D62,$B55)
)*Sum!$I$35)+((
sumifs('Form responses'!$Z$2:$Z62,'Form responses'!$C$2:$C62,"&gt;="&amp;$M$1,'Form responses'!$C$2:$C62,"&lt;="&amp;$P$1,'Form responses'!$D$2:$D62,$B55)
)*Sum!$Z$35)</f>
        <v>0</v>
      </c>
      <c r="J55" s="419">
        <f t="shared" si="1"/>
        <v>0</v>
      </c>
      <c r="K55" s="419">
        <f>(
sumifs('Form responses'!$AV$2:$AV62,'Form responses'!$C$2:$C62,"&gt;="&amp;$M$1,'Form responses'!$C$2:$C62,"&lt;="&amp;$P$1,'Form responses'!$D$2:$D62,$B55)
+
sumifs('Form responses'!$AW$2:$AW62,'Form responses'!$C$2:$C62,"&gt;="&amp;$M$1,'Form responses'!$C$2:$C62,"&lt;="&amp;$P$1,'Form responses'!$D$2:$D62,$B55)
+
sumifs('Form responses'!$AX$2:$AX62,'Form responses'!$C$2:$C62,"&gt;="&amp;$M$1,'Form responses'!$C$2:$C62,"&lt;="&amp;$P$1,'Form responses'!$D$2:$D62,$B55)
+
sumifs('Form responses'!$AY$2:$AY62,'Form responses'!$C$2:$C62,"&gt;="&amp;$M$1,'Form responses'!$C$2:$C62,"&lt;="&amp;$P$1,'Form responses'!$D$2:$D62,$B55)
)*Sum!$Q$35</f>
        <v>0</v>
      </c>
      <c r="L55" s="419">
        <f>(
sumifs('Form responses'!$BD$2:$BD62,'Form responses'!$C$2:$C62,"&gt;="&amp;$M$1,'Form responses'!$C$2:$C62,"&lt;="&amp;$P$1,'Form responses'!$D$2:$D62,$B55)
+
sumifs('Form responses'!$BE$2:$BE62,'Form responses'!$C$2:$C62,"&gt;="&amp;$M$1,'Form responses'!$C$2:$C62,"&lt;="&amp;$P$1,'Form responses'!$D$2:$D62,$B55)
)*Sum!$R$35</f>
        <v>0</v>
      </c>
      <c r="M55" s="419">
        <f>(
sumifs('Form responses'!$BF$2:$BF62,'Form responses'!$C$2:$C62,"&gt;="&amp;$M$1,'Form responses'!$C$2:$C62,"&lt;="&amp;$P$1,'Form responses'!$D$2:$D62,$B55)
+
sumifs('Form responses'!$BG$2:$BG62,'Form responses'!$C$2:$C62,"&gt;="&amp;$M$1,'Form responses'!$C$2:$C62,"&lt;="&amp;$P$1,'Form responses'!$D$2:$D62,$B55)
)*Sum!$S$35</f>
        <v>0</v>
      </c>
      <c r="N55" s="419">
        <f>sumifs('Form responses'!$BL$2:$BL62,'Form responses'!$C$2:$C62,"&gt;="&amp;$M$1,'Form responses'!$C$2:$C62,"&lt;="&amp;$P$1,'Form responses'!$D$2:$D62,$B55)
*Sum!$T$35</f>
        <v>0</v>
      </c>
      <c r="O55" s="419">
        <f t="shared" si="2"/>
        <v>0</v>
      </c>
      <c r="P55" s="419">
        <f>((sumifs('Form responses'!$BN$2:$BN62,'Form responses'!$C$2:$C62,"&gt;="&amp;$M$1,'Form responses'!$C$2:$C62,"&lt;="&amp;$P$1,'Form responses'!$D$2:$D62,$B55)+
sumifs('Form responses'!$BO$2:$BO62,'Form responses'!$C$2:$C62,"&gt;="&amp;$M$1,'Form responses'!$C$2:$C62,"&lt;="&amp;$P$1,'Form responses'!$D$2:$D62,$B55))*Sum!$U$35)</f>
        <v>0</v>
      </c>
      <c r="Q55" s="419">
        <f t="shared" si="3"/>
        <v>0</v>
      </c>
      <c r="R55" s="346">
        <f t="shared" si="4"/>
        <v>0</v>
      </c>
    </row>
    <row r="56" ht="27.75" customHeight="1">
      <c r="A56" s="424">
        <v>18.0</v>
      </c>
      <c r="B56" s="423" t="s">
        <v>654</v>
      </c>
      <c r="C56" s="419">
        <f>((sumifs('Form responses'!$G$2:$G62,'Form responses'!$C$2:$C62,"&gt;="&amp;$M$1,'Form responses'!$C$2:$C62,"&lt;="&amp;$P$1,'Form responses'!$D$2:$D62,$B56)
+sumifs('Form responses'!$H$2:$H62,'Form responses'!$C$2:$C62,"&gt;="&amp;$M$1,'Form responses'!$C$2:$C62,"&lt;="&amp;$P$1,'Form responses'!$D$2:$D62,$B56)
+sumifs('Form responses'!$I$2:$I62,'Form responses'!$C$2:$C62,"&gt;="&amp;$M$1,'Form responses'!$C$2:$C62,"&lt;="&amp;$P$1,'Form responses'!$D$2:$D62,$B56)
)*Sum!$B$35)</f>
        <v>0</v>
      </c>
      <c r="D56" s="420">
        <f>((sumifs('Form responses'!$J$2:$J62,'Form responses'!$C$2:$C62,"&gt;="&amp;$M$1,'Form responses'!$C$2:$C62,"&lt;="&amp;$P$1,'Form responses'!$D$2:$D62,$B56))*Sum!$C$35)</f>
        <v>0</v>
      </c>
      <c r="E56" s="419">
        <f>((
sumifs('Form responses'!$S$2:$S62,'Form responses'!$C$2:$C62,"&gt;="&amp;$M$1,'Form responses'!$C$2:$C62,"&lt;="&amp;$P$1,'Form responses'!$D$2:$D62,$B56)
+
sumifs('Form responses'!$T$2:$T62,'Form responses'!$C$2:$C62,"&gt;="&amp;$M$1,'Form responses'!$C$2:$C62,"&lt;="&amp;$P$1,'Form responses'!$D$2:$D62,$B56)
)*Sum!$E$35
)</f>
        <v>0</v>
      </c>
      <c r="F56" s="419">
        <f>sumifs('Form responses'!$U$2:$U62,'Form responses'!$C$2:$C62,"&gt;="&amp;$M$1,'Form responses'!$C$2:$C62,"&lt;="&amp;$P$1,'Form responses'!$D$2:$D62,$B56)
*Sum!$D$35</f>
        <v>0</v>
      </c>
      <c r="G56" s="421">
        <f>sumifs('Form responses'!$EQ$2:$EQ62,'Form responses'!$B$2:$B62,"&gt;="&amp;$M$1,'Form responses'!$C$2:$C62,"&lt;="&amp;$P$1,'Form responses'!$D$2:$D62,$B56)*Sum!$V$35+sumifs('Form responses'!$ER$2:$ER62,'Form responses'!$B$2:$B62,"&gt;="&amp;$M$1,'Form responses'!$C$2:$C62,"&lt;="&amp;$P$1,'Form responses'!$D$2:$D62,$B56)*Sum!$W$35+sumifs('Form responses'!$ES$2:$ES62,'Form responses'!$B$2:$B62,"&gt;="&amp;$M$1,'Form responses'!$C$2:$C62,"&lt;="&amp;$P$1,'Form responses'!$D$2:$D62,$B56)*Sum!$X$35+sumifs('Form responses'!$ET$2:$ET62,'Form responses'!$B$2:$B62,"&gt;="&amp;$M$1,'Form responses'!$C$2:$C62,"&lt;="&amp;$P$1,'Form responses'!$D$2:$D62,$B56)*Sum!$Y$35</f>
        <v>0</v>
      </c>
      <c r="H56" s="419">
        <f>((
sumifs('Form responses'!$V$2:$V62,'Form responses'!$C$2:$C62,"&gt;="&amp;$M$1,'Form responses'!$C$2:$C62,"&lt;="&amp;$P$1,'Form responses'!$D$2:$D62,$B56)
)*
Sum!$F$35
)+((
sumifs('Form responses'!$W$2:$W62,'Form responses'!$C$2:$C62,"&gt;="&amp;$M$1,'Form responses'!$C$2:$C62,"&lt;="&amp;$P$1,'Form responses'!$D$2:$D62,$B56)
)*
Sum!$G$35
)</f>
        <v>0</v>
      </c>
      <c r="I56" s="419">
        <f>((
sumifs('Form responses'!$X$2:$X62,'Form responses'!$C$2:$C62,"&gt;="&amp;$M$1,'Form responses'!$C$2:$C62,"&lt;="&amp;$P$1,'Form responses'!$D$2:$D62,$B56)
)*Sum!$H$35)+((
sumifs('Form responses'!$Y$2:$Y62,'Form responses'!$C$2:$C62,"&gt;="&amp;$M$1,'Form responses'!$C$2:$C62,"&lt;="&amp;$P$1,'Form responses'!$D$2:$D62,$B56)
)*Sum!$I$35)+((
sumifs('Form responses'!$Z$2:$Z62,'Form responses'!$C$2:$C62,"&gt;="&amp;$M$1,'Form responses'!$C$2:$C62,"&lt;="&amp;$P$1,'Form responses'!$D$2:$D62,$B56)
)*Sum!$Z$35)</f>
        <v>0</v>
      </c>
      <c r="J56" s="419">
        <f t="shared" si="1"/>
        <v>0</v>
      </c>
      <c r="K56" s="419">
        <f>(
sumifs('Form responses'!$AV$2:$AV62,'Form responses'!$C$2:$C62,"&gt;="&amp;$M$1,'Form responses'!$C$2:$C62,"&lt;="&amp;$P$1,'Form responses'!$D$2:$D62,$B56)
+
sumifs('Form responses'!$AW$2:$AW62,'Form responses'!$C$2:$C62,"&gt;="&amp;$M$1,'Form responses'!$C$2:$C62,"&lt;="&amp;$P$1,'Form responses'!$D$2:$D62,$B56)
+
sumifs('Form responses'!$AX$2:$AX62,'Form responses'!$C$2:$C62,"&gt;="&amp;$M$1,'Form responses'!$C$2:$C62,"&lt;="&amp;$P$1,'Form responses'!$D$2:$D62,$B56)
+
sumifs('Form responses'!$AY$2:$AY62,'Form responses'!$C$2:$C62,"&gt;="&amp;$M$1,'Form responses'!$C$2:$C62,"&lt;="&amp;$P$1,'Form responses'!$D$2:$D62,$B56)
)*Sum!$Q$35</f>
        <v>0</v>
      </c>
      <c r="L56" s="419">
        <f>(
sumifs('Form responses'!$BD$2:$BD62,'Form responses'!$C$2:$C62,"&gt;="&amp;$M$1,'Form responses'!$C$2:$C62,"&lt;="&amp;$P$1,'Form responses'!$D$2:$D62,$B56)
+
sumifs('Form responses'!$BE$2:$BE62,'Form responses'!$C$2:$C62,"&gt;="&amp;$M$1,'Form responses'!$C$2:$C62,"&lt;="&amp;$P$1,'Form responses'!$D$2:$D62,$B56)
)*Sum!$R$35</f>
        <v>0</v>
      </c>
      <c r="M56" s="419">
        <f>(
sumifs('Form responses'!$BF$2:$BF62,'Form responses'!$C$2:$C62,"&gt;="&amp;$M$1,'Form responses'!$C$2:$C62,"&lt;="&amp;$P$1,'Form responses'!$D$2:$D62,$B56)
+
sumifs('Form responses'!$BG$2:$BG62,'Form responses'!$C$2:$C62,"&gt;="&amp;$M$1,'Form responses'!$C$2:$C62,"&lt;="&amp;$P$1,'Form responses'!$D$2:$D62,$B56)
)*Sum!$S$35</f>
        <v>0</v>
      </c>
      <c r="N56" s="419">
        <f>sumifs('Form responses'!$BL$2:$BL62,'Form responses'!$C$2:$C62,"&gt;="&amp;$M$1,'Form responses'!$C$2:$C62,"&lt;="&amp;$P$1,'Form responses'!$D$2:$D62,$B56)
*Sum!$T$35</f>
        <v>0</v>
      </c>
      <c r="O56" s="419">
        <f t="shared" si="2"/>
        <v>0</v>
      </c>
      <c r="P56" s="419">
        <f>((sumifs('Form responses'!$BN$2:$BN62,'Form responses'!$C$2:$C62,"&gt;="&amp;$M$1,'Form responses'!$C$2:$C62,"&lt;="&amp;$P$1,'Form responses'!$D$2:$D62,$B56)+
sumifs('Form responses'!$BO$2:$BO62,'Form responses'!$C$2:$C62,"&gt;="&amp;$M$1,'Form responses'!$C$2:$C62,"&lt;="&amp;$P$1,'Form responses'!$D$2:$D62,$B56))*Sum!$U$35)</f>
        <v>0</v>
      </c>
      <c r="Q56" s="419">
        <f t="shared" si="3"/>
        <v>0</v>
      </c>
      <c r="R56" s="346">
        <f t="shared" si="4"/>
        <v>0</v>
      </c>
    </row>
    <row r="57" ht="27.75" customHeight="1">
      <c r="A57" s="425"/>
      <c r="B57" s="426" t="s">
        <v>655</v>
      </c>
      <c r="C57" s="427">
        <f t="shared" ref="C57:R57" si="5">SUM(C3:C56)</f>
        <v>0</v>
      </c>
      <c r="D57" s="427">
        <f t="shared" si="5"/>
        <v>0</v>
      </c>
      <c r="E57" s="427">
        <f t="shared" si="5"/>
        <v>0</v>
      </c>
      <c r="F57" s="427">
        <f t="shared" si="5"/>
        <v>0</v>
      </c>
      <c r="G57" s="427">
        <f t="shared" si="5"/>
        <v>0</v>
      </c>
      <c r="H57" s="427">
        <f t="shared" si="5"/>
        <v>0</v>
      </c>
      <c r="I57" s="427">
        <f t="shared" si="5"/>
        <v>0</v>
      </c>
      <c r="J57" s="427">
        <f t="shared" si="5"/>
        <v>0</v>
      </c>
      <c r="K57" s="427">
        <f t="shared" si="5"/>
        <v>0</v>
      </c>
      <c r="L57" s="427">
        <f t="shared" si="5"/>
        <v>0</v>
      </c>
      <c r="M57" s="427">
        <f t="shared" si="5"/>
        <v>0</v>
      </c>
      <c r="N57" s="427">
        <f t="shared" si="5"/>
        <v>0</v>
      </c>
      <c r="O57" s="427">
        <f t="shared" si="5"/>
        <v>0</v>
      </c>
      <c r="P57" s="427">
        <f t="shared" si="5"/>
        <v>0</v>
      </c>
      <c r="Q57" s="427">
        <f t="shared" si="5"/>
        <v>0</v>
      </c>
      <c r="R57" s="427">
        <f t="shared" si="5"/>
        <v>0</v>
      </c>
    </row>
    <row r="58" ht="15.0" customHeight="1">
      <c r="A58" s="428"/>
      <c r="B58" s="429"/>
      <c r="C58" s="430"/>
      <c r="D58" s="430"/>
      <c r="E58" s="430"/>
      <c r="F58" s="430"/>
      <c r="G58" s="430"/>
      <c r="H58" s="430"/>
      <c r="I58" s="430"/>
      <c r="J58" s="430"/>
      <c r="K58" s="430"/>
      <c r="L58" s="430"/>
      <c r="M58" s="430"/>
      <c r="N58" s="430"/>
      <c r="O58" s="430"/>
      <c r="P58" s="430"/>
      <c r="Q58" s="430"/>
      <c r="R58" s="430"/>
    </row>
    <row r="59" ht="15.75" customHeight="1">
      <c r="A59" s="428"/>
      <c r="B59" s="429"/>
      <c r="C59" s="430"/>
      <c r="D59" s="430"/>
      <c r="E59" s="430"/>
      <c r="F59" s="430"/>
      <c r="G59" s="430"/>
      <c r="H59" s="430"/>
      <c r="I59" s="430"/>
      <c r="J59" s="430"/>
      <c r="K59" s="430"/>
      <c r="L59" s="430"/>
      <c r="M59" s="430"/>
      <c r="N59" s="430"/>
      <c r="O59" s="430"/>
      <c r="P59" s="430"/>
      <c r="Q59" s="430"/>
      <c r="R59" s="430"/>
    </row>
    <row r="60" ht="15.75" customHeight="1">
      <c r="A60" s="428"/>
      <c r="B60" s="429"/>
      <c r="C60" s="430"/>
      <c r="D60" s="430"/>
      <c r="E60" s="430"/>
      <c r="F60" s="430"/>
      <c r="G60" s="430"/>
      <c r="H60" s="430"/>
      <c r="I60" s="430"/>
      <c r="J60" s="430"/>
      <c r="K60" s="430"/>
      <c r="L60" s="430"/>
      <c r="M60" s="430"/>
      <c r="N60" s="430"/>
      <c r="O60" s="430"/>
      <c r="P60" s="430"/>
      <c r="Q60" s="430"/>
      <c r="R60" s="430"/>
    </row>
    <row r="61" ht="15.75" customHeight="1">
      <c r="A61" s="428"/>
      <c r="B61" s="429"/>
      <c r="C61" s="430"/>
      <c r="D61" s="430"/>
      <c r="E61" s="430"/>
      <c r="F61" s="430"/>
      <c r="G61" s="430"/>
      <c r="H61" s="430"/>
      <c r="I61" s="430"/>
      <c r="J61" s="430"/>
      <c r="K61" s="430"/>
      <c r="L61" s="431"/>
      <c r="M61" s="430"/>
      <c r="N61" s="430"/>
      <c r="O61" s="430"/>
      <c r="P61" s="430"/>
      <c r="Q61" s="430"/>
      <c r="R61" s="430"/>
    </row>
    <row r="62" ht="15.75" customHeight="1">
      <c r="A62" s="428"/>
      <c r="B62" s="429"/>
      <c r="C62" s="430"/>
      <c r="D62" s="430"/>
      <c r="E62" s="430"/>
      <c r="F62" s="430"/>
      <c r="G62" s="430"/>
      <c r="H62" s="430"/>
      <c r="I62" s="430"/>
      <c r="J62" s="430"/>
      <c r="K62" s="430"/>
      <c r="L62" s="430"/>
      <c r="M62" s="430"/>
      <c r="N62" s="430"/>
      <c r="O62" s="430"/>
      <c r="P62" s="430"/>
      <c r="Q62" s="430"/>
      <c r="R62" s="430"/>
    </row>
  </sheetData>
  <mergeCells count="3">
    <mergeCell ref="C1:K1"/>
    <mergeCell ref="M1:N1"/>
    <mergeCell ref="P1:Q1"/>
  </mergeCells>
  <dataValidations>
    <dataValidation type="custom" allowBlank="1" showDropDown="1" showInputMessage="1" showErrorMessage="1" prompt="Enter a valid date" sqref="P1">
      <formula1>OR(NOT(ISERROR(DATEVALUE(P1))), AND(ISNUMBER(P1), LEFT(CELL("format", P1))="D"))</formula1>
    </dataValidation>
    <dataValidation type="custom" allowBlank="1" showDropDown="1" showInputMessage="1" prompt="Enter a valid date" sqref="M1">
      <formula1>OR(NOT(ISERROR(DATEVALUE(M1))), AND(ISNUMBER(M1), LEFT(CELL("format", M1))="D"))</formula1>
    </dataValidation>
  </dataValidations>
  <printOptions horizontalCentered="1" verticalCentered="1"/>
  <pageMargins bottom="0.75" footer="0.0" header="0.0" left="0.25" right="0.25" top="0.75"/>
  <pageSetup fitToHeight="0" paperSize="5" orientation="landscape"/>
  <headerFooter>
    <oddHeader>&amp;R&amp;A</oddHeader>
    <oddFooter>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C34A"/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9.5"/>
    <col customWidth="1" min="3" max="4" width="8.0"/>
    <col customWidth="1" min="5" max="5" width="9.5"/>
    <col customWidth="1" min="6" max="6" width="9.75"/>
    <col customWidth="1" min="7" max="7" width="9.88"/>
    <col customWidth="1" min="8" max="11" width="9.5"/>
    <col customWidth="1" min="12" max="12" width="10.13"/>
    <col customWidth="1" min="13" max="13" width="10.88"/>
    <col customWidth="1" min="14" max="14" width="8.63"/>
    <col customWidth="1" min="15" max="17" width="8.0"/>
    <col customWidth="1" min="18" max="18" width="9.38"/>
    <col customWidth="1" min="19" max="21" width="8.0"/>
    <col customWidth="1" min="22" max="22" width="9.88"/>
    <col customWidth="1" min="23" max="23" width="8.63"/>
    <col customWidth="1" min="24" max="24" width="8.0"/>
    <col customWidth="1" min="25" max="28" width="8.25"/>
  </cols>
  <sheetData>
    <row r="1" ht="24.75" customHeight="1">
      <c r="A1" s="432"/>
      <c r="B1" s="433"/>
      <c r="C1" s="433"/>
      <c r="D1" s="433"/>
      <c r="E1" s="433"/>
      <c r="F1" s="433"/>
      <c r="G1" s="434" t="s">
        <v>428</v>
      </c>
      <c r="H1" s="180"/>
      <c r="I1" s="180"/>
      <c r="J1" s="435" t="s">
        <v>656</v>
      </c>
      <c r="K1" s="180"/>
      <c r="L1" s="180"/>
      <c r="M1" s="436" t="s">
        <v>429</v>
      </c>
      <c r="N1" s="437">
        <v>44921.0</v>
      </c>
      <c r="O1" s="180"/>
      <c r="P1" s="436" t="s">
        <v>11</v>
      </c>
      <c r="Q1" s="437">
        <v>44951.0</v>
      </c>
      <c r="R1" s="180"/>
      <c r="S1" s="433"/>
      <c r="T1" s="433"/>
      <c r="U1" s="433"/>
      <c r="V1" s="433"/>
      <c r="W1" s="433"/>
      <c r="X1" s="433"/>
      <c r="Y1" s="433"/>
      <c r="Z1" s="433"/>
      <c r="AA1" s="78"/>
      <c r="AB1" s="78"/>
    </row>
    <row r="2" ht="15.75" customHeight="1">
      <c r="A2" s="432"/>
      <c r="C2" s="438"/>
      <c r="D2" s="439"/>
      <c r="E2" s="440"/>
      <c r="F2" s="440"/>
      <c r="G2" s="440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440"/>
      <c r="T2" s="440"/>
      <c r="U2" s="440"/>
      <c r="V2" s="440"/>
      <c r="W2" s="440"/>
      <c r="X2" s="440"/>
      <c r="Y2" s="440"/>
      <c r="Z2" s="440"/>
      <c r="AA2" s="440"/>
      <c r="AB2" s="440"/>
    </row>
    <row r="3" ht="22.5" customHeight="1">
      <c r="A3" s="441"/>
      <c r="B3" s="442" t="s">
        <v>430</v>
      </c>
      <c r="C3" s="190"/>
      <c r="D3" s="190"/>
      <c r="E3" s="191"/>
      <c r="F3" s="443" t="s">
        <v>431</v>
      </c>
      <c r="G3" s="190"/>
      <c r="H3" s="190"/>
      <c r="I3" s="191"/>
      <c r="J3" s="444" t="s">
        <v>657</v>
      </c>
      <c r="K3" s="190"/>
      <c r="L3" s="190"/>
      <c r="M3" s="191"/>
      <c r="N3" s="444" t="s">
        <v>433</v>
      </c>
      <c r="O3" s="190"/>
      <c r="P3" s="190"/>
      <c r="Q3" s="191"/>
      <c r="R3" s="444" t="s">
        <v>434</v>
      </c>
      <c r="S3" s="191"/>
      <c r="T3" s="445" t="s">
        <v>435</v>
      </c>
      <c r="U3" s="446" t="s">
        <v>436</v>
      </c>
      <c r="V3" s="191"/>
      <c r="W3" s="443" t="s">
        <v>437</v>
      </c>
      <c r="X3" s="190"/>
      <c r="Y3" s="196"/>
      <c r="Z3" s="447"/>
      <c r="AA3" s="447"/>
      <c r="AB3" s="447"/>
    </row>
    <row r="4" ht="24.75" customHeight="1">
      <c r="A4" s="448"/>
      <c r="B4" s="449" t="s">
        <v>439</v>
      </c>
      <c r="C4" s="450" t="s">
        <v>440</v>
      </c>
      <c r="D4" s="450" t="s">
        <v>441</v>
      </c>
      <c r="E4" s="450" t="s">
        <v>442</v>
      </c>
      <c r="F4" s="450" t="s">
        <v>439</v>
      </c>
      <c r="G4" s="450" t="s">
        <v>440</v>
      </c>
      <c r="H4" s="450" t="s">
        <v>441</v>
      </c>
      <c r="I4" s="450" t="s">
        <v>442</v>
      </c>
      <c r="J4" s="450" t="s">
        <v>439</v>
      </c>
      <c r="K4" s="450" t="s">
        <v>440</v>
      </c>
      <c r="L4" s="450" t="s">
        <v>441</v>
      </c>
      <c r="M4" s="450" t="s">
        <v>442</v>
      </c>
      <c r="N4" s="450" t="s">
        <v>439</v>
      </c>
      <c r="O4" s="450" t="s">
        <v>440</v>
      </c>
      <c r="P4" s="450" t="s">
        <v>441</v>
      </c>
      <c r="Q4" s="450" t="s">
        <v>442</v>
      </c>
      <c r="R4" s="451" t="s">
        <v>440</v>
      </c>
      <c r="S4" s="451" t="s">
        <v>443</v>
      </c>
      <c r="T4" s="452" t="s">
        <v>444</v>
      </c>
      <c r="U4" s="452" t="s">
        <v>445</v>
      </c>
      <c r="V4" s="452" t="s">
        <v>446</v>
      </c>
      <c r="W4" s="452" t="s">
        <v>445</v>
      </c>
      <c r="X4" s="453" t="s">
        <v>446</v>
      </c>
      <c r="Y4" s="454" t="s">
        <v>658</v>
      </c>
      <c r="Z4" s="455"/>
      <c r="AA4" s="455"/>
    </row>
    <row r="5" ht="24.75" customHeight="1">
      <c r="A5" s="456" t="s">
        <v>448</v>
      </c>
      <c r="B5" s="457">
        <f>Sum!B4</f>
        <v>0</v>
      </c>
      <c r="C5" s="458">
        <f>Sum!C4</f>
        <v>0</v>
      </c>
      <c r="D5" s="458">
        <f>Sum!D4</f>
        <v>0</v>
      </c>
      <c r="E5" s="458">
        <f>Sum!E4</f>
        <v>0</v>
      </c>
      <c r="F5" s="458">
        <f>Sum!F4</f>
        <v>0</v>
      </c>
      <c r="G5" s="458">
        <f>Sum!G4</f>
        <v>0</v>
      </c>
      <c r="H5" s="458">
        <f>Sum!H4</f>
        <v>0</v>
      </c>
      <c r="I5" s="458">
        <f>Sum!I4</f>
        <v>0</v>
      </c>
      <c r="J5" s="458">
        <f>Sum!J4</f>
        <v>0</v>
      </c>
      <c r="K5" s="458">
        <f>Sum!K4</f>
        <v>0</v>
      </c>
      <c r="L5" s="458">
        <f>Sum!L4</f>
        <v>0</v>
      </c>
      <c r="M5" s="458">
        <f>Sum!M4</f>
        <v>0</v>
      </c>
      <c r="N5" s="458">
        <f t="shared" ref="N5:Q5" si="1">B5+F5+J5</f>
        <v>0</v>
      </c>
      <c r="O5" s="458">
        <f t="shared" si="1"/>
        <v>0</v>
      </c>
      <c r="P5" s="458">
        <f t="shared" si="1"/>
        <v>0</v>
      </c>
      <c r="Q5" s="458">
        <f t="shared" si="1"/>
        <v>0</v>
      </c>
      <c r="R5" s="458">
        <f>Sum!N4</f>
        <v>0</v>
      </c>
      <c r="S5" s="458">
        <f>Sum!O4</f>
        <v>0</v>
      </c>
      <c r="T5" s="458">
        <f>Sum!P4</f>
        <v>0</v>
      </c>
      <c r="U5" s="458">
        <f>Sum!Q4</f>
        <v>0</v>
      </c>
      <c r="V5" s="458">
        <f>Sum!R4</f>
        <v>0</v>
      </c>
      <c r="W5" s="458">
        <f>Sum!S4</f>
        <v>0</v>
      </c>
      <c r="X5" s="459">
        <f>Sum!T4</f>
        <v>0</v>
      </c>
      <c r="Y5" s="459">
        <f>Sum!U4</f>
        <v>0</v>
      </c>
      <c r="Z5" s="460"/>
      <c r="AA5" s="460"/>
    </row>
    <row r="6" ht="24.75" customHeight="1">
      <c r="A6" s="461" t="s">
        <v>485</v>
      </c>
      <c r="B6" s="462">
        <f>Sum!B5</f>
        <v>0</v>
      </c>
      <c r="C6" s="463">
        <f>Sum!C5</f>
        <v>0</v>
      </c>
      <c r="D6" s="463">
        <f>Sum!D5</f>
        <v>0</v>
      </c>
      <c r="E6" s="463">
        <f>Sum!E5</f>
        <v>0</v>
      </c>
      <c r="F6" s="463">
        <f>Sum!F5</f>
        <v>0</v>
      </c>
      <c r="G6" s="463">
        <f>Sum!G5</f>
        <v>0</v>
      </c>
      <c r="H6" s="463">
        <f>Sum!H5</f>
        <v>0</v>
      </c>
      <c r="I6" s="463">
        <f>Sum!I5</f>
        <v>0</v>
      </c>
      <c r="J6" s="463">
        <f>Sum!J5</f>
        <v>0</v>
      </c>
      <c r="K6" s="463">
        <f>Sum!K5</f>
        <v>0</v>
      </c>
      <c r="L6" s="463">
        <f>Sum!L5</f>
        <v>0</v>
      </c>
      <c r="M6" s="463">
        <f>Sum!M5</f>
        <v>0</v>
      </c>
      <c r="N6" s="463">
        <f t="shared" ref="N6:Q6" si="2">B6+F6+J6</f>
        <v>0</v>
      </c>
      <c r="O6" s="463">
        <f t="shared" si="2"/>
        <v>0</v>
      </c>
      <c r="P6" s="463">
        <f t="shared" si="2"/>
        <v>0</v>
      </c>
      <c r="Q6" s="463">
        <f t="shared" si="2"/>
        <v>0</v>
      </c>
      <c r="R6" s="464">
        <f>Sum!N5</f>
        <v>0</v>
      </c>
      <c r="S6" s="463">
        <f>Sum!O5</f>
        <v>0</v>
      </c>
      <c r="T6" s="463">
        <f>Sum!P5</f>
        <v>0</v>
      </c>
      <c r="U6" s="463">
        <f>Sum!Q5</f>
        <v>0</v>
      </c>
      <c r="V6" s="463">
        <f>Sum!R5</f>
        <v>0</v>
      </c>
      <c r="W6" s="463">
        <f>Sum!S5</f>
        <v>0</v>
      </c>
      <c r="X6" s="465">
        <f>Sum!T5</f>
        <v>0</v>
      </c>
      <c r="Y6" s="465">
        <f>Sum!U5</f>
        <v>0</v>
      </c>
      <c r="Z6" s="460"/>
      <c r="AA6" s="460"/>
    </row>
    <row r="7" ht="8.25" customHeight="1">
      <c r="A7" s="466"/>
      <c r="B7" s="467"/>
      <c r="C7" s="467"/>
      <c r="D7" s="467"/>
      <c r="E7" s="467"/>
      <c r="F7" s="468"/>
      <c r="G7" s="468"/>
      <c r="H7" s="468"/>
      <c r="I7" s="468"/>
      <c r="J7" s="469"/>
      <c r="K7" s="468"/>
      <c r="L7" s="468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0"/>
      <c r="X7" s="470"/>
      <c r="Y7" s="470"/>
      <c r="Z7" s="471"/>
      <c r="AA7" s="471"/>
      <c r="AB7" s="471"/>
    </row>
    <row r="8" ht="21.0" customHeight="1">
      <c r="A8" s="466"/>
      <c r="B8" s="472" t="s">
        <v>450</v>
      </c>
      <c r="G8" s="473"/>
      <c r="H8" s="474"/>
      <c r="I8" s="474"/>
      <c r="J8" s="474"/>
      <c r="K8" s="474"/>
      <c r="L8" s="474"/>
      <c r="M8" s="474"/>
      <c r="N8" s="474"/>
      <c r="O8" s="474"/>
      <c r="P8" s="474"/>
      <c r="Q8" s="474"/>
      <c r="R8" s="474"/>
      <c r="S8" s="474"/>
      <c r="T8" s="474"/>
      <c r="U8" s="474"/>
      <c r="V8" s="473"/>
      <c r="W8" s="473"/>
      <c r="X8" s="473"/>
      <c r="Y8" s="473"/>
      <c r="Z8" s="475"/>
      <c r="AA8" s="475"/>
      <c r="AB8" s="475"/>
    </row>
    <row r="9" ht="24.75" customHeight="1">
      <c r="A9" s="441"/>
      <c r="B9" s="476" t="s">
        <v>452</v>
      </c>
      <c r="C9" s="190"/>
      <c r="D9" s="191"/>
      <c r="E9" s="477" t="s">
        <v>453</v>
      </c>
      <c r="F9" s="190"/>
      <c r="G9" s="191"/>
      <c r="H9" s="477" t="s">
        <v>454</v>
      </c>
      <c r="I9" s="190"/>
      <c r="J9" s="191"/>
      <c r="K9" s="477" t="s">
        <v>455</v>
      </c>
      <c r="L9" s="190"/>
      <c r="M9" s="191"/>
      <c r="N9" s="478" t="s">
        <v>456</v>
      </c>
      <c r="O9" s="190"/>
      <c r="P9" s="191"/>
      <c r="Q9" s="479" t="s">
        <v>457</v>
      </c>
      <c r="R9" s="190"/>
      <c r="S9" s="191"/>
      <c r="T9" s="478" t="s">
        <v>458</v>
      </c>
      <c r="U9" s="190"/>
      <c r="V9" s="196"/>
      <c r="W9" s="480"/>
      <c r="X9" s="480"/>
      <c r="Y9" s="480"/>
      <c r="Z9" s="481"/>
      <c r="AA9" s="78"/>
      <c r="AB9" s="78"/>
    </row>
    <row r="10" ht="24.75" customHeight="1">
      <c r="B10" s="482" t="s">
        <v>459</v>
      </c>
      <c r="C10" s="483" t="s">
        <v>460</v>
      </c>
      <c r="D10" s="483" t="s">
        <v>461</v>
      </c>
      <c r="E10" s="483" t="s">
        <v>459</v>
      </c>
      <c r="F10" s="483" t="s">
        <v>460</v>
      </c>
      <c r="G10" s="483" t="s">
        <v>461</v>
      </c>
      <c r="H10" s="483" t="s">
        <v>459</v>
      </c>
      <c r="I10" s="483" t="s">
        <v>460</v>
      </c>
      <c r="J10" s="483" t="s">
        <v>461</v>
      </c>
      <c r="K10" s="483" t="s">
        <v>459</v>
      </c>
      <c r="L10" s="483" t="s">
        <v>460</v>
      </c>
      <c r="M10" s="483" t="s">
        <v>461</v>
      </c>
      <c r="N10" s="483" t="s">
        <v>459</v>
      </c>
      <c r="O10" s="483" t="s">
        <v>460</v>
      </c>
      <c r="P10" s="483" t="s">
        <v>461</v>
      </c>
      <c r="Q10" s="483" t="s">
        <v>459</v>
      </c>
      <c r="R10" s="483" t="s">
        <v>460</v>
      </c>
      <c r="S10" s="483" t="s">
        <v>461</v>
      </c>
      <c r="T10" s="483" t="s">
        <v>459</v>
      </c>
      <c r="U10" s="483" t="s">
        <v>460</v>
      </c>
      <c r="V10" s="484" t="s">
        <v>461</v>
      </c>
      <c r="W10" s="485"/>
      <c r="X10" s="485"/>
      <c r="Y10" s="485"/>
      <c r="Z10" s="486"/>
      <c r="AA10" s="78"/>
      <c r="AB10" s="78"/>
    </row>
    <row r="11" ht="24.75" customHeight="1">
      <c r="A11" s="441" t="s">
        <v>462</v>
      </c>
      <c r="B11" s="457">
        <f>Sum!V4</f>
        <v>0</v>
      </c>
      <c r="C11" s="458">
        <f>Sum!W4</f>
        <v>0</v>
      </c>
      <c r="D11" s="458">
        <f>Sum!X4</f>
        <v>0</v>
      </c>
      <c r="E11" s="458">
        <f>Sum!Y4</f>
        <v>0</v>
      </c>
      <c r="F11" s="458">
        <f>Sum!Z4</f>
        <v>0</v>
      </c>
      <c r="G11" s="458">
        <f>Sum!AA4</f>
        <v>0</v>
      </c>
      <c r="H11" s="458">
        <f>Sum!AB4</f>
        <v>0</v>
      </c>
      <c r="I11" s="458">
        <f>Sum!AC4</f>
        <v>0</v>
      </c>
      <c r="J11" s="458">
        <f>Sum!AD4</f>
        <v>0</v>
      </c>
      <c r="K11" s="458">
        <f>Sum!AE4</f>
        <v>0</v>
      </c>
      <c r="L11" s="458">
        <f>Sum!AF4</f>
        <v>0</v>
      </c>
      <c r="M11" s="458">
        <f>Sum!AG4</f>
        <v>0</v>
      </c>
      <c r="N11" s="458">
        <f>Sum!AH4</f>
        <v>0</v>
      </c>
      <c r="O11" s="458">
        <f>Sum!AI4</f>
        <v>0</v>
      </c>
      <c r="P11" s="458">
        <f>Sum!AJ4</f>
        <v>0</v>
      </c>
      <c r="Q11" s="458">
        <f>Sum!AK4</f>
        <v>0</v>
      </c>
      <c r="R11" s="458">
        <f>Sum!AL4</f>
        <v>0</v>
      </c>
      <c r="S11" s="458">
        <f>Sum!AM4</f>
        <v>0</v>
      </c>
      <c r="T11" s="458">
        <f>Sum!AN4</f>
        <v>0</v>
      </c>
      <c r="U11" s="458">
        <f>Sum!AO4</f>
        <v>0</v>
      </c>
      <c r="V11" s="459">
        <f>Sum!AP4</f>
        <v>0</v>
      </c>
      <c r="W11" s="487"/>
      <c r="X11" s="487"/>
      <c r="Y11" s="487"/>
      <c r="Z11" s="460"/>
      <c r="AA11" s="78"/>
      <c r="AB11" s="78"/>
    </row>
    <row r="12" ht="24.75" customHeight="1">
      <c r="A12" s="488" t="s">
        <v>485</v>
      </c>
      <c r="B12" s="462">
        <f>Sum!V5</f>
        <v>0</v>
      </c>
      <c r="C12" s="463">
        <f>Sum!W5</f>
        <v>0</v>
      </c>
      <c r="D12" s="463">
        <f>Sum!X5</f>
        <v>0</v>
      </c>
      <c r="E12" s="463">
        <f>Sum!Y5</f>
        <v>0</v>
      </c>
      <c r="F12" s="463">
        <f>Sum!Z5</f>
        <v>0</v>
      </c>
      <c r="G12" s="463">
        <f>Sum!AA5</f>
        <v>0</v>
      </c>
      <c r="H12" s="463">
        <f>Sum!AB5</f>
        <v>0</v>
      </c>
      <c r="I12" s="463">
        <f>Sum!AC5</f>
        <v>0</v>
      </c>
      <c r="J12" s="463">
        <f>Sum!AD5</f>
        <v>0</v>
      </c>
      <c r="K12" s="463">
        <f>Sum!AE5</f>
        <v>0</v>
      </c>
      <c r="L12" s="463">
        <f>Sum!AF5</f>
        <v>0</v>
      </c>
      <c r="M12" s="463">
        <f>Sum!AG5</f>
        <v>0</v>
      </c>
      <c r="N12" s="463">
        <f>Sum!AH5</f>
        <v>0</v>
      </c>
      <c r="O12" s="463">
        <f>Sum!AI5</f>
        <v>0</v>
      </c>
      <c r="P12" s="463">
        <f>Sum!AJ5</f>
        <v>0</v>
      </c>
      <c r="Q12" s="463">
        <f>Sum!AK5</f>
        <v>0</v>
      </c>
      <c r="R12" s="463">
        <f>Sum!AL5</f>
        <v>0</v>
      </c>
      <c r="S12" s="463">
        <f>Sum!AM5</f>
        <v>0</v>
      </c>
      <c r="T12" s="463">
        <f>Sum!AN5</f>
        <v>0</v>
      </c>
      <c r="U12" s="463">
        <f>Sum!AO5</f>
        <v>0</v>
      </c>
      <c r="V12" s="465">
        <f>Sum!AP5</f>
        <v>0</v>
      </c>
      <c r="W12" s="487"/>
      <c r="X12" s="487"/>
      <c r="Y12" s="487"/>
      <c r="Z12" s="460"/>
      <c r="AA12" s="78"/>
      <c r="AB12" s="78"/>
    </row>
    <row r="13" ht="6.75" customHeight="1">
      <c r="A13" s="448"/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489"/>
      <c r="M13" s="489"/>
      <c r="N13" s="489"/>
      <c r="O13" s="489"/>
      <c r="P13" s="489"/>
      <c r="Q13" s="489"/>
      <c r="R13" s="489"/>
      <c r="S13" s="489"/>
      <c r="T13" s="489"/>
      <c r="U13" s="468"/>
      <c r="V13" s="468"/>
      <c r="W13" s="487"/>
      <c r="X13" s="487"/>
      <c r="Y13" s="487"/>
      <c r="Z13" s="460"/>
      <c r="AA13" s="460"/>
      <c r="AB13" s="460"/>
    </row>
    <row r="14" ht="21.0" customHeight="1">
      <c r="A14" s="466"/>
      <c r="B14" s="472" t="s">
        <v>659</v>
      </c>
      <c r="I14" s="489"/>
      <c r="J14" s="489"/>
      <c r="K14" s="489"/>
      <c r="L14" s="489"/>
      <c r="M14" s="489"/>
      <c r="N14" s="489"/>
      <c r="O14" s="489"/>
      <c r="P14" s="489"/>
      <c r="Q14" s="489"/>
      <c r="R14" s="489"/>
      <c r="T14" s="489"/>
      <c r="U14" s="490"/>
      <c r="V14" s="490"/>
      <c r="W14" s="491"/>
      <c r="X14" s="491"/>
      <c r="Y14" s="491"/>
      <c r="Z14" s="492"/>
      <c r="AA14" s="492"/>
      <c r="AB14" s="492"/>
    </row>
    <row r="15" ht="27.75" customHeight="1">
      <c r="A15" s="493"/>
      <c r="B15" s="494" t="s">
        <v>465</v>
      </c>
      <c r="C15" s="495" t="s">
        <v>466</v>
      </c>
      <c r="D15" s="495" t="s">
        <v>467</v>
      </c>
      <c r="E15" s="495" t="s">
        <v>468</v>
      </c>
      <c r="F15" s="496" t="s">
        <v>469</v>
      </c>
      <c r="G15" s="496" t="s">
        <v>470</v>
      </c>
      <c r="H15" s="496" t="s">
        <v>471</v>
      </c>
      <c r="I15" s="496" t="s">
        <v>472</v>
      </c>
      <c r="J15" s="496" t="s">
        <v>473</v>
      </c>
      <c r="K15" s="496" t="s">
        <v>474</v>
      </c>
      <c r="L15" s="496" t="s">
        <v>475</v>
      </c>
      <c r="M15" s="496" t="s">
        <v>476</v>
      </c>
      <c r="N15" s="496" t="s">
        <v>477</v>
      </c>
      <c r="O15" s="496" t="s">
        <v>478</v>
      </c>
      <c r="P15" s="496" t="s">
        <v>479</v>
      </c>
      <c r="Q15" s="496" t="s">
        <v>480</v>
      </c>
      <c r="R15" s="496" t="s">
        <v>481</v>
      </c>
      <c r="S15" s="496" t="s">
        <v>482</v>
      </c>
      <c r="T15" s="496" t="s">
        <v>483</v>
      </c>
      <c r="U15" s="497" t="s">
        <v>484</v>
      </c>
      <c r="V15" s="480"/>
      <c r="W15" s="480"/>
      <c r="X15" s="474"/>
      <c r="Y15" s="474"/>
      <c r="Z15" s="78"/>
      <c r="AA15" s="78"/>
      <c r="AB15" s="78"/>
    </row>
    <row r="16" ht="24.75" customHeight="1">
      <c r="A16" s="441" t="s">
        <v>462</v>
      </c>
      <c r="B16" s="498">
        <f>Sum!B18</f>
        <v>0</v>
      </c>
      <c r="C16" s="499">
        <f>Sum!C18</f>
        <v>0</v>
      </c>
      <c r="D16" s="499">
        <f>Sum!D18</f>
        <v>0</v>
      </c>
      <c r="E16" s="499">
        <f>Sum!E18</f>
        <v>0</v>
      </c>
      <c r="F16" s="499">
        <f>Sum!F18</f>
        <v>0</v>
      </c>
      <c r="G16" s="499">
        <f>Sum!G18</f>
        <v>0</v>
      </c>
      <c r="H16" s="499">
        <f>Sum!H18</f>
        <v>0</v>
      </c>
      <c r="I16" s="499">
        <f>Sum!I18</f>
        <v>0</v>
      </c>
      <c r="J16" s="499">
        <f>Sum!J18</f>
        <v>0</v>
      </c>
      <c r="K16" s="499">
        <f>Sum!K18</f>
        <v>0</v>
      </c>
      <c r="L16" s="499">
        <f>Sum!L18</f>
        <v>0</v>
      </c>
      <c r="M16" s="499">
        <f>Sum!M18</f>
        <v>0</v>
      </c>
      <c r="N16" s="499">
        <f>Sum!N18</f>
        <v>0</v>
      </c>
      <c r="O16" s="499">
        <f>Sum!O18</f>
        <v>0</v>
      </c>
      <c r="P16" s="499">
        <f>Sum!P18</f>
        <v>0</v>
      </c>
      <c r="Q16" s="499">
        <f>Sum!Q18</f>
        <v>0</v>
      </c>
      <c r="R16" s="499">
        <f>Sum!R18</f>
        <v>0</v>
      </c>
      <c r="S16" s="499">
        <f>Sum!S18</f>
        <v>0</v>
      </c>
      <c r="T16" s="499">
        <f t="shared" ref="T16:T17" si="3">B16+C16+D16+E16+J16+K16+L16+M16+R16</f>
        <v>0</v>
      </c>
      <c r="U16" s="500">
        <f t="shared" ref="U16:U17" si="4">F16+G16+H16+I16+N16+O16+P16+Q16+S16</f>
        <v>0</v>
      </c>
      <c r="V16" s="487"/>
      <c r="W16" s="487"/>
      <c r="X16" s="474"/>
      <c r="Y16" s="474"/>
      <c r="Z16" s="78"/>
      <c r="AA16" s="78"/>
      <c r="AB16" s="78"/>
    </row>
    <row r="17" ht="24.75" customHeight="1">
      <c r="A17" s="488" t="s">
        <v>485</v>
      </c>
      <c r="B17" s="501">
        <f>Sum!B19</f>
        <v>0</v>
      </c>
      <c r="C17" s="502">
        <f>Sum!C19</f>
        <v>0</v>
      </c>
      <c r="D17" s="502">
        <f>Sum!D19</f>
        <v>0</v>
      </c>
      <c r="E17" s="502">
        <f>Sum!E19</f>
        <v>0</v>
      </c>
      <c r="F17" s="502">
        <f>Sum!F19</f>
        <v>0</v>
      </c>
      <c r="G17" s="502">
        <f>Sum!G19</f>
        <v>0</v>
      </c>
      <c r="H17" s="502">
        <f>Sum!H19</f>
        <v>0</v>
      </c>
      <c r="I17" s="502">
        <f>Sum!I19</f>
        <v>0</v>
      </c>
      <c r="J17" s="502">
        <f>Sum!J19</f>
        <v>0</v>
      </c>
      <c r="K17" s="502">
        <f>Sum!K19</f>
        <v>0</v>
      </c>
      <c r="L17" s="502">
        <f>Sum!L19</f>
        <v>0</v>
      </c>
      <c r="M17" s="502">
        <f>Sum!M19</f>
        <v>0</v>
      </c>
      <c r="N17" s="502">
        <f>Sum!N19</f>
        <v>0</v>
      </c>
      <c r="O17" s="502">
        <f>Sum!O19</f>
        <v>0</v>
      </c>
      <c r="P17" s="502">
        <f>Sum!P19</f>
        <v>0</v>
      </c>
      <c r="Q17" s="502">
        <f>Sum!Q19</f>
        <v>0</v>
      </c>
      <c r="R17" s="502">
        <f>Sum!R19</f>
        <v>0</v>
      </c>
      <c r="S17" s="502">
        <f>Sum!S19</f>
        <v>0</v>
      </c>
      <c r="T17" s="463">
        <f t="shared" si="3"/>
        <v>0</v>
      </c>
      <c r="U17" s="465">
        <f t="shared" si="4"/>
        <v>0</v>
      </c>
      <c r="V17" s="487"/>
      <c r="W17" s="487"/>
      <c r="X17" s="474"/>
      <c r="Y17" s="474"/>
      <c r="Z17" s="78"/>
      <c r="AA17" s="78"/>
      <c r="AB17" s="78"/>
    </row>
    <row r="18" ht="6.0" customHeight="1">
      <c r="A18" s="448"/>
      <c r="B18" s="489"/>
      <c r="C18" s="489"/>
      <c r="D18" s="489"/>
      <c r="E18" s="489"/>
      <c r="F18" s="489"/>
      <c r="G18" s="489"/>
      <c r="H18" s="489"/>
      <c r="I18" s="489"/>
      <c r="J18" s="489"/>
      <c r="K18" s="489"/>
      <c r="L18" s="489"/>
      <c r="M18" s="473"/>
      <c r="N18" s="473"/>
      <c r="O18" s="473"/>
      <c r="P18" s="473"/>
      <c r="Q18" s="473"/>
      <c r="R18" s="473"/>
      <c r="S18" s="473"/>
      <c r="T18" s="473"/>
      <c r="U18" s="503"/>
      <c r="V18" s="503"/>
      <c r="W18" s="491"/>
      <c r="X18" s="491"/>
      <c r="Y18" s="491"/>
      <c r="Z18" s="492"/>
      <c r="AA18" s="492"/>
      <c r="AB18" s="492"/>
    </row>
    <row r="19" ht="19.5" customHeight="1">
      <c r="A19" s="466"/>
      <c r="B19" s="472" t="s">
        <v>486</v>
      </c>
      <c r="H19" s="489"/>
      <c r="I19" s="489"/>
      <c r="J19" s="489"/>
      <c r="K19" s="489"/>
      <c r="L19" s="489"/>
      <c r="M19" s="489"/>
      <c r="N19" s="473"/>
      <c r="O19" s="473"/>
      <c r="P19" s="473"/>
      <c r="Q19" s="473"/>
      <c r="R19" s="473"/>
      <c r="S19" s="473"/>
      <c r="T19" s="473"/>
      <c r="U19" s="504"/>
      <c r="W19" s="491"/>
      <c r="X19" s="491"/>
      <c r="Y19" s="491"/>
      <c r="Z19" s="492"/>
      <c r="AA19" s="492"/>
      <c r="AB19" s="492"/>
    </row>
    <row r="20" ht="24.75" customHeight="1">
      <c r="A20" s="505"/>
      <c r="B20" s="476" t="s">
        <v>465</v>
      </c>
      <c r="C20" s="191"/>
      <c r="D20" s="478" t="s">
        <v>487</v>
      </c>
      <c r="E20" s="191"/>
      <c r="F20" s="478" t="s">
        <v>488</v>
      </c>
      <c r="G20" s="191"/>
      <c r="H20" s="478" t="s">
        <v>489</v>
      </c>
      <c r="I20" s="191"/>
      <c r="J20" s="478" t="s">
        <v>490</v>
      </c>
      <c r="K20" s="191"/>
      <c r="L20" s="478" t="s">
        <v>491</v>
      </c>
      <c r="M20" s="191"/>
      <c r="N20" s="478" t="s">
        <v>492</v>
      </c>
      <c r="O20" s="191"/>
      <c r="P20" s="478" t="s">
        <v>493</v>
      </c>
      <c r="Q20" s="191"/>
      <c r="R20" s="478" t="s">
        <v>494</v>
      </c>
      <c r="S20" s="196"/>
      <c r="T20" s="506"/>
      <c r="U20" s="506"/>
      <c r="V20" s="480"/>
      <c r="W20" s="480"/>
      <c r="X20" s="480"/>
      <c r="Y20" s="480"/>
      <c r="Z20" s="52"/>
      <c r="AA20" s="52"/>
      <c r="AB20" s="52"/>
    </row>
    <row r="21" ht="24.75" customHeight="1">
      <c r="A21" s="505"/>
      <c r="B21" s="507" t="s">
        <v>495</v>
      </c>
      <c r="C21" s="508" t="s">
        <v>496</v>
      </c>
      <c r="D21" s="509" t="s">
        <v>495</v>
      </c>
      <c r="E21" s="508" t="s">
        <v>496</v>
      </c>
      <c r="F21" s="509" t="s">
        <v>495</v>
      </c>
      <c r="G21" s="508" t="s">
        <v>496</v>
      </c>
      <c r="H21" s="509" t="s">
        <v>495</v>
      </c>
      <c r="I21" s="508" t="s">
        <v>496</v>
      </c>
      <c r="J21" s="509" t="s">
        <v>495</v>
      </c>
      <c r="K21" s="508" t="s">
        <v>496</v>
      </c>
      <c r="L21" s="509" t="s">
        <v>495</v>
      </c>
      <c r="M21" s="508" t="s">
        <v>496</v>
      </c>
      <c r="N21" s="509" t="s">
        <v>495</v>
      </c>
      <c r="O21" s="508" t="s">
        <v>496</v>
      </c>
      <c r="P21" s="509" t="s">
        <v>495</v>
      </c>
      <c r="Q21" s="508" t="s">
        <v>496</v>
      </c>
      <c r="R21" s="509" t="s">
        <v>495</v>
      </c>
      <c r="S21" s="510" t="s">
        <v>496</v>
      </c>
      <c r="T21" s="511"/>
      <c r="U21" s="511"/>
      <c r="V21" s="511"/>
      <c r="W21" s="511"/>
      <c r="X21" s="511"/>
      <c r="Y21" s="511"/>
      <c r="Z21" s="78"/>
      <c r="AA21" s="78"/>
      <c r="AB21" s="78"/>
    </row>
    <row r="22" ht="24.75" customHeight="1">
      <c r="A22" s="441" t="s">
        <v>462</v>
      </c>
      <c r="B22" s="457">
        <f>Sum!X18</f>
        <v>0</v>
      </c>
      <c r="C22" s="458">
        <f>Sum!Y18</f>
        <v>0</v>
      </c>
      <c r="D22" s="458">
        <f>Sum!Z18</f>
        <v>0</v>
      </c>
      <c r="E22" s="458">
        <f>Sum!AA18</f>
        <v>0</v>
      </c>
      <c r="F22" s="458">
        <f>Sum!AB18</f>
        <v>0</v>
      </c>
      <c r="G22" s="458">
        <f>Sum!AC18</f>
        <v>0</v>
      </c>
      <c r="H22" s="458">
        <f>Sum!AD18</f>
        <v>0</v>
      </c>
      <c r="I22" s="458">
        <f>Sum!AE18</f>
        <v>0</v>
      </c>
      <c r="J22" s="458">
        <f>Sum!AF18</f>
        <v>0</v>
      </c>
      <c r="K22" s="458">
        <f>Sum!AG18</f>
        <v>0</v>
      </c>
      <c r="L22" s="458">
        <f>Sum!AH18</f>
        <v>0</v>
      </c>
      <c r="M22" s="458">
        <f>Sum!AI18</f>
        <v>0</v>
      </c>
      <c r="N22" s="458">
        <f>Sum!AJ18</f>
        <v>0</v>
      </c>
      <c r="O22" s="458">
        <f>Sum!AK18</f>
        <v>0</v>
      </c>
      <c r="P22" s="458">
        <f>Sum!AL18</f>
        <v>0</v>
      </c>
      <c r="Q22" s="458">
        <f>Sum!AM18</f>
        <v>0</v>
      </c>
      <c r="R22" s="458">
        <f>Sum!AN18</f>
        <v>0</v>
      </c>
      <c r="S22" s="459">
        <f>Sum!AO18</f>
        <v>0</v>
      </c>
      <c r="T22" s="511"/>
      <c r="U22" s="511"/>
      <c r="V22" s="511"/>
      <c r="W22" s="511"/>
      <c r="X22" s="511"/>
      <c r="Y22" s="511"/>
      <c r="Z22" s="78"/>
      <c r="AA22" s="78"/>
      <c r="AB22" s="78"/>
    </row>
    <row r="23" ht="24.75" customHeight="1">
      <c r="A23" s="488" t="s">
        <v>485</v>
      </c>
      <c r="B23" s="462">
        <f>Sum!X19</f>
        <v>0</v>
      </c>
      <c r="C23" s="463">
        <f>Sum!Y19</f>
        <v>0</v>
      </c>
      <c r="D23" s="463">
        <f>Sum!Z19</f>
        <v>0</v>
      </c>
      <c r="E23" s="463">
        <f>Sum!AA19</f>
        <v>0</v>
      </c>
      <c r="F23" s="463">
        <f>Sum!AB19</f>
        <v>0</v>
      </c>
      <c r="G23" s="463">
        <f>Sum!AC19</f>
        <v>0</v>
      </c>
      <c r="H23" s="463">
        <f>Sum!AD19</f>
        <v>0</v>
      </c>
      <c r="I23" s="463">
        <f>Sum!AE19</f>
        <v>0</v>
      </c>
      <c r="J23" s="463">
        <f>Sum!AF19</f>
        <v>0</v>
      </c>
      <c r="K23" s="463">
        <f>Sum!AG19</f>
        <v>0</v>
      </c>
      <c r="L23" s="463">
        <f>Sum!AH19</f>
        <v>0</v>
      </c>
      <c r="M23" s="463">
        <f>Sum!AI19</f>
        <v>0</v>
      </c>
      <c r="N23" s="463">
        <f>Sum!AJ19</f>
        <v>0</v>
      </c>
      <c r="O23" s="463">
        <f>Sum!AK19</f>
        <v>0</v>
      </c>
      <c r="P23" s="463">
        <f>Sum!AL19</f>
        <v>0</v>
      </c>
      <c r="Q23" s="463">
        <f>Sum!AM19</f>
        <v>0</v>
      </c>
      <c r="R23" s="463">
        <f>Sum!AN19</f>
        <v>0</v>
      </c>
      <c r="S23" s="465">
        <f>Sum!AO19</f>
        <v>0</v>
      </c>
      <c r="T23" s="511"/>
      <c r="U23" s="511"/>
      <c r="V23" s="511"/>
      <c r="W23" s="511"/>
      <c r="X23" s="511"/>
      <c r="Y23" s="511"/>
      <c r="Z23" s="78"/>
      <c r="AA23" s="78"/>
      <c r="AB23" s="78"/>
    </row>
    <row r="24" ht="7.5" customHeight="1">
      <c r="A24" s="448"/>
      <c r="B24" s="489"/>
      <c r="C24" s="489"/>
      <c r="D24" s="489"/>
      <c r="E24" s="489"/>
      <c r="F24" s="489"/>
      <c r="G24" s="489"/>
      <c r="H24" s="489"/>
      <c r="I24" s="489"/>
      <c r="J24" s="489"/>
      <c r="K24" s="489"/>
      <c r="L24" s="489"/>
      <c r="M24" s="473"/>
      <c r="N24" s="473"/>
      <c r="O24" s="473"/>
      <c r="P24" s="473"/>
      <c r="Q24" s="473"/>
      <c r="R24" s="473"/>
      <c r="S24" s="473"/>
      <c r="T24" s="473"/>
      <c r="U24" s="504"/>
      <c r="V24" s="504"/>
      <c r="W24" s="491"/>
      <c r="X24" s="491"/>
      <c r="Y24" s="491"/>
      <c r="Z24" s="492"/>
      <c r="AA24" s="492"/>
      <c r="AB24" s="492"/>
    </row>
    <row r="25" ht="21.0" customHeight="1">
      <c r="A25" s="466"/>
      <c r="B25" s="472" t="s">
        <v>498</v>
      </c>
      <c r="J25" s="489"/>
      <c r="K25" s="489"/>
      <c r="L25" s="489"/>
      <c r="M25" s="473"/>
      <c r="U25" s="504"/>
      <c r="W25" s="491"/>
      <c r="X25" s="491"/>
      <c r="Y25" s="491"/>
      <c r="Z25" s="492"/>
      <c r="AA25" s="492"/>
      <c r="AB25" s="492"/>
    </row>
    <row r="26" ht="24.75" customHeight="1">
      <c r="A26" s="441"/>
      <c r="B26" s="512" t="s">
        <v>465</v>
      </c>
      <c r="C26" s="191"/>
      <c r="D26" s="513" t="s">
        <v>487</v>
      </c>
      <c r="E26" s="191"/>
      <c r="F26" s="513" t="s">
        <v>488</v>
      </c>
      <c r="G26" s="191"/>
      <c r="H26" s="513" t="s">
        <v>489</v>
      </c>
      <c r="I26" s="191"/>
      <c r="J26" s="513" t="s">
        <v>490</v>
      </c>
      <c r="K26" s="191"/>
      <c r="L26" s="513" t="s">
        <v>491</v>
      </c>
      <c r="M26" s="191"/>
      <c r="N26" s="513" t="s">
        <v>492</v>
      </c>
      <c r="O26" s="191"/>
      <c r="P26" s="513" t="s">
        <v>493</v>
      </c>
      <c r="Q26" s="191"/>
      <c r="R26" s="513" t="s">
        <v>494</v>
      </c>
      <c r="S26" s="196"/>
      <c r="T26" s="468"/>
      <c r="U26" s="468"/>
      <c r="V26" s="468"/>
      <c r="W26" s="468"/>
      <c r="X26" s="468"/>
      <c r="Y26" s="468"/>
      <c r="Z26" s="78"/>
      <c r="AA26" s="78"/>
      <c r="AB26" s="78"/>
    </row>
    <row r="27" ht="24.75" customHeight="1">
      <c r="A27" s="441"/>
      <c r="B27" s="514" t="s">
        <v>499</v>
      </c>
      <c r="C27" s="515" t="s">
        <v>500</v>
      </c>
      <c r="D27" s="515" t="s">
        <v>499</v>
      </c>
      <c r="E27" s="515" t="s">
        <v>500</v>
      </c>
      <c r="F27" s="515" t="s">
        <v>499</v>
      </c>
      <c r="G27" s="515" t="s">
        <v>500</v>
      </c>
      <c r="H27" s="515" t="s">
        <v>499</v>
      </c>
      <c r="I27" s="515" t="s">
        <v>500</v>
      </c>
      <c r="J27" s="515" t="s">
        <v>499</v>
      </c>
      <c r="K27" s="515" t="s">
        <v>500</v>
      </c>
      <c r="L27" s="515" t="s">
        <v>499</v>
      </c>
      <c r="M27" s="515" t="s">
        <v>500</v>
      </c>
      <c r="N27" s="515" t="s">
        <v>499</v>
      </c>
      <c r="O27" s="515" t="s">
        <v>500</v>
      </c>
      <c r="P27" s="515" t="s">
        <v>499</v>
      </c>
      <c r="Q27" s="515" t="s">
        <v>500</v>
      </c>
      <c r="R27" s="515" t="s">
        <v>499</v>
      </c>
      <c r="S27" s="516" t="s">
        <v>500</v>
      </c>
      <c r="T27" s="468"/>
      <c r="U27" s="468"/>
      <c r="V27" s="511"/>
      <c r="W27" s="511"/>
      <c r="X27" s="511"/>
      <c r="Y27" s="511"/>
      <c r="Z27" s="78"/>
      <c r="AA27" s="78"/>
      <c r="AB27" s="78"/>
    </row>
    <row r="28" ht="24.75" customHeight="1">
      <c r="A28" s="441" t="s">
        <v>462</v>
      </c>
      <c r="B28" s="457">
        <f>Sum!AT18</f>
        <v>0</v>
      </c>
      <c r="C28" s="458">
        <f>Sum!AU18</f>
        <v>0</v>
      </c>
      <c r="D28" s="458">
        <f>Sum!AV18</f>
        <v>0</v>
      </c>
      <c r="E28" s="458">
        <f>Sum!AW18</f>
        <v>0</v>
      </c>
      <c r="F28" s="458">
        <f>Sum!AX18</f>
        <v>0</v>
      </c>
      <c r="G28" s="458">
        <f>Sum!AY18</f>
        <v>0</v>
      </c>
      <c r="H28" s="458">
        <f>Sum!AZ18</f>
        <v>0</v>
      </c>
      <c r="I28" s="458">
        <f>Sum!BA18</f>
        <v>0</v>
      </c>
      <c r="J28" s="458">
        <f>Sum!BB18</f>
        <v>0</v>
      </c>
      <c r="K28" s="458">
        <f>Sum!BC18</f>
        <v>0</v>
      </c>
      <c r="L28" s="458">
        <f>Sum!BD18</f>
        <v>0</v>
      </c>
      <c r="M28" s="458">
        <f>Sum!BE18</f>
        <v>0</v>
      </c>
      <c r="N28" s="458">
        <f>Sum!BF18</f>
        <v>0</v>
      </c>
      <c r="O28" s="458">
        <f>Sum!BG18</f>
        <v>0</v>
      </c>
      <c r="P28" s="458">
        <f>Sum!BH18</f>
        <v>0</v>
      </c>
      <c r="Q28" s="458">
        <f>Sum!BI18</f>
        <v>0</v>
      </c>
      <c r="R28" s="458">
        <f>Sum!BJ18</f>
        <v>0</v>
      </c>
      <c r="S28" s="459">
        <f>Sum!BK18</f>
        <v>0</v>
      </c>
      <c r="T28" s="468"/>
      <c r="U28" s="468"/>
      <c r="V28" s="511"/>
      <c r="W28" s="511"/>
      <c r="X28" s="511"/>
      <c r="Y28" s="511"/>
      <c r="Z28" s="78"/>
      <c r="AA28" s="78"/>
      <c r="AB28" s="78"/>
    </row>
    <row r="29" ht="24.75" customHeight="1">
      <c r="A29" s="488" t="s">
        <v>485</v>
      </c>
      <c r="B29" s="462">
        <f>Sum!AT19</f>
        <v>0</v>
      </c>
      <c r="C29" s="463">
        <f>Sum!AU19</f>
        <v>0</v>
      </c>
      <c r="D29" s="463">
        <f>Sum!AV19</f>
        <v>0</v>
      </c>
      <c r="E29" s="463">
        <f>Sum!AW19</f>
        <v>0</v>
      </c>
      <c r="F29" s="463">
        <f>Sum!AX19</f>
        <v>0</v>
      </c>
      <c r="G29" s="463">
        <f>Sum!AY19</f>
        <v>0</v>
      </c>
      <c r="H29" s="463">
        <f>Sum!AZ19</f>
        <v>0</v>
      </c>
      <c r="I29" s="463">
        <f>Sum!BA19</f>
        <v>0</v>
      </c>
      <c r="J29" s="463">
        <f>Sum!BB19</f>
        <v>0</v>
      </c>
      <c r="K29" s="463">
        <f>Sum!BC19</f>
        <v>0</v>
      </c>
      <c r="L29" s="463">
        <f>Sum!BD19</f>
        <v>0</v>
      </c>
      <c r="M29" s="463">
        <f>Sum!BE19</f>
        <v>0</v>
      </c>
      <c r="N29" s="463">
        <f>Sum!BF19</f>
        <v>0</v>
      </c>
      <c r="O29" s="463">
        <f>Sum!BG19</f>
        <v>0</v>
      </c>
      <c r="P29" s="463">
        <f>Sum!BH19</f>
        <v>0</v>
      </c>
      <c r="Q29" s="463">
        <f>Sum!BI19</f>
        <v>0</v>
      </c>
      <c r="R29" s="463">
        <f>Sum!BJ19</f>
        <v>0</v>
      </c>
      <c r="S29" s="465">
        <f>Sum!BK19</f>
        <v>0</v>
      </c>
      <c r="T29" s="468"/>
      <c r="U29" s="468"/>
      <c r="V29" s="511"/>
      <c r="W29" s="511"/>
      <c r="X29" s="511"/>
      <c r="Y29" s="511"/>
      <c r="Z29" s="78"/>
      <c r="AA29" s="78"/>
      <c r="AB29" s="78"/>
    </row>
    <row r="30" ht="6.75" customHeight="1">
      <c r="A30" s="466"/>
      <c r="B30" s="487"/>
      <c r="C30" s="487"/>
      <c r="D30" s="487"/>
      <c r="E30" s="487"/>
      <c r="F30" s="487"/>
      <c r="G30" s="487"/>
      <c r="H30" s="487"/>
      <c r="I30" s="48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487"/>
      <c r="Z30" s="460"/>
      <c r="AA30" s="460"/>
      <c r="AB30" s="460"/>
    </row>
    <row r="31" ht="20.25" customHeight="1">
      <c r="A31" s="466"/>
      <c r="B31" s="518" t="s">
        <v>501</v>
      </c>
      <c r="G31" s="473"/>
      <c r="H31" s="473"/>
      <c r="I31" s="519" t="s">
        <v>502</v>
      </c>
      <c r="N31" s="474"/>
      <c r="O31" s="472" t="s">
        <v>503</v>
      </c>
      <c r="T31" s="474"/>
      <c r="U31" s="491"/>
      <c r="V31" s="491"/>
      <c r="W31" s="520"/>
      <c r="X31" s="520"/>
      <c r="Y31" s="520"/>
      <c r="Z31" s="521"/>
      <c r="AA31" s="521"/>
      <c r="AB31" s="521"/>
    </row>
    <row r="32" ht="24.75" customHeight="1">
      <c r="A32" s="493"/>
      <c r="B32" s="522" t="s">
        <v>504</v>
      </c>
      <c r="C32" s="523" t="s">
        <v>505</v>
      </c>
      <c r="D32" s="496" t="s">
        <v>506</v>
      </c>
      <c r="E32" s="496" t="s">
        <v>507</v>
      </c>
      <c r="F32" s="496" t="s">
        <v>508</v>
      </c>
      <c r="G32" s="497" t="s">
        <v>509</v>
      </c>
      <c r="H32" s="474"/>
      <c r="I32" s="524" t="s">
        <v>510</v>
      </c>
      <c r="J32" s="523" t="s">
        <v>496</v>
      </c>
      <c r="K32" s="496" t="s">
        <v>95</v>
      </c>
      <c r="L32" s="523" t="s">
        <v>496</v>
      </c>
      <c r="M32" s="525" t="s">
        <v>511</v>
      </c>
      <c r="N32" s="526"/>
      <c r="O32" s="527" t="s">
        <v>512</v>
      </c>
      <c r="P32" s="528" t="s">
        <v>513</v>
      </c>
      <c r="Q32" s="528" t="s">
        <v>512</v>
      </c>
      <c r="R32" s="528" t="s">
        <v>513</v>
      </c>
      <c r="S32" s="529" t="s">
        <v>514</v>
      </c>
      <c r="T32" s="468"/>
      <c r="U32" s="530"/>
      <c r="V32" s="530"/>
      <c r="W32" s="530"/>
      <c r="X32" s="530"/>
      <c r="Y32" s="530"/>
      <c r="Z32" s="531"/>
      <c r="AA32" s="78"/>
      <c r="AB32" s="78"/>
    </row>
    <row r="33" ht="24.75" customHeight="1">
      <c r="A33" s="441" t="s">
        <v>462</v>
      </c>
      <c r="B33" s="532">
        <f>Sum!T18</f>
        <v>0</v>
      </c>
      <c r="C33" s="533">
        <f>Sum!U18</f>
        <v>0</v>
      </c>
      <c r="D33" s="533">
        <f>Sum!V18</f>
        <v>0</v>
      </c>
      <c r="E33" s="533">
        <f>Sum!W18</f>
        <v>0</v>
      </c>
      <c r="F33" s="458">
        <f t="shared" ref="F33:F34" si="5">B33+C33</f>
        <v>0</v>
      </c>
      <c r="G33" s="459">
        <f t="shared" ref="G33:G34" si="6">D33+E33</f>
        <v>0</v>
      </c>
      <c r="H33" s="534"/>
      <c r="I33" s="457">
        <f>Sum!AP18</f>
        <v>0</v>
      </c>
      <c r="J33" s="458">
        <f>Sum!AQ18</f>
        <v>0</v>
      </c>
      <c r="K33" s="458">
        <f>Sum!AR18</f>
        <v>0</v>
      </c>
      <c r="L33" s="458">
        <f>Sum!AS18</f>
        <v>0</v>
      </c>
      <c r="M33" s="459">
        <f>IF(I33+K33=0,0,(J33+L33)/(I33+K33)%)</f>
        <v>0</v>
      </c>
      <c r="N33" s="535"/>
      <c r="O33" s="457">
        <f>Sum!BL18</f>
        <v>0</v>
      </c>
      <c r="P33" s="458">
        <f>Sum!BM18</f>
        <v>0</v>
      </c>
      <c r="Q33" s="458">
        <f>Sum!BN18</f>
        <v>0</v>
      </c>
      <c r="R33" s="458">
        <f>Sum!BO18</f>
        <v>0</v>
      </c>
      <c r="S33" s="459">
        <f>SUM(O33:R33)</f>
        <v>0</v>
      </c>
      <c r="T33" s="487"/>
      <c r="U33" s="517"/>
      <c r="V33" s="517"/>
      <c r="W33" s="517"/>
      <c r="X33" s="517"/>
      <c r="Y33" s="517"/>
      <c r="Z33" s="536"/>
      <c r="AA33" s="78"/>
      <c r="AB33" s="78"/>
    </row>
    <row r="34" ht="24.75" customHeight="1">
      <c r="A34" s="488" t="s">
        <v>485</v>
      </c>
      <c r="B34" s="537">
        <f>Sum!T19</f>
        <v>0</v>
      </c>
      <c r="C34" s="538">
        <f>Sum!U19</f>
        <v>0</v>
      </c>
      <c r="D34" s="538">
        <f>Sum!V19</f>
        <v>0</v>
      </c>
      <c r="E34" s="538">
        <f>Sum!W19</f>
        <v>0</v>
      </c>
      <c r="F34" s="463">
        <f t="shared" si="5"/>
        <v>0</v>
      </c>
      <c r="G34" s="465">
        <f t="shared" si="6"/>
        <v>0</v>
      </c>
      <c r="H34" s="534"/>
      <c r="I34" s="462">
        <f>Sum!AP19</f>
        <v>0</v>
      </c>
      <c r="J34" s="463">
        <f>Sum!AQ19</f>
        <v>0</v>
      </c>
      <c r="K34" s="463">
        <f>Sum!AR19</f>
        <v>0</v>
      </c>
      <c r="L34" s="463">
        <f>Sum!AS19</f>
        <v>0</v>
      </c>
      <c r="M34" s="465">
        <f>SUM(K34:L34)</f>
        <v>0</v>
      </c>
      <c r="N34" s="535"/>
      <c r="O34" s="462">
        <f>Sum!BL19</f>
        <v>0</v>
      </c>
      <c r="P34" s="463">
        <f>Sum!BM19</f>
        <v>0</v>
      </c>
      <c r="Q34" s="463">
        <f>Sum!BN19</f>
        <v>0</v>
      </c>
      <c r="R34" s="463">
        <f>Sum!BO19</f>
        <v>0</v>
      </c>
      <c r="S34" s="465">
        <f>SUM(Q34:R34)</f>
        <v>0</v>
      </c>
      <c r="T34" s="487"/>
      <c r="U34" s="487"/>
      <c r="V34" s="487"/>
      <c r="W34" s="487"/>
      <c r="X34" s="487"/>
      <c r="Y34" s="487"/>
      <c r="Z34" s="460"/>
      <c r="AA34" s="78"/>
      <c r="AB34" s="78"/>
    </row>
    <row r="35" ht="9.0" customHeight="1">
      <c r="A35" s="488"/>
      <c r="B35" s="534"/>
      <c r="C35" s="534"/>
      <c r="D35" s="534"/>
      <c r="E35" s="534"/>
      <c r="F35" s="534"/>
      <c r="G35" s="534"/>
      <c r="H35" s="534"/>
      <c r="I35" s="534"/>
      <c r="J35" s="534"/>
      <c r="K35" s="534"/>
      <c r="L35" s="534"/>
      <c r="M35" s="534"/>
      <c r="N35" s="535"/>
      <c r="O35" s="534"/>
      <c r="P35" s="534"/>
      <c r="Q35" s="534"/>
      <c r="R35" s="534"/>
      <c r="S35" s="534"/>
      <c r="T35" s="487"/>
      <c r="U35" s="487"/>
      <c r="V35" s="487"/>
      <c r="W35" s="487"/>
      <c r="X35" s="487"/>
      <c r="Y35" s="487"/>
      <c r="Z35" s="460"/>
      <c r="AA35" s="78"/>
      <c r="AB35" s="78"/>
    </row>
    <row r="36" ht="24.75" customHeight="1">
      <c r="A36" s="488"/>
      <c r="B36" s="534"/>
      <c r="C36" s="534"/>
      <c r="D36" s="534"/>
      <c r="E36" s="534"/>
      <c r="F36" s="434" t="s">
        <v>428</v>
      </c>
      <c r="G36" s="180"/>
      <c r="H36" s="180"/>
      <c r="I36" s="435" t="s">
        <v>660</v>
      </c>
      <c r="J36" s="180"/>
      <c r="K36" s="435" t="s">
        <v>661</v>
      </c>
      <c r="L36" s="180"/>
      <c r="M36" s="436" t="s">
        <v>429</v>
      </c>
      <c r="N36" s="437">
        <f>N1</f>
        <v>44921</v>
      </c>
      <c r="O36" s="180"/>
      <c r="P36" s="436" t="s">
        <v>11</v>
      </c>
      <c r="Q36" s="437">
        <f>Q1</f>
        <v>44951</v>
      </c>
      <c r="R36" s="180"/>
      <c r="S36" s="534"/>
      <c r="T36" s="487"/>
      <c r="U36" s="487"/>
      <c r="V36" s="487"/>
      <c r="W36" s="487"/>
      <c r="X36" s="487"/>
      <c r="Y36" s="487"/>
      <c r="Z36" s="460"/>
      <c r="AA36" s="78"/>
      <c r="AB36" s="78"/>
    </row>
    <row r="37" ht="24.75" customHeight="1">
      <c r="A37" s="466"/>
      <c r="B37" s="472" t="s">
        <v>662</v>
      </c>
      <c r="I37" s="489"/>
      <c r="J37" s="489"/>
      <c r="K37" s="489"/>
      <c r="L37" s="489"/>
      <c r="M37" s="489"/>
      <c r="N37" s="489"/>
      <c r="O37" s="489"/>
      <c r="P37" s="489"/>
      <c r="Q37" s="489"/>
      <c r="R37" s="489"/>
      <c r="T37" s="489"/>
      <c r="U37" s="490"/>
      <c r="V37" s="490"/>
      <c r="W37" s="487"/>
      <c r="X37" s="487"/>
      <c r="Y37" s="487"/>
      <c r="Z37" s="460"/>
      <c r="AA37" s="78"/>
      <c r="AB37" s="78"/>
    </row>
    <row r="38" ht="24.75" customHeight="1">
      <c r="A38" s="493"/>
      <c r="B38" s="494" t="s">
        <v>465</v>
      </c>
      <c r="C38" s="495" t="s">
        <v>466</v>
      </c>
      <c r="D38" s="495" t="s">
        <v>467</v>
      </c>
      <c r="E38" s="495" t="s">
        <v>468</v>
      </c>
      <c r="F38" s="496" t="s">
        <v>469</v>
      </c>
      <c r="G38" s="496" t="s">
        <v>470</v>
      </c>
      <c r="H38" s="496" t="s">
        <v>471</v>
      </c>
      <c r="I38" s="496" t="s">
        <v>472</v>
      </c>
      <c r="J38" s="496" t="s">
        <v>473</v>
      </c>
      <c r="K38" s="496" t="s">
        <v>474</v>
      </c>
      <c r="L38" s="496" t="s">
        <v>475</v>
      </c>
      <c r="M38" s="496" t="s">
        <v>476</v>
      </c>
      <c r="N38" s="496" t="s">
        <v>477</v>
      </c>
      <c r="O38" s="496" t="s">
        <v>478</v>
      </c>
      <c r="P38" s="496" t="s">
        <v>479</v>
      </c>
      <c r="Q38" s="496" t="s">
        <v>480</v>
      </c>
      <c r="R38" s="496" t="s">
        <v>481</v>
      </c>
      <c r="S38" s="496" t="s">
        <v>482</v>
      </c>
      <c r="T38" s="496" t="s">
        <v>483</v>
      </c>
      <c r="U38" s="497" t="s">
        <v>484</v>
      </c>
      <c r="V38" s="480"/>
      <c r="W38" s="487"/>
      <c r="X38" s="487"/>
      <c r="Y38" s="487"/>
      <c r="Z38" s="460"/>
      <c r="AA38" s="78"/>
      <c r="AB38" s="78"/>
    </row>
    <row r="39" ht="24.75" customHeight="1">
      <c r="A39" s="441" t="s">
        <v>462</v>
      </c>
      <c r="B39" s="457">
        <f>Sum!B24</f>
        <v>0</v>
      </c>
      <c r="C39" s="458">
        <f>Sum!C24</f>
        <v>0</v>
      </c>
      <c r="D39" s="458">
        <f>Sum!D24</f>
        <v>0</v>
      </c>
      <c r="E39" s="458">
        <f>Sum!E24</f>
        <v>0</v>
      </c>
      <c r="F39" s="458">
        <f>Sum!F24</f>
        <v>0</v>
      </c>
      <c r="G39" s="458">
        <f>Sum!G24</f>
        <v>0</v>
      </c>
      <c r="H39" s="458">
        <f>Sum!H24</f>
        <v>0</v>
      </c>
      <c r="I39" s="458">
        <f>Sum!I24</f>
        <v>0</v>
      </c>
      <c r="J39" s="458">
        <f>Sum!J24</f>
        <v>0</v>
      </c>
      <c r="K39" s="458">
        <f>Sum!K24</f>
        <v>0</v>
      </c>
      <c r="L39" s="458">
        <f>Sum!L24</f>
        <v>0</v>
      </c>
      <c r="M39" s="458">
        <f>Sum!M24</f>
        <v>0</v>
      </c>
      <c r="N39" s="458">
        <f>Sum!N24</f>
        <v>0</v>
      </c>
      <c r="O39" s="458">
        <f>Sum!O24</f>
        <v>0</v>
      </c>
      <c r="P39" s="458">
        <f>Sum!P24</f>
        <v>0</v>
      </c>
      <c r="Q39" s="458">
        <f>Sum!Q24</f>
        <v>0</v>
      </c>
      <c r="R39" s="458">
        <f>Sum!R24</f>
        <v>0</v>
      </c>
      <c r="S39" s="458">
        <f>Sum!S24</f>
        <v>0</v>
      </c>
      <c r="T39" s="458">
        <f>Sum!T24</f>
        <v>0</v>
      </c>
      <c r="U39" s="459">
        <f>Sum!U24</f>
        <v>0</v>
      </c>
      <c r="V39" s="487"/>
      <c r="W39" s="487"/>
      <c r="X39" s="487"/>
      <c r="Y39" s="487"/>
      <c r="Z39" s="460"/>
      <c r="AA39" s="78"/>
      <c r="AB39" s="78"/>
    </row>
    <row r="40" ht="24.75" customHeight="1">
      <c r="A40" s="488" t="s">
        <v>485</v>
      </c>
      <c r="B40" s="462">
        <f>Sum!B25</f>
        <v>0</v>
      </c>
      <c r="C40" s="463">
        <f>Sum!C25</f>
        <v>0</v>
      </c>
      <c r="D40" s="463">
        <f>Sum!D25</f>
        <v>0</v>
      </c>
      <c r="E40" s="463">
        <f>Sum!E25</f>
        <v>0</v>
      </c>
      <c r="F40" s="463">
        <f>Sum!F25</f>
        <v>0</v>
      </c>
      <c r="G40" s="463">
        <f>Sum!G25</f>
        <v>0</v>
      </c>
      <c r="H40" s="463">
        <f>Sum!H25</f>
        <v>0</v>
      </c>
      <c r="I40" s="463">
        <f>Sum!I25</f>
        <v>0</v>
      </c>
      <c r="J40" s="463">
        <f>Sum!J25</f>
        <v>0</v>
      </c>
      <c r="K40" s="463">
        <f>Sum!K25</f>
        <v>0</v>
      </c>
      <c r="L40" s="463">
        <f>Sum!L25</f>
        <v>0</v>
      </c>
      <c r="M40" s="463">
        <f>Sum!M25</f>
        <v>0</v>
      </c>
      <c r="N40" s="463">
        <f>Sum!N25</f>
        <v>0</v>
      </c>
      <c r="O40" s="463">
        <f>Sum!O25</f>
        <v>0</v>
      </c>
      <c r="P40" s="463">
        <f>Sum!P25</f>
        <v>0</v>
      </c>
      <c r="Q40" s="463">
        <f>Sum!Q25</f>
        <v>0</v>
      </c>
      <c r="R40" s="463">
        <f>Sum!R25</f>
        <v>0</v>
      </c>
      <c r="S40" s="463">
        <f>Sum!S25</f>
        <v>0</v>
      </c>
      <c r="T40" s="463">
        <f>Sum!T25</f>
        <v>0</v>
      </c>
      <c r="U40" s="465">
        <f>Sum!U25</f>
        <v>0</v>
      </c>
      <c r="V40" s="487"/>
      <c r="W40" s="487"/>
      <c r="X40" s="487"/>
      <c r="Y40" s="487"/>
      <c r="Z40" s="460"/>
      <c r="AA40" s="78"/>
      <c r="AB40" s="78"/>
    </row>
    <row r="41" ht="10.5" customHeight="1">
      <c r="A41" s="448"/>
      <c r="B41" s="489"/>
      <c r="C41" s="489"/>
      <c r="D41" s="489"/>
      <c r="E41" s="489"/>
      <c r="F41" s="489"/>
      <c r="G41" s="489"/>
      <c r="H41" s="489"/>
      <c r="I41" s="489"/>
      <c r="J41" s="489"/>
      <c r="K41" s="489"/>
      <c r="L41" s="489"/>
      <c r="M41" s="473"/>
      <c r="N41" s="473"/>
      <c r="O41" s="473"/>
      <c r="P41" s="473"/>
      <c r="Q41" s="473"/>
      <c r="R41" s="473"/>
      <c r="S41" s="473"/>
      <c r="T41" s="473"/>
      <c r="U41" s="503"/>
      <c r="V41" s="503"/>
      <c r="W41" s="487"/>
      <c r="X41" s="487"/>
      <c r="Y41" s="487"/>
      <c r="Z41" s="460"/>
      <c r="AA41" s="78"/>
      <c r="AB41" s="78"/>
    </row>
    <row r="42" ht="24.75" customHeight="1">
      <c r="A42" s="466"/>
      <c r="B42" s="472" t="s">
        <v>486</v>
      </c>
      <c r="H42" s="489"/>
      <c r="I42" s="489"/>
      <c r="J42" s="489"/>
      <c r="K42" s="489"/>
      <c r="L42" s="489"/>
      <c r="M42" s="489"/>
      <c r="N42" s="473"/>
      <c r="O42" s="473"/>
      <c r="P42" s="473"/>
      <c r="Q42" s="473"/>
      <c r="R42" s="473"/>
      <c r="S42" s="473"/>
      <c r="T42" s="473"/>
      <c r="U42" s="504"/>
      <c r="W42" s="487"/>
      <c r="X42" s="487"/>
      <c r="Y42" s="487"/>
      <c r="Z42" s="460"/>
      <c r="AA42" s="78"/>
      <c r="AB42" s="78"/>
    </row>
    <row r="43" ht="24.75" customHeight="1">
      <c r="A43" s="505"/>
      <c r="B43" s="476" t="s">
        <v>465</v>
      </c>
      <c r="C43" s="191"/>
      <c r="D43" s="478" t="s">
        <v>487</v>
      </c>
      <c r="E43" s="191"/>
      <c r="F43" s="478" t="s">
        <v>488</v>
      </c>
      <c r="G43" s="191"/>
      <c r="H43" s="478" t="s">
        <v>489</v>
      </c>
      <c r="I43" s="191"/>
      <c r="J43" s="478" t="s">
        <v>490</v>
      </c>
      <c r="K43" s="191"/>
      <c r="L43" s="478" t="s">
        <v>491</v>
      </c>
      <c r="M43" s="191"/>
      <c r="N43" s="478" t="s">
        <v>492</v>
      </c>
      <c r="O43" s="191"/>
      <c r="P43" s="478" t="s">
        <v>493</v>
      </c>
      <c r="Q43" s="191"/>
      <c r="R43" s="478" t="s">
        <v>494</v>
      </c>
      <c r="S43" s="196"/>
      <c r="T43" s="506"/>
      <c r="U43" s="506"/>
      <c r="V43" s="480"/>
      <c r="W43" s="487"/>
      <c r="X43" s="487"/>
      <c r="Y43" s="487"/>
      <c r="Z43" s="460"/>
      <c r="AA43" s="78"/>
      <c r="AB43" s="78"/>
    </row>
    <row r="44" ht="24.75" customHeight="1">
      <c r="A44" s="505"/>
      <c r="B44" s="507" t="s">
        <v>495</v>
      </c>
      <c r="C44" s="508" t="s">
        <v>496</v>
      </c>
      <c r="D44" s="509" t="s">
        <v>495</v>
      </c>
      <c r="E44" s="508" t="s">
        <v>496</v>
      </c>
      <c r="F44" s="509" t="s">
        <v>495</v>
      </c>
      <c r="G44" s="508" t="s">
        <v>496</v>
      </c>
      <c r="H44" s="509" t="s">
        <v>495</v>
      </c>
      <c r="I44" s="508" t="s">
        <v>496</v>
      </c>
      <c r="J44" s="509" t="s">
        <v>495</v>
      </c>
      <c r="K44" s="508" t="s">
        <v>496</v>
      </c>
      <c r="L44" s="509" t="s">
        <v>495</v>
      </c>
      <c r="M44" s="508" t="s">
        <v>496</v>
      </c>
      <c r="N44" s="509" t="s">
        <v>495</v>
      </c>
      <c r="O44" s="508" t="s">
        <v>496</v>
      </c>
      <c r="P44" s="509" t="s">
        <v>495</v>
      </c>
      <c r="Q44" s="508" t="s">
        <v>496</v>
      </c>
      <c r="R44" s="509" t="s">
        <v>495</v>
      </c>
      <c r="S44" s="510" t="s">
        <v>496</v>
      </c>
      <c r="T44" s="511"/>
      <c r="U44" s="511"/>
      <c r="V44" s="511"/>
      <c r="W44" s="487"/>
      <c r="X44" s="487"/>
      <c r="Y44" s="487"/>
      <c r="Z44" s="460"/>
      <c r="AA44" s="78"/>
      <c r="AB44" s="78"/>
    </row>
    <row r="45" ht="24.75" customHeight="1">
      <c r="A45" s="441" t="s">
        <v>462</v>
      </c>
      <c r="B45" s="457">
        <f>Sum!X24</f>
        <v>0</v>
      </c>
      <c r="C45" s="458">
        <f>Sum!Y24</f>
        <v>0</v>
      </c>
      <c r="D45" s="458">
        <f>Sum!Z24</f>
        <v>0</v>
      </c>
      <c r="E45" s="458">
        <f>Sum!AA24</f>
        <v>0</v>
      </c>
      <c r="F45" s="458">
        <f>Sum!AB24</f>
        <v>0</v>
      </c>
      <c r="G45" s="458">
        <f>Sum!AC24</f>
        <v>0</v>
      </c>
      <c r="H45" s="458">
        <f>Sum!AD24</f>
        <v>0</v>
      </c>
      <c r="I45" s="458">
        <f>Sum!AE24</f>
        <v>0</v>
      </c>
      <c r="J45" s="458">
        <f>Sum!AF24</f>
        <v>0</v>
      </c>
      <c r="K45" s="458">
        <f>Sum!AG24</f>
        <v>0</v>
      </c>
      <c r="L45" s="458">
        <f>Sum!AH24</f>
        <v>0</v>
      </c>
      <c r="M45" s="458">
        <f>Sum!AI24</f>
        <v>0</v>
      </c>
      <c r="N45" s="458">
        <f>Sum!AJ24</f>
        <v>0</v>
      </c>
      <c r="O45" s="458">
        <f>Sum!AK24</f>
        <v>0</v>
      </c>
      <c r="P45" s="458">
        <f>Sum!AL24</f>
        <v>0</v>
      </c>
      <c r="Q45" s="458">
        <f>Sum!AM24</f>
        <v>0</v>
      </c>
      <c r="R45" s="458">
        <f>Sum!AN24</f>
        <v>0</v>
      </c>
      <c r="S45" s="459">
        <f>Sum!AO24</f>
        <v>0</v>
      </c>
      <c r="T45" s="511"/>
      <c r="U45" s="511"/>
      <c r="V45" s="511"/>
      <c r="W45" s="487"/>
      <c r="X45" s="487"/>
      <c r="Y45" s="487"/>
      <c r="Z45" s="460"/>
      <c r="AA45" s="78"/>
      <c r="AB45" s="78"/>
    </row>
    <row r="46" ht="24.75" customHeight="1">
      <c r="A46" s="488" t="s">
        <v>485</v>
      </c>
      <c r="B46" s="462">
        <f>Sum!X25</f>
        <v>0</v>
      </c>
      <c r="C46" s="463">
        <f>Sum!Y25</f>
        <v>0</v>
      </c>
      <c r="D46" s="463">
        <f>Sum!Z25</f>
        <v>0</v>
      </c>
      <c r="E46" s="463">
        <f>Sum!AA25</f>
        <v>0</v>
      </c>
      <c r="F46" s="463">
        <f>Sum!AB25</f>
        <v>0</v>
      </c>
      <c r="G46" s="463">
        <f>Sum!AC25</f>
        <v>0</v>
      </c>
      <c r="H46" s="463">
        <f>Sum!AD25</f>
        <v>0</v>
      </c>
      <c r="I46" s="463">
        <f>Sum!AE25</f>
        <v>0</v>
      </c>
      <c r="J46" s="463">
        <f>Sum!AF25</f>
        <v>0</v>
      </c>
      <c r="K46" s="463">
        <f>Sum!AG25</f>
        <v>0</v>
      </c>
      <c r="L46" s="463">
        <f>Sum!AH25</f>
        <v>0</v>
      </c>
      <c r="M46" s="463">
        <f>Sum!AI25</f>
        <v>0</v>
      </c>
      <c r="N46" s="463">
        <f>Sum!AJ25</f>
        <v>0</v>
      </c>
      <c r="O46" s="463">
        <f>Sum!AK25</f>
        <v>0</v>
      </c>
      <c r="P46" s="463">
        <f>Sum!AL25</f>
        <v>0</v>
      </c>
      <c r="Q46" s="463">
        <f>Sum!AM25</f>
        <v>0</v>
      </c>
      <c r="R46" s="463">
        <f>Sum!AN25</f>
        <v>0</v>
      </c>
      <c r="S46" s="465">
        <f>Sum!AO25</f>
        <v>0</v>
      </c>
      <c r="T46" s="511"/>
      <c r="U46" s="511"/>
      <c r="V46" s="511"/>
      <c r="W46" s="487"/>
      <c r="X46" s="487"/>
      <c r="Y46" s="487"/>
      <c r="Z46" s="460"/>
      <c r="AA46" s="78"/>
      <c r="AB46" s="78"/>
    </row>
    <row r="47" ht="6.75" customHeight="1">
      <c r="A47" s="448"/>
      <c r="B47" s="489"/>
      <c r="C47" s="489"/>
      <c r="D47" s="489"/>
      <c r="E47" s="489"/>
      <c r="F47" s="489"/>
      <c r="G47" s="489"/>
      <c r="H47" s="489"/>
      <c r="I47" s="489"/>
      <c r="J47" s="489"/>
      <c r="K47" s="489"/>
      <c r="L47" s="489"/>
      <c r="M47" s="473"/>
      <c r="N47" s="473"/>
      <c r="O47" s="473"/>
      <c r="P47" s="473"/>
      <c r="Q47" s="473"/>
      <c r="R47" s="473"/>
      <c r="S47" s="473"/>
      <c r="T47" s="473"/>
      <c r="U47" s="504"/>
      <c r="V47" s="504"/>
      <c r="W47" s="487"/>
      <c r="X47" s="487"/>
      <c r="Y47" s="487"/>
      <c r="Z47" s="460"/>
      <c r="AA47" s="78"/>
      <c r="AB47" s="78"/>
    </row>
    <row r="48" ht="24.75" customHeight="1">
      <c r="A48" s="466"/>
      <c r="B48" s="472" t="s">
        <v>498</v>
      </c>
      <c r="J48" s="489"/>
      <c r="K48" s="489"/>
      <c r="L48" s="489"/>
      <c r="M48" s="473"/>
      <c r="U48" s="504"/>
      <c r="W48" s="487"/>
      <c r="X48" s="487"/>
      <c r="Y48" s="487"/>
      <c r="Z48" s="460"/>
      <c r="AA48" s="78"/>
      <c r="AB48" s="78"/>
    </row>
    <row r="49" ht="24.75" customHeight="1">
      <c r="A49" s="441"/>
      <c r="B49" s="512" t="s">
        <v>465</v>
      </c>
      <c r="C49" s="191"/>
      <c r="D49" s="513" t="s">
        <v>487</v>
      </c>
      <c r="E49" s="191"/>
      <c r="F49" s="513" t="s">
        <v>488</v>
      </c>
      <c r="G49" s="191"/>
      <c r="H49" s="513" t="s">
        <v>489</v>
      </c>
      <c r="I49" s="191"/>
      <c r="J49" s="513" t="s">
        <v>490</v>
      </c>
      <c r="K49" s="191"/>
      <c r="L49" s="513" t="s">
        <v>491</v>
      </c>
      <c r="M49" s="191"/>
      <c r="N49" s="513" t="s">
        <v>492</v>
      </c>
      <c r="O49" s="191"/>
      <c r="P49" s="513" t="s">
        <v>493</v>
      </c>
      <c r="Q49" s="191"/>
      <c r="R49" s="513" t="s">
        <v>494</v>
      </c>
      <c r="S49" s="196"/>
      <c r="T49" s="468"/>
      <c r="U49" s="468"/>
      <c r="V49" s="468"/>
      <c r="W49" s="487"/>
      <c r="X49" s="487"/>
      <c r="Y49" s="487"/>
      <c r="Z49" s="460"/>
      <c r="AA49" s="78"/>
      <c r="AB49" s="78"/>
    </row>
    <row r="50" ht="24.75" customHeight="1">
      <c r="A50" s="441"/>
      <c r="B50" s="514" t="s">
        <v>499</v>
      </c>
      <c r="C50" s="515" t="s">
        <v>500</v>
      </c>
      <c r="D50" s="515" t="s">
        <v>499</v>
      </c>
      <c r="E50" s="515" t="s">
        <v>500</v>
      </c>
      <c r="F50" s="515" t="s">
        <v>499</v>
      </c>
      <c r="G50" s="515" t="s">
        <v>500</v>
      </c>
      <c r="H50" s="515" t="s">
        <v>499</v>
      </c>
      <c r="I50" s="515" t="s">
        <v>500</v>
      </c>
      <c r="J50" s="515" t="s">
        <v>499</v>
      </c>
      <c r="K50" s="515" t="s">
        <v>500</v>
      </c>
      <c r="L50" s="515" t="s">
        <v>499</v>
      </c>
      <c r="M50" s="515" t="s">
        <v>500</v>
      </c>
      <c r="N50" s="515" t="s">
        <v>499</v>
      </c>
      <c r="O50" s="515" t="s">
        <v>500</v>
      </c>
      <c r="P50" s="515" t="s">
        <v>499</v>
      </c>
      <c r="Q50" s="515" t="s">
        <v>500</v>
      </c>
      <c r="R50" s="515" t="s">
        <v>499</v>
      </c>
      <c r="S50" s="516" t="s">
        <v>500</v>
      </c>
      <c r="T50" s="468"/>
      <c r="U50" s="468"/>
      <c r="V50" s="511"/>
      <c r="W50" s="487"/>
      <c r="X50" s="487"/>
      <c r="Y50" s="487"/>
      <c r="Z50" s="460"/>
      <c r="AA50" s="78"/>
      <c r="AB50" s="78"/>
    </row>
    <row r="51" ht="24.75" customHeight="1">
      <c r="A51" s="441" t="s">
        <v>462</v>
      </c>
      <c r="B51" s="457">
        <f>Sum!AT24</f>
        <v>0</v>
      </c>
      <c r="C51" s="458">
        <f>Sum!AU24</f>
        <v>0</v>
      </c>
      <c r="D51" s="458">
        <f>Sum!AV24</f>
        <v>0</v>
      </c>
      <c r="E51" s="458">
        <f>Sum!AW24</f>
        <v>0</v>
      </c>
      <c r="F51" s="458">
        <f>Sum!AX24</f>
        <v>0</v>
      </c>
      <c r="G51" s="458">
        <f>Sum!AY24</f>
        <v>0</v>
      </c>
      <c r="H51" s="458">
        <f>Sum!AZ24</f>
        <v>0</v>
      </c>
      <c r="I51" s="458">
        <f>Sum!BA24</f>
        <v>0</v>
      </c>
      <c r="J51" s="458">
        <f>Sum!BB24</f>
        <v>0</v>
      </c>
      <c r="K51" s="458">
        <f>Sum!BC24</f>
        <v>0</v>
      </c>
      <c r="L51" s="458">
        <f>Sum!BD24</f>
        <v>0</v>
      </c>
      <c r="M51" s="458">
        <f>Sum!BE24</f>
        <v>0</v>
      </c>
      <c r="N51" s="458">
        <f>Sum!BF24</f>
        <v>0</v>
      </c>
      <c r="O51" s="458">
        <f>Sum!BG24</f>
        <v>0</v>
      </c>
      <c r="P51" s="458">
        <f>Sum!BH24</f>
        <v>0</v>
      </c>
      <c r="Q51" s="458">
        <f>Sum!BI24</f>
        <v>0</v>
      </c>
      <c r="R51" s="458">
        <f>Sum!BJ24</f>
        <v>0</v>
      </c>
      <c r="S51" s="459">
        <f>Sum!BK24</f>
        <v>0</v>
      </c>
      <c r="T51" s="468"/>
      <c r="U51" s="468"/>
      <c r="V51" s="511"/>
      <c r="W51" s="487"/>
      <c r="X51" s="487"/>
      <c r="Y51" s="487"/>
      <c r="Z51" s="460"/>
      <c r="AA51" s="78"/>
      <c r="AB51" s="78"/>
    </row>
    <row r="52" ht="24.75" customHeight="1">
      <c r="A52" s="488" t="s">
        <v>485</v>
      </c>
      <c r="B52" s="462">
        <f>Sum!AT25</f>
        <v>0</v>
      </c>
      <c r="C52" s="463">
        <f>Sum!AU25</f>
        <v>0</v>
      </c>
      <c r="D52" s="463">
        <f>Sum!AV25</f>
        <v>0</v>
      </c>
      <c r="E52" s="463">
        <f>Sum!AW25</f>
        <v>0</v>
      </c>
      <c r="F52" s="463">
        <f>Sum!AX25</f>
        <v>0</v>
      </c>
      <c r="G52" s="463">
        <f>Sum!AY25</f>
        <v>0</v>
      </c>
      <c r="H52" s="463">
        <f>Sum!AZ25</f>
        <v>0</v>
      </c>
      <c r="I52" s="463">
        <f>Sum!BA25</f>
        <v>0</v>
      </c>
      <c r="J52" s="463">
        <f>Sum!BB25</f>
        <v>0</v>
      </c>
      <c r="K52" s="463">
        <f>Sum!BC25</f>
        <v>0</v>
      </c>
      <c r="L52" s="463">
        <f>Sum!BD25</f>
        <v>0</v>
      </c>
      <c r="M52" s="463">
        <f>Sum!BE25</f>
        <v>0</v>
      </c>
      <c r="N52" s="463">
        <f>Sum!BF25</f>
        <v>0</v>
      </c>
      <c r="O52" s="463">
        <f>Sum!BG25</f>
        <v>0</v>
      </c>
      <c r="P52" s="463">
        <f>Sum!BH25</f>
        <v>0</v>
      </c>
      <c r="Q52" s="463">
        <f>Sum!BI25</f>
        <v>0</v>
      </c>
      <c r="R52" s="463">
        <f>Sum!BJ25</f>
        <v>0</v>
      </c>
      <c r="S52" s="465">
        <f>Sum!BK25</f>
        <v>0</v>
      </c>
      <c r="T52" s="468"/>
      <c r="U52" s="468"/>
      <c r="V52" s="511"/>
      <c r="W52" s="487"/>
      <c r="X52" s="487"/>
      <c r="Y52" s="487"/>
      <c r="Z52" s="460"/>
      <c r="AA52" s="78"/>
      <c r="AB52" s="78"/>
    </row>
    <row r="53" ht="6.75" customHeight="1">
      <c r="A53" s="466"/>
      <c r="B53" s="487"/>
      <c r="C53" s="487"/>
      <c r="D53" s="487"/>
      <c r="E53" s="487"/>
      <c r="F53" s="487"/>
      <c r="G53" s="487"/>
      <c r="H53" s="487"/>
      <c r="I53" s="487"/>
      <c r="J53" s="517"/>
      <c r="K53" s="517"/>
      <c r="L53" s="517"/>
      <c r="M53" s="517"/>
      <c r="N53" s="517"/>
      <c r="O53" s="517"/>
      <c r="P53" s="517"/>
      <c r="Q53" s="517"/>
      <c r="R53" s="517"/>
      <c r="S53" s="517"/>
      <c r="T53" s="517"/>
      <c r="U53" s="517"/>
      <c r="V53" s="517"/>
      <c r="W53" s="487"/>
      <c r="X53" s="487"/>
      <c r="Y53" s="487"/>
      <c r="Z53" s="460"/>
      <c r="AA53" s="78"/>
      <c r="AB53" s="78"/>
    </row>
    <row r="54" ht="24.75" customHeight="1">
      <c r="A54" s="466"/>
      <c r="B54" s="518" t="s">
        <v>501</v>
      </c>
      <c r="G54" s="473"/>
      <c r="H54" s="473"/>
      <c r="I54" s="519" t="s">
        <v>502</v>
      </c>
      <c r="N54" s="474"/>
      <c r="O54" s="472" t="s">
        <v>503</v>
      </c>
      <c r="T54" s="474"/>
      <c r="U54" s="491"/>
      <c r="V54" s="491"/>
      <c r="W54" s="487"/>
      <c r="X54" s="487"/>
      <c r="Y54" s="487"/>
      <c r="Z54" s="460"/>
      <c r="AA54" s="78"/>
      <c r="AB54" s="78"/>
    </row>
    <row r="55" ht="24.75" customHeight="1">
      <c r="A55" s="493"/>
      <c r="B55" s="522" t="s">
        <v>504</v>
      </c>
      <c r="C55" s="523" t="s">
        <v>505</v>
      </c>
      <c r="D55" s="496" t="s">
        <v>506</v>
      </c>
      <c r="E55" s="496" t="s">
        <v>507</v>
      </c>
      <c r="F55" s="496" t="s">
        <v>508</v>
      </c>
      <c r="G55" s="497" t="s">
        <v>509</v>
      </c>
      <c r="H55" s="474"/>
      <c r="I55" s="524" t="s">
        <v>510</v>
      </c>
      <c r="J55" s="523" t="s">
        <v>496</v>
      </c>
      <c r="K55" s="496" t="s">
        <v>95</v>
      </c>
      <c r="L55" s="523" t="s">
        <v>496</v>
      </c>
      <c r="M55" s="525" t="s">
        <v>511</v>
      </c>
      <c r="N55" s="526"/>
      <c r="O55" s="539" t="s">
        <v>512</v>
      </c>
      <c r="P55" s="540" t="s">
        <v>513</v>
      </c>
      <c r="Q55" s="541" t="s">
        <v>512</v>
      </c>
      <c r="R55" s="541" t="s">
        <v>513</v>
      </c>
      <c r="S55" s="542" t="s">
        <v>514</v>
      </c>
      <c r="T55" s="468"/>
      <c r="U55" s="530"/>
      <c r="V55" s="530"/>
      <c r="W55" s="487"/>
      <c r="X55" s="487"/>
      <c r="Y55" s="487"/>
      <c r="Z55" s="460"/>
      <c r="AA55" s="78"/>
      <c r="AB55" s="78"/>
    </row>
    <row r="56" ht="24.75" customHeight="1">
      <c r="A56" s="441" t="s">
        <v>462</v>
      </c>
      <c r="B56" s="457">
        <f>Sum!T24</f>
        <v>0</v>
      </c>
      <c r="C56" s="458">
        <f>Sum!U24</f>
        <v>0</v>
      </c>
      <c r="D56" s="458">
        <f>Sum!V24</f>
        <v>0</v>
      </c>
      <c r="E56" s="458">
        <f>Sum!W24</f>
        <v>0</v>
      </c>
      <c r="F56" s="458">
        <f t="shared" ref="F56:F57" si="7">B56+C56</f>
        <v>0</v>
      </c>
      <c r="G56" s="459">
        <f t="shared" ref="G56:G57" si="8">D56+E56</f>
        <v>0</v>
      </c>
      <c r="H56" s="534"/>
      <c r="I56" s="457">
        <f>Sum!AP24</f>
        <v>0</v>
      </c>
      <c r="J56" s="458">
        <f>Sum!AQ24</f>
        <v>0</v>
      </c>
      <c r="K56" s="458">
        <f>Sum!AR24</f>
        <v>0</v>
      </c>
      <c r="L56" s="458">
        <f>Sum!AS24</f>
        <v>0</v>
      </c>
      <c r="M56" s="459">
        <f>IF(I56+K56=0,0,(J56+L56)/(I56+K56)%)</f>
        <v>0</v>
      </c>
      <c r="N56" s="535"/>
      <c r="O56" s="543">
        <f>Sum!BL24</f>
        <v>0</v>
      </c>
      <c r="P56" s="544">
        <f>Sum!BM24</f>
        <v>0</v>
      </c>
      <c r="Q56" s="544">
        <f>Sum!BN24</f>
        <v>0</v>
      </c>
      <c r="R56" s="544">
        <f>Sum!BO24</f>
        <v>0</v>
      </c>
      <c r="S56" s="545">
        <f>SUM(O56:R56)</f>
        <v>0</v>
      </c>
      <c r="T56" s="487"/>
      <c r="U56" s="517"/>
      <c r="V56" s="517"/>
      <c r="W56" s="487"/>
      <c r="X56" s="487"/>
      <c r="Y56" s="487"/>
      <c r="Z56" s="460"/>
      <c r="AA56" s="78"/>
      <c r="AB56" s="78"/>
    </row>
    <row r="57" ht="24.75" customHeight="1">
      <c r="A57" s="488" t="s">
        <v>485</v>
      </c>
      <c r="B57" s="462">
        <f>Sum!T25</f>
        <v>0</v>
      </c>
      <c r="C57" s="463">
        <f>Sum!U25</f>
        <v>0</v>
      </c>
      <c r="D57" s="463">
        <f>Sum!V25</f>
        <v>0</v>
      </c>
      <c r="E57" s="463">
        <f>Sum!W25</f>
        <v>0</v>
      </c>
      <c r="F57" s="463">
        <f t="shared" si="7"/>
        <v>0</v>
      </c>
      <c r="G57" s="465">
        <f t="shared" si="8"/>
        <v>0</v>
      </c>
      <c r="H57" s="534"/>
      <c r="I57" s="462">
        <f>Sum!AP25</f>
        <v>0</v>
      </c>
      <c r="J57" s="463">
        <f>Sum!AQ25</f>
        <v>0</v>
      </c>
      <c r="K57" s="463">
        <f>Sum!AR25</f>
        <v>0</v>
      </c>
      <c r="L57" s="463">
        <f>Sum!AS25</f>
        <v>0</v>
      </c>
      <c r="M57" s="465">
        <f>SUM(K57:L57)</f>
        <v>0</v>
      </c>
      <c r="N57" s="535"/>
      <c r="O57" s="546">
        <f>Sum!BL25</f>
        <v>0</v>
      </c>
      <c r="P57" s="547">
        <f>Sum!BM25</f>
        <v>0</v>
      </c>
      <c r="Q57" s="547">
        <f>Sum!BN25</f>
        <v>0</v>
      </c>
      <c r="R57" s="547">
        <f>Sum!BO25</f>
        <v>0</v>
      </c>
      <c r="S57" s="548">
        <f>SUM(Q57:R57)</f>
        <v>0</v>
      </c>
      <c r="T57" s="487"/>
      <c r="U57" s="487"/>
      <c r="V57" s="487"/>
      <c r="W57" s="487"/>
      <c r="X57" s="487"/>
      <c r="Y57" s="487"/>
      <c r="Z57" s="460"/>
      <c r="AA57" s="78"/>
      <c r="AB57" s="78"/>
    </row>
    <row r="58" ht="7.5" customHeight="1">
      <c r="A58" s="466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2"/>
      <c r="AA58" s="492"/>
      <c r="AB58" s="492"/>
    </row>
    <row r="59" ht="21.75" customHeight="1">
      <c r="A59" s="466"/>
      <c r="B59" s="550"/>
      <c r="C59" s="434" t="s">
        <v>663</v>
      </c>
      <c r="D59" s="180"/>
      <c r="E59" s="180"/>
      <c r="F59" s="180"/>
      <c r="G59" s="435" t="s">
        <v>656</v>
      </c>
      <c r="H59" s="180"/>
      <c r="I59" s="180"/>
      <c r="J59" s="436" t="s">
        <v>429</v>
      </c>
      <c r="K59" s="437">
        <f>N1</f>
        <v>44921</v>
      </c>
      <c r="L59" s="180"/>
      <c r="M59" s="436" t="s">
        <v>11</v>
      </c>
      <c r="N59" s="437">
        <f>Q1</f>
        <v>44951</v>
      </c>
      <c r="O59" s="180"/>
      <c r="S59" s="291"/>
      <c r="T59" s="291"/>
    </row>
    <row r="60" ht="18.0" customHeight="1">
      <c r="A60" s="466"/>
      <c r="B60" s="472"/>
      <c r="C60" s="472"/>
      <c r="D60" s="472"/>
      <c r="E60" s="487"/>
      <c r="F60" s="487"/>
      <c r="G60" s="487"/>
      <c r="H60" s="487"/>
      <c r="I60" s="551"/>
      <c r="J60" s="487"/>
      <c r="K60" s="487"/>
      <c r="L60" s="487"/>
      <c r="M60" s="487"/>
      <c r="N60" s="487"/>
      <c r="O60" s="487"/>
      <c r="P60" s="487"/>
      <c r="Q60" s="487"/>
      <c r="R60" s="552"/>
      <c r="S60" s="552"/>
      <c r="T60" s="487"/>
      <c r="U60" s="487"/>
      <c r="V60" s="487"/>
      <c r="W60" s="487"/>
      <c r="X60" s="487"/>
      <c r="Y60" s="487"/>
      <c r="Z60" s="460"/>
      <c r="AA60" s="460"/>
      <c r="AB60" s="460"/>
    </row>
    <row r="61" ht="18.0" customHeight="1">
      <c r="A61" s="466"/>
      <c r="B61" s="472" t="s">
        <v>664</v>
      </c>
      <c r="G61" s="487"/>
      <c r="H61" s="487"/>
      <c r="I61" s="551"/>
      <c r="J61" s="472" t="s">
        <v>665</v>
      </c>
      <c r="O61" s="487"/>
      <c r="P61" s="487"/>
      <c r="Q61" s="487"/>
      <c r="R61" s="552"/>
      <c r="S61" s="552"/>
      <c r="T61" s="487"/>
      <c r="U61" s="487"/>
      <c r="V61" s="487"/>
      <c r="W61" s="487"/>
      <c r="X61" s="487"/>
      <c r="Y61" s="487"/>
      <c r="Z61" s="460"/>
      <c r="AA61" s="460"/>
      <c r="AB61" s="460"/>
    </row>
    <row r="62" ht="24.75" customHeight="1">
      <c r="A62" s="466"/>
      <c r="B62" s="553" t="s">
        <v>555</v>
      </c>
      <c r="C62" s="554" t="s">
        <v>556</v>
      </c>
      <c r="D62" s="554" t="s">
        <v>557</v>
      </c>
      <c r="E62" s="555" t="s">
        <v>558</v>
      </c>
      <c r="F62" s="555" t="s">
        <v>554</v>
      </c>
      <c r="G62" s="555" t="s">
        <v>559</v>
      </c>
      <c r="H62" s="497" t="s">
        <v>560</v>
      </c>
      <c r="I62" s="480"/>
      <c r="J62" s="553" t="s">
        <v>555</v>
      </c>
      <c r="K62" s="554" t="s">
        <v>556</v>
      </c>
      <c r="L62" s="554" t="s">
        <v>557</v>
      </c>
      <c r="M62" s="555" t="s">
        <v>558</v>
      </c>
      <c r="N62" s="555" t="s">
        <v>554</v>
      </c>
      <c r="O62" s="555" t="s">
        <v>559</v>
      </c>
      <c r="P62" s="497" t="s">
        <v>560</v>
      </c>
      <c r="Q62" s="468"/>
      <c r="R62" s="455"/>
      <c r="S62" s="78"/>
      <c r="T62" s="78"/>
    </row>
    <row r="63" ht="18.0" customHeight="1">
      <c r="A63" s="466"/>
      <c r="B63" s="556">
        <f>SUM(B16:E16)*Sum!$Q$35</f>
        <v>0</v>
      </c>
      <c r="C63" s="557">
        <f>SUM(J16:K16)*Sum!$R$35</f>
        <v>0</v>
      </c>
      <c r="D63" s="557">
        <f>SUM(L16:M16)*Sum!$S$35</f>
        <v>0</v>
      </c>
      <c r="E63" s="557">
        <f>R16*Sum!$T$35</f>
        <v>0</v>
      </c>
      <c r="F63" s="557">
        <f t="shared" ref="F63:F64" si="9">SUM(B63:E63)</f>
        <v>0</v>
      </c>
      <c r="G63" s="557">
        <f>SUM(F33*Sum!$U$35)</f>
        <v>0</v>
      </c>
      <c r="H63" s="558">
        <f t="shared" ref="H63:H64" si="10">SUM(F63:G63)</f>
        <v>0</v>
      </c>
      <c r="I63" s="559"/>
      <c r="J63" s="556">
        <f>SUM(B39:E39)*Sum!$Q$35</f>
        <v>0</v>
      </c>
      <c r="K63" s="557">
        <f>SUM(J39:K39)*Sum!$R$35</f>
        <v>0</v>
      </c>
      <c r="L63" s="557">
        <f>SUM(L39:M39)*Sum!$S$35</f>
        <v>0</v>
      </c>
      <c r="M63" s="557">
        <f>R39*Sum!$T$35</f>
        <v>0</v>
      </c>
      <c r="N63" s="557">
        <f t="shared" ref="N63:N64" si="11">SUM(J63:M63)</f>
        <v>0</v>
      </c>
      <c r="O63" s="557">
        <f>SUM(F56*Sum!$U$35)</f>
        <v>0</v>
      </c>
      <c r="P63" s="558">
        <f t="shared" ref="P63:P64" si="12">SUM(N63:O63)</f>
        <v>0</v>
      </c>
      <c r="Q63" s="468"/>
      <c r="R63" s="455"/>
      <c r="S63" s="560"/>
      <c r="T63" s="560"/>
    </row>
    <row r="64" ht="18.0" customHeight="1">
      <c r="A64" s="466"/>
      <c r="B64" s="561">
        <f>SUM(B17:E17)*Sum!$Q$35</f>
        <v>0</v>
      </c>
      <c r="C64" s="562">
        <f>SUM(J17:K17)*Sum!$R$35</f>
        <v>0</v>
      </c>
      <c r="D64" s="557">
        <f>SUM(L17:M17)*Sum!$S$35</f>
        <v>0</v>
      </c>
      <c r="E64" s="562">
        <f>R17*Sum!$T$35</f>
        <v>0</v>
      </c>
      <c r="F64" s="562">
        <f t="shared" si="9"/>
        <v>0</v>
      </c>
      <c r="G64" s="562">
        <f>SUM(F34*Sum!$U$35)</f>
        <v>0</v>
      </c>
      <c r="H64" s="563">
        <f t="shared" si="10"/>
        <v>0</v>
      </c>
      <c r="I64" s="559"/>
      <c r="J64" s="561">
        <f>SUM(B40:E40)*Sum!$Q$35</f>
        <v>0</v>
      </c>
      <c r="K64" s="562">
        <f>SUM(J40:K40)*Sum!$R$35</f>
        <v>0</v>
      </c>
      <c r="L64" s="562">
        <f>SUM(L40:M40)*Sum!$S$35</f>
        <v>0</v>
      </c>
      <c r="M64" s="562">
        <f>R40*Sum!$T$35</f>
        <v>0</v>
      </c>
      <c r="N64" s="562">
        <f t="shared" si="11"/>
        <v>0</v>
      </c>
      <c r="O64" s="562">
        <f>SUM(F57*Sum!$U$35)</f>
        <v>0</v>
      </c>
      <c r="P64" s="563">
        <f t="shared" si="12"/>
        <v>0</v>
      </c>
      <c r="Q64" s="468"/>
      <c r="R64" s="455"/>
      <c r="S64" s="560"/>
      <c r="T64" s="560"/>
    </row>
    <row r="65" ht="18.0" customHeight="1">
      <c r="A65" s="466"/>
      <c r="B65" s="472" t="s">
        <v>666</v>
      </c>
      <c r="C65" s="472"/>
      <c r="D65" s="472"/>
      <c r="E65" s="472"/>
      <c r="F65" s="472"/>
      <c r="G65" s="487"/>
      <c r="H65" s="487"/>
      <c r="I65" s="472"/>
      <c r="N65" s="487"/>
      <c r="O65" s="487"/>
      <c r="Q65" s="468"/>
      <c r="R65" s="468"/>
      <c r="S65" s="468"/>
      <c r="T65" s="468"/>
      <c r="U65" s="468"/>
      <c r="V65" s="468"/>
      <c r="W65" s="468"/>
      <c r="X65" s="468"/>
      <c r="Y65" s="455"/>
      <c r="Z65" s="560"/>
      <c r="AA65" s="560"/>
    </row>
    <row r="66" ht="24.75" customHeight="1">
      <c r="A66" s="466"/>
      <c r="B66" s="522" t="s">
        <v>548</v>
      </c>
      <c r="C66" s="564" t="s">
        <v>549</v>
      </c>
      <c r="D66" s="523" t="s">
        <v>550</v>
      </c>
      <c r="E66" s="523" t="s">
        <v>435</v>
      </c>
      <c r="F66" s="523" t="s">
        <v>551</v>
      </c>
      <c r="G66" s="523" t="s">
        <v>552</v>
      </c>
      <c r="H66" s="496" t="s">
        <v>553</v>
      </c>
      <c r="I66" s="523" t="s">
        <v>554</v>
      </c>
      <c r="J66" s="555" t="s">
        <v>555</v>
      </c>
      <c r="K66" s="554" t="s">
        <v>556</v>
      </c>
      <c r="L66" s="554" t="s">
        <v>557</v>
      </c>
      <c r="M66" s="555" t="s">
        <v>558</v>
      </c>
      <c r="N66" s="555" t="s">
        <v>554</v>
      </c>
      <c r="O66" s="555" t="s">
        <v>559</v>
      </c>
      <c r="P66" s="496" t="s">
        <v>560</v>
      </c>
      <c r="Q66" s="565" t="s">
        <v>561</v>
      </c>
      <c r="R66" s="196"/>
      <c r="S66" s="560"/>
      <c r="T66" s="560"/>
    </row>
    <row r="67" ht="19.5" customHeight="1">
      <c r="A67" s="466"/>
      <c r="B67" s="556">
        <f>SUM(B5:D5)*Sum!$B$35</f>
        <v>0</v>
      </c>
      <c r="C67" s="566">
        <f>E5*Sum!$C$35</f>
        <v>0</v>
      </c>
      <c r="D67" s="557">
        <f>(R5+S5)*Sum!$E$35</f>
        <v>0</v>
      </c>
      <c r="E67" s="557">
        <f>T5*Sum!$D$35</f>
        <v>0</v>
      </c>
      <c r="F67" s="557">
        <f t="shared" ref="F67:F68" si="14">J74</f>
        <v>0</v>
      </c>
      <c r="G67" s="557">
        <f>U5*Sum!$F$35+Sum!$G$35*V5</f>
        <v>0</v>
      </c>
      <c r="H67" s="557">
        <f>W5*Sum!$H$9+Sum!$I$9*X5+Y5*Sum!$Z$9</f>
        <v>0</v>
      </c>
      <c r="I67" s="557">
        <f t="shared" ref="I67:I68" si="15">SUM(B67:H67)</f>
        <v>0</v>
      </c>
      <c r="J67" s="557">
        <f t="shared" ref="J67:P67" si="13">B63+J63</f>
        <v>0</v>
      </c>
      <c r="K67" s="557">
        <f t="shared" si="13"/>
        <v>0</v>
      </c>
      <c r="L67" s="557">
        <f t="shared" si="13"/>
        <v>0</v>
      </c>
      <c r="M67" s="557">
        <f t="shared" si="13"/>
        <v>0</v>
      </c>
      <c r="N67" s="557">
        <f t="shared" si="13"/>
        <v>0</v>
      </c>
      <c r="O67" s="557">
        <f t="shared" si="13"/>
        <v>0</v>
      </c>
      <c r="P67" s="557">
        <f t="shared" si="13"/>
        <v>0</v>
      </c>
      <c r="Q67" s="567">
        <f t="shared" ref="Q67:Q68" si="17">I67+P67</f>
        <v>0</v>
      </c>
      <c r="R67" s="256"/>
      <c r="S67" s="78"/>
    </row>
    <row r="68" ht="18.0" customHeight="1">
      <c r="A68" s="466"/>
      <c r="B68" s="561">
        <f>SUM(B6:D6)*Sum!$B$35</f>
        <v>0</v>
      </c>
      <c r="C68" s="568">
        <f>E6*Sum!$C$35</f>
        <v>0</v>
      </c>
      <c r="D68" s="562">
        <f>(R6+S6)*Sum!$E$35</f>
        <v>0</v>
      </c>
      <c r="E68" s="562">
        <f>T6*Sum!$D$35</f>
        <v>0</v>
      </c>
      <c r="F68" s="562">
        <f t="shared" si="14"/>
        <v>0</v>
      </c>
      <c r="G68" s="562">
        <f>U6*Sum!$F$35+Sum!$G$35*V6</f>
        <v>0</v>
      </c>
      <c r="H68" s="557">
        <f>W6*Sum!$H$35+Sum!$I$35*X6+Y6*Sum!$Z$35</f>
        <v>0</v>
      </c>
      <c r="I68" s="562">
        <f t="shared" si="15"/>
        <v>0</v>
      </c>
      <c r="J68" s="562">
        <f t="shared" ref="J68:P68" si="16">B64+J64</f>
        <v>0</v>
      </c>
      <c r="K68" s="562">
        <f t="shared" si="16"/>
        <v>0</v>
      </c>
      <c r="L68" s="562">
        <f t="shared" si="16"/>
        <v>0</v>
      </c>
      <c r="M68" s="562">
        <f t="shared" si="16"/>
        <v>0</v>
      </c>
      <c r="N68" s="562">
        <f t="shared" si="16"/>
        <v>0</v>
      </c>
      <c r="O68" s="562">
        <f t="shared" si="16"/>
        <v>0</v>
      </c>
      <c r="P68" s="562">
        <f t="shared" si="16"/>
        <v>0</v>
      </c>
      <c r="Q68" s="569">
        <f t="shared" si="17"/>
        <v>0</v>
      </c>
      <c r="R68" s="570"/>
      <c r="S68" s="78"/>
    </row>
    <row r="69" ht="18.0" customHeight="1">
      <c r="A69" s="219"/>
      <c r="B69" s="324" t="s">
        <v>545</v>
      </c>
      <c r="F69" s="325"/>
      <c r="G69" s="325"/>
      <c r="H69" s="325"/>
      <c r="I69" s="325"/>
      <c r="J69" s="325"/>
      <c r="K69" s="534"/>
      <c r="L69" s="534"/>
      <c r="M69" s="534"/>
      <c r="N69" s="534"/>
      <c r="O69" s="534"/>
      <c r="P69" s="571"/>
      <c r="Q69" s="571"/>
      <c r="R69" s="571"/>
    </row>
    <row r="70" ht="25.5" customHeight="1">
      <c r="A70" s="281"/>
      <c r="B70" s="240" t="s">
        <v>180</v>
      </c>
      <c r="C70" s="241" t="s">
        <v>181</v>
      </c>
      <c r="D70" s="241" t="s">
        <v>182</v>
      </c>
      <c r="E70" s="241" t="s">
        <v>181</v>
      </c>
      <c r="F70" s="241" t="s">
        <v>183</v>
      </c>
      <c r="G70" s="241" t="s">
        <v>181</v>
      </c>
      <c r="H70" s="241" t="s">
        <v>184</v>
      </c>
      <c r="I70" s="241" t="s">
        <v>181</v>
      </c>
      <c r="J70" s="342" t="s">
        <v>185</v>
      </c>
      <c r="K70" s="534"/>
      <c r="L70" s="534"/>
      <c r="M70" s="534"/>
      <c r="N70" s="534"/>
      <c r="O70" s="534"/>
      <c r="P70" s="571"/>
      <c r="Q70" s="571"/>
      <c r="R70" s="571"/>
    </row>
    <row r="71" ht="18.0" customHeight="1">
      <c r="A71" s="572" t="s">
        <v>601</v>
      </c>
      <c r="B71" s="573">
        <f>sumifs('Form responses'!$EQ$2:$EQ102,'Form responses'!$B$2:$B102,"&gt;="&amp;$N$1,'Form responses'!$C$2:$C102,"&lt;="&amp;$Q$1,'Form responses'!$D$2:$D102,$A71)</f>
        <v>0</v>
      </c>
      <c r="C71" s="574">
        <f>B71*Sum!$V$9</f>
        <v>0</v>
      </c>
      <c r="D71" s="574">
        <f>sumifs('Form responses'!$ER$2:$ER102,'Form responses'!$B$2:$B102,"&gt;="&amp;$N$1,'Form responses'!$C$2:$C102,"&lt;="&amp;$Q$1,'Form responses'!$D$2:$D102,$A71)</f>
        <v>0</v>
      </c>
      <c r="E71" s="574">
        <f>D71*Sum!$W$9</f>
        <v>0</v>
      </c>
      <c r="F71" s="574">
        <f>sumifs('Form responses'!$ES$2:$ES102,'Form responses'!$B$2:$B102,"&gt;="&amp;$N$1,'Form responses'!$C$2:$C102,"&lt;="&amp;$Q$1,'Form responses'!$D$2:$D102,$A71)</f>
        <v>0</v>
      </c>
      <c r="G71" s="574">
        <f>F71*Sum!$X$9</f>
        <v>0</v>
      </c>
      <c r="H71" s="574">
        <f>sumifs('Form responses'!$ET$2:$ET102,'Form responses'!$B$2:$B102,"&gt;="&amp;$N$1,'Form responses'!$C$2:$C102,"&lt;="&amp;$Q$1,'Form responses'!$D$2:$D102,$A71)</f>
        <v>0</v>
      </c>
      <c r="I71" s="574">
        <f>H71*Sum!$Y$9</f>
        <v>0</v>
      </c>
      <c r="J71" s="575">
        <f t="shared" ref="J71:J75" si="18">C71+E71+G71+I71</f>
        <v>0</v>
      </c>
      <c r="K71" s="534"/>
      <c r="L71" s="534"/>
      <c r="M71" s="534"/>
      <c r="N71" s="534"/>
      <c r="O71" s="534"/>
      <c r="P71" s="571"/>
      <c r="Q71" s="571"/>
      <c r="R71" s="571"/>
    </row>
    <row r="72" ht="18.0" customHeight="1">
      <c r="A72" s="576" t="s">
        <v>617</v>
      </c>
      <c r="B72" s="573">
        <f>sumifs('Form responses'!$EQ$2:$EQ102,'Form responses'!$B$2:$B102,"&gt;="&amp;$N$1,'Form responses'!$C$2:$C102,"&lt;="&amp;$Q$1,'Form responses'!$D$2:$D102,$A72)</f>
        <v>0</v>
      </c>
      <c r="C72" s="574">
        <f>B72*Sum!$V$9</f>
        <v>0</v>
      </c>
      <c r="D72" s="574">
        <f>sumifs('Form responses'!$ER$2:$ER102,'Form responses'!$B$2:$B102,"&gt;="&amp;$N$1,'Form responses'!$C$2:$C102,"&lt;="&amp;$Q$1,'Form responses'!$D$2:$D102,$A72)</f>
        <v>0</v>
      </c>
      <c r="E72" s="574">
        <f>D72*Sum!$W$9</f>
        <v>0</v>
      </c>
      <c r="F72" s="574">
        <f>sumifs('Form responses'!$ES$2:$ES102,'Form responses'!$B$2:$B102,"&gt;="&amp;$N$1,'Form responses'!$C$2:$C102,"&lt;="&amp;$Q$1,'Form responses'!$D$2:$D102,$A72)</f>
        <v>0</v>
      </c>
      <c r="G72" s="574">
        <f>F72*Sum!$X$9</f>
        <v>0</v>
      </c>
      <c r="H72" s="574">
        <f>sumifs('Form responses'!$ET$2:$ET102,'Form responses'!$B$2:$B102,"&gt;="&amp;$N$1,'Form responses'!$C$2:$C102,"&lt;="&amp;$Q$1,'Form responses'!$D$2:$D102,$A72)</f>
        <v>0</v>
      </c>
      <c r="I72" s="574">
        <f>H72*Sum!$Y$9</f>
        <v>0</v>
      </c>
      <c r="J72" s="575">
        <f t="shared" si="18"/>
        <v>0</v>
      </c>
      <c r="K72" s="534"/>
      <c r="L72" s="534"/>
      <c r="M72" s="534"/>
      <c r="N72" s="534"/>
      <c r="O72" s="534"/>
      <c r="P72" s="571"/>
      <c r="Q72" s="571"/>
      <c r="R72" s="571"/>
    </row>
    <row r="73" ht="18.0" customHeight="1">
      <c r="A73" s="577" t="s">
        <v>630</v>
      </c>
      <c r="B73" s="573">
        <f>sumifs('Form responses'!$EQ$2:$EQ102,'Form responses'!$B$2:$B102,"&gt;="&amp;$N$1,'Form responses'!$C$2:$C102,"&lt;="&amp;$Q$1,'Form responses'!$D$2:$D102,$A73)</f>
        <v>0</v>
      </c>
      <c r="C73" s="574">
        <f>B73*Sum!$V$9</f>
        <v>0</v>
      </c>
      <c r="D73" s="574">
        <f>sumifs('Form responses'!$ER$2:$ER102,'Form responses'!$B$2:$B102,"&gt;="&amp;$N$1,'Form responses'!$C$2:$C102,"&lt;="&amp;$Q$1,'Form responses'!$D$2:$D102,$A73)</f>
        <v>0</v>
      </c>
      <c r="E73" s="574">
        <f>D73*Sum!$W$9</f>
        <v>0</v>
      </c>
      <c r="F73" s="574">
        <f>sumifs('Form responses'!$ES$2:$ES102,'Form responses'!$B$2:$B102,"&gt;="&amp;$N$1,'Form responses'!$C$2:$C102,"&lt;="&amp;$Q$1,'Form responses'!$D$2:$D102,$A73)</f>
        <v>0</v>
      </c>
      <c r="G73" s="574">
        <f>F73*Sum!$X$9</f>
        <v>0</v>
      </c>
      <c r="H73" s="574">
        <f>sumifs('Form responses'!$ET$2:$ET102,'Form responses'!$B$2:$B102,"&gt;="&amp;$N$1,'Form responses'!$C$2:$C102,"&lt;="&amp;$Q$1,'Form responses'!$D$2:$D102,$A73)</f>
        <v>0</v>
      </c>
      <c r="I73" s="574">
        <f>H73*Sum!$Y$9</f>
        <v>0</v>
      </c>
      <c r="J73" s="575">
        <f t="shared" si="18"/>
        <v>0</v>
      </c>
      <c r="K73" s="534"/>
      <c r="L73" s="534"/>
      <c r="M73" s="534"/>
      <c r="N73" s="534"/>
      <c r="O73" s="534"/>
      <c r="P73" s="571"/>
      <c r="Q73" s="571"/>
      <c r="R73" s="571"/>
    </row>
    <row r="74" ht="18.0" customHeight="1">
      <c r="A74" s="208" t="s">
        <v>667</v>
      </c>
      <c r="B74" s="578">
        <f>Sum!B12</f>
        <v>0</v>
      </c>
      <c r="C74" s="578">
        <f>Sum!C12</f>
        <v>0</v>
      </c>
      <c r="D74" s="292">
        <f>Sum!D12</f>
        <v>0</v>
      </c>
      <c r="E74" s="292">
        <f>Sum!E12</f>
        <v>0</v>
      </c>
      <c r="F74" s="292">
        <f>Sum!F12</f>
        <v>0</v>
      </c>
      <c r="G74" s="292">
        <f>Sum!G12</f>
        <v>0</v>
      </c>
      <c r="H74" s="292">
        <f>Sum!H12</f>
        <v>0</v>
      </c>
      <c r="I74" s="292">
        <f>Sum!I12</f>
        <v>0</v>
      </c>
      <c r="J74" s="579">
        <f t="shared" si="18"/>
        <v>0</v>
      </c>
      <c r="K74" s="534"/>
      <c r="L74" s="534"/>
      <c r="M74" s="534"/>
      <c r="N74" s="534"/>
      <c r="O74" s="534"/>
      <c r="P74" s="571"/>
      <c r="Q74" s="571"/>
      <c r="R74" s="571"/>
    </row>
    <row r="75" ht="18.0" customHeight="1">
      <c r="A75" s="214" t="s">
        <v>485</v>
      </c>
      <c r="B75" s="580">
        <f>Sum!B13</f>
        <v>0</v>
      </c>
      <c r="C75" s="581">
        <f>Sum!C13</f>
        <v>0</v>
      </c>
      <c r="D75" s="581">
        <f>Sum!D13</f>
        <v>0</v>
      </c>
      <c r="E75" s="581">
        <f>Sum!E13</f>
        <v>0</v>
      </c>
      <c r="F75" s="581">
        <f>Sum!F13</f>
        <v>0</v>
      </c>
      <c r="G75" s="581">
        <f>Sum!G13</f>
        <v>0</v>
      </c>
      <c r="H75" s="581">
        <f>Sum!H13</f>
        <v>0</v>
      </c>
      <c r="I75" s="581">
        <f>Sum!I13</f>
        <v>0</v>
      </c>
      <c r="J75" s="582">
        <f t="shared" si="18"/>
        <v>0</v>
      </c>
      <c r="K75" s="534"/>
      <c r="L75" s="534"/>
      <c r="M75" s="534"/>
      <c r="N75" s="534"/>
      <c r="O75" s="534"/>
      <c r="P75" s="571"/>
      <c r="Q75" s="571"/>
      <c r="R75" s="571"/>
    </row>
    <row r="76" ht="21.75" hidden="1" customHeight="1">
      <c r="A76" s="466"/>
      <c r="B76" s="550" t="s">
        <v>515</v>
      </c>
      <c r="M76" s="491"/>
      <c r="N76" s="491"/>
      <c r="O76" s="291"/>
      <c r="P76" s="291"/>
      <c r="Q76" s="291"/>
      <c r="R76" s="291"/>
      <c r="S76" s="291"/>
      <c r="T76" s="291"/>
    </row>
    <row r="77" ht="28.5" hidden="1" customHeight="1">
      <c r="A77" s="583"/>
      <c r="B77" s="273" t="s">
        <v>516</v>
      </c>
      <c r="C77" s="194" t="s">
        <v>517</v>
      </c>
      <c r="D77" s="194" t="s">
        <v>518</v>
      </c>
      <c r="E77" s="194" t="s">
        <v>519</v>
      </c>
      <c r="F77" s="194" t="s">
        <v>520</v>
      </c>
      <c r="G77" s="194" t="s">
        <v>521</v>
      </c>
      <c r="H77" s="194" t="s">
        <v>522</v>
      </c>
      <c r="I77" s="194" t="s">
        <v>523</v>
      </c>
      <c r="J77" s="292" t="s">
        <v>524</v>
      </c>
      <c r="K77" s="194" t="s">
        <v>525</v>
      </c>
      <c r="L77" s="293" t="s">
        <v>526</v>
      </c>
      <c r="M77" s="78"/>
      <c r="P77" s="294" t="s">
        <v>527</v>
      </c>
      <c r="Q77" s="295"/>
      <c r="R77" s="295"/>
      <c r="S77" s="296"/>
    </row>
    <row r="78" ht="16.5" hidden="1" customHeight="1">
      <c r="A78" s="584" t="s">
        <v>528</v>
      </c>
      <c r="B78" s="585">
        <f>sumifs('Form responses'!EF2:EF102,'Form responses'!$C$2:$C102,"&lt;"&amp;Date(YEAR(DATE(YEAR($N$1),MONTH($N$1)+(-3),1)),4,1))-(sumifs('Form responses'!AV2:AV102,'Form responses'!$C$2:$C102,"&lt;"&amp;Date(YEAR(DATE(YEAR($N$1),MONTH($N$1)+(-3),1)),4,1))+sumifs('Form responses'!DJ2:DJ102,'Form responses'!$C$2:$C102,"&lt;"&amp;Date(YEAR(DATE(YEAR($N$1),MONTH($N$1)+(-3),1)),4,1))+sumifs('Form responses'!DU2:DU102,'Form responses'!$C$2:$C102,"&lt;"&amp;Date(YEAR(DATE(YEAR($N$1),MONTH($N$1)+(-3),1)),4,1)))</f>
        <v>0</v>
      </c>
      <c r="C78" s="586">
        <f>sumifs('Form responses'!EG2:EG102,'Form responses'!$C$2:$C102,"&lt;"&amp;Date(YEAR(DATE(YEAR($N$1),MONTH($N$1)+(-3),1)),4,1))-(sumifs('Form responses'!AW2:AW102,'Form responses'!$C$2:$C102,"&lt;"&amp;Date(YEAR(DATE(YEAR($N$1),MONTH($N$1)+(-3),1)),4,1))+sumifs('Form responses'!DK2:DK102,'Form responses'!$C$2:$C102,"&lt;"&amp;Date(YEAR(DATE(YEAR($N$1),MONTH($N$1)+(-3),1)),4,1))+sumifs('Form responses'!DV2:DV102,'Form responses'!$C$2:$C102,"&lt;"&amp;Date(YEAR(DATE(YEAR($N$1),MONTH($N$1)+(-3),1)),4,1)))</f>
        <v>0</v>
      </c>
      <c r="D78" s="586">
        <f>sumifs('Form responses'!EH2:EH102,'Form responses'!$C$2:$C102,"&lt;"&amp;Date(YEAR(DATE(YEAR($N$1),MONTH($N$1)+(-3),1)),4,1))-(sumifs('Form responses'!AX2:AX102,'Form responses'!$C$2:$C102,"&lt;"&amp;Date(YEAR(DATE(YEAR($N$1),MONTH($N$1)+(-3),1)),4,1))+sumifs('Form responses'!DL2:DL102,'Form responses'!$C$2:$C102,"&lt;"&amp;Date(YEAR(DATE(YEAR($N$1),MONTH($N$1)+(-3),1)),4,1))+sumifs('Form responses'!DW2:DW102,'Form responses'!$C$2:$C102,"&lt;"&amp;Date(YEAR(DATE(YEAR($N$1),MONTH($N$1)+(-3),1)),4,1)))</f>
        <v>0</v>
      </c>
      <c r="E78" s="586">
        <f>sumifs('Form responses'!EI2:EI102,'Form responses'!$C$2:$C102,"&lt;"&amp;Date(YEAR(DATE(YEAR($N$1),MONTH($N$1)+(-3),1)),4,1))-(sumifs('Form responses'!AY2:AY102,'Form responses'!$C$2:$C102,"&lt;"&amp;Date(YEAR(DATE(YEAR($N$1),MONTH($N$1)+(-3),1)),4,1))+sumifs('Form responses'!DM2:DM102,'Form responses'!$C$2:$C102,"&lt;"&amp;Date(YEAR(DATE(YEAR($N$1),MONTH($N$1)+(-3),1)),4,1))+sumifs('Form responses'!DX2:DX102,'Form responses'!$C$2:$C102,"&lt;"&amp;Date(YEAR(DATE(YEAR($N$1),MONTH($N$1)+(-3),1)),4,1)))</f>
        <v>0</v>
      </c>
      <c r="F78" s="586">
        <f>sumifs('Form responses'!EJ2:EJ102,'Form responses'!$C$2:$C102,"&lt;"&amp;Date(YEAR(DATE(YEAR($N$1),MONTH($N$1)+(-3),1)),4,1))-(sumifs('Form responses'!BD2:BD102,'Form responses'!$C$2:$C102,"&lt;"&amp;Date(YEAR(DATE(YEAR($N$1),MONTH($N$1)+(-3),1)),4,1))+sumifs('Form responses'!DN2:DN102,'Form responses'!$C$2:$C102,"&lt;"&amp;Date(YEAR(DATE(YEAR($N$1),MONTH($N$1)+(-3),1)),4,1))+sumifs('Form responses'!DY2:DY102,'Form responses'!$C$2:$C102,"&lt;"&amp;Date(YEAR(DATE(YEAR($N$1),MONTH($N$1)+(-3),1)),4,1)))</f>
        <v>0</v>
      </c>
      <c r="G78" s="586">
        <f>sumifs('Form responses'!EK2:EK102,'Form responses'!$C$2:$C102,"&lt;"&amp;Date(YEAR(DATE(YEAR($N$1),MONTH($N$1)+(-3),1)),4,1))-(sumifs('Form responses'!BE2:BE102,'Form responses'!$C$2:$C102,"&lt;"&amp;Date(YEAR(DATE(YEAR($N$1),MONTH($N$1)+(-3),1)),4,1))+sumifs('Form responses'!DO2:DO102,'Form responses'!$C$2:$C102,"&lt;"&amp;Date(YEAR(DATE(YEAR($N$1),MONTH($N$1)+(-3),1)),4,1))+sumifs('Form responses'!DZ2:DZ102,'Form responses'!$C$2:$C102,"&lt;"&amp;Date(YEAR(DATE(YEAR($N$1),MONTH($N$1)+(-3),1)),4,1)))</f>
        <v>0</v>
      </c>
      <c r="H78" s="586">
        <f>sumifs('Form responses'!EL2:EL102,'Form responses'!$C$2:$C102,"&lt;"&amp;Date(YEAR(DATE(YEAR($N$1),MONTH($N$1)+(-3),1)),4,1))-(sumifs('Form responses'!BF2:BF102,'Form responses'!$C$2:$C102,"&lt;"&amp;Date(YEAR(DATE(YEAR($N$1),MONTH($N$1)+(-3),1)),4,1))+sumifs('Form responses'!DP2:DP102,'Form responses'!$C$2:$C102,"&lt;"&amp;Date(YEAR(DATE(YEAR($N$1),MONTH($N$1)+(-3),1)),4,1))+sumifs('Form responses'!EA2:EA102,'Form responses'!$C$2:$C102,"&lt;"&amp;Date(YEAR(DATE(YEAR($N$1),MONTH($N$1)+(-3),1)),4,1)))</f>
        <v>0</v>
      </c>
      <c r="I78" s="586">
        <f>sumifs('Form responses'!EM2:EM102,'Form responses'!$C$2:$C102,"&lt;"&amp;Date(YEAR(DATE(YEAR($N$1),MONTH($N$1)+(-3),1)),4,1))-(sumifs('Form responses'!BG2:BG102,'Form responses'!$C$2:$C102,"&lt;"&amp;Date(YEAR(DATE(YEAR($N$1),MONTH($N$1)+(-3),1)),4,1))+sumifs('Form responses'!DQ2:DQ102,'Form responses'!$C$2:$C102,"&lt;"&amp;Date(YEAR(DATE(YEAR($N$1),MONTH($N$1)+(-3),1)),4,1))+sumifs('Form responses'!EB2:EB102,'Form responses'!$C$2:$C102,"&lt;"&amp;Date(YEAR(DATE(YEAR($N$1),MONTH($N$1)+(-3),1)),4,1)))</f>
        <v>0</v>
      </c>
      <c r="J78" s="586">
        <f>sumifs('Form responses'!EN2:EN102,'Form responses'!$C$2:$C102,"&lt;"&amp;Date(YEAR(DATE(YEAR($N$1),MONTH($N$1)+(-3),1)),4,1))-(sumifs('Form responses'!BL2:BL102,'Form responses'!$C$2:$C102,"&lt;"&amp;Date(YEAR(DATE(YEAR($N$1),MONTH($N$1)+(-3),1)),4,1))+sumifs('Form responses'!DR2:DR102,'Form responses'!$C$2:$C102,"&lt;"&amp;Date(YEAR(DATE(YEAR($N$1),MONTH($N$1)+(-3),1)),4,1))+sumifs('Form responses'!EC2:EC102,'Form responses'!$C$2:$C102,"&lt;"&amp;Date(YEAR(DATE(YEAR($N$1),MONTH($N$1)+(-3),1)),4,1)))</f>
        <v>0</v>
      </c>
      <c r="K78" s="586">
        <f>sumifs('Form responses'!EO2:EO102,'Form responses'!$C$2:$C102,"&lt;"&amp;Date(YEAR(DATE(YEAR($N$1),MONTH($N$1)+(-3),1)),4,1))-(sumifs('Form responses'!BN2:BN102,'Form responses'!$C$2:$C102,"&lt;"&amp;Date(YEAR(DATE(YEAR($N$1),MONTH($N$1)+(-3),1)),4,1))+sumifs('Form responses'!DS2:DS102,'Form responses'!$C$2:$C102,"&lt;"&amp;Date(YEAR(DATE(YEAR($N$1),MONTH($N$1)+(-3),1)),4,1))+sumifs('Form responses'!ED2:ED102,'Form responses'!$C$2:$C102,"&lt;"&amp;Date(YEAR(DATE(YEAR($N$1),MONTH($N$1)+(-3),1)),4,1)))</f>
        <v>0</v>
      </c>
      <c r="L78" s="587">
        <f>sumifs('Form responses'!EP2:EP102,'Form responses'!$C$2:$C102,"&lt;"&amp;Date(YEAR(DATE(YEAR($N$1),MONTH($N$1)+(-3),1)),4,1))-(sumifs('Form responses'!BO2:BO102,'Form responses'!$C$2:$C102,"&lt;"&amp;Date(YEAR(DATE(YEAR($N$1),MONTH($N$1)+(-3),1)),4,1))+sumifs('Form responses'!DT2:DT102,'Form responses'!$C$2:$C102,"&lt;"&amp;Date(YEAR(DATE(YEAR($N$1),MONTH($N$1)+(-3),1)),4,1))+sumifs('Form responses'!EE2:EE102,'Form responses'!$C$2:$C102,"&lt;"&amp;Date(YEAR(DATE(YEAR($N$1),MONTH($N$1)+(-3),1)),4,1)))</f>
        <v>0</v>
      </c>
      <c r="M78" s="78"/>
      <c r="P78" s="300" t="s">
        <v>529</v>
      </c>
      <c r="Q78" s="301" t="s">
        <v>530</v>
      </c>
      <c r="R78" s="302" t="s">
        <v>531</v>
      </c>
      <c r="S78" s="303" t="s">
        <v>532</v>
      </c>
    </row>
    <row r="79" ht="16.5" hidden="1" customHeight="1">
      <c r="A79" s="584" t="s">
        <v>533</v>
      </c>
      <c r="B79" s="585">
        <f>sumifs('Form responses'!EF2:EF102,'Form responses'!$C$2:$C102,"&lt;"&amp;$N$1)-(sumifs('Form responses'!AV2:AV102,'Form responses'!$C$2:$C102,"&lt;"&amp;$N$1)+sumifs('Form responses'!DJ2:DJ102,'Form responses'!$C$2:$C102,"&lt;"&amp;$N$1)+sumifs('Form responses'!DU2:DU102,'Form responses'!$C$2:$C102,"&lt;"&amp;$N$1))</f>
        <v>0</v>
      </c>
      <c r="C79" s="586">
        <f>sumifs('Form responses'!EG2:EG102,'Form responses'!$C$2:$C102,"&lt;"&amp;$N$1)-(sumifs('Form responses'!AW2:AW102,'Form responses'!$C$2:$C102,"&lt;"&amp;$N$1)+sumifs('Form responses'!DK2:DK102,'Form responses'!$C$2:$C102,"&lt;"&amp;$N$1)+sumifs('Form responses'!DV2:DV102,'Form responses'!$C$2:$C102,"&lt;"&amp;$N$1))</f>
        <v>0</v>
      </c>
      <c r="D79" s="586">
        <f>sumifs('Form responses'!EH2:EH102,'Form responses'!$C$2:$C102,"&lt;"&amp;$N$1)-(sumifs('Form responses'!AX2:AX102,'Form responses'!$C$2:$C102,"&lt;"&amp;$N$1)+sumifs('Form responses'!DL2:DL102,'Form responses'!$C$2:$C102,"&lt;"&amp;$N$1)+sumifs('Form responses'!DW2:DW102,'Form responses'!$C$2:$C102,"&lt;"&amp;$N$1))</f>
        <v>0</v>
      </c>
      <c r="E79" s="586">
        <f>sumifs('Form responses'!EI2:EI102,'Form responses'!$C$2:$C102,"&lt;"&amp;$N$1)-(sumifs('Form responses'!AY2:AY102,'Form responses'!$C$2:$C102,"&lt;"&amp;$N$1)+sumifs('Form responses'!DM2:DM102,'Form responses'!$C$2:$C102,"&lt;"&amp;$N$1)+sumifs('Form responses'!DX2:DX102,'Form responses'!$C$2:$C102,"&lt;"&amp;$N$1))</f>
        <v>0</v>
      </c>
      <c r="F79" s="586">
        <f>sumifs('Form responses'!EJ2:EJ102,'Form responses'!$C$2:$C102,"&lt;"&amp;$N$1)-(sumifs('Form responses'!BD2:BD102,'Form responses'!$C$2:$C102,"&lt;"&amp;$N$1)+sumifs('Form responses'!DN2:DN102,'Form responses'!$C$2:$C102,"&lt;"&amp;$N$1)+sumifs('Form responses'!DY2:DY102,'Form responses'!$C$2:$C102,"&lt;"&amp;$N$1))</f>
        <v>0</v>
      </c>
      <c r="G79" s="586">
        <f>sumifs('Form responses'!EK2:EK102,'Form responses'!$C$2:$C102,"&lt;"&amp;$N$1)-(sumifs('Form responses'!BE2:BE102,'Form responses'!$C$2:$C102,"&lt;"&amp;$N$1)+sumifs('Form responses'!DO2:DO102,'Form responses'!$C$2:$C102,"&lt;"&amp;$N$1)+sumifs('Form responses'!DZ2:DZ102,'Form responses'!$C$2:$C102,"&lt;"&amp;$N$1))</f>
        <v>0</v>
      </c>
      <c r="H79" s="586">
        <f>sumifs('Form responses'!EL2:EL102,'Form responses'!$C$2:$C102,"&lt;"&amp;$N$1)-(sumifs('Form responses'!BF2:BF102,'Form responses'!$C$2:$C102,"&lt;"&amp;$N$1)+sumifs('Form responses'!DP2:DP102,'Form responses'!$C$2:$C102,"&lt;"&amp;$N$1)+sumifs('Form responses'!EA2:EA102,'Form responses'!$C$2:$C102,"&lt;"&amp;$N$1))</f>
        <v>0</v>
      </c>
      <c r="I79" s="586">
        <f>sumifs('Form responses'!EM2:EM102,'Form responses'!$C$2:$C102,"&lt;"&amp;$N$1)-(sumifs('Form responses'!BG2:BG102,'Form responses'!$C$2:$C102,"&lt;"&amp;$N$1)+sumifs('Form responses'!DQ2:DQ102,'Form responses'!$C$2:$C102,"&lt;"&amp;$N$1)+sumifs('Form responses'!EB2:EB102,'Form responses'!$C$2:$C102,"&lt;"&amp;$N$1))</f>
        <v>0</v>
      </c>
      <c r="J79" s="586">
        <f>sumifs('Form responses'!EN2:EN102,'Form responses'!$C$2:$C102,"&lt;"&amp;$N$1)-(sumifs('Form responses'!BL2:BL102,'Form responses'!$C$2:$C102,"&lt;"&amp;$N$1)+sumifs('Form responses'!DR2:DR102,'Form responses'!$C$2:$C102,"&lt;"&amp;$N$1)+sumifs('Form responses'!EC2:EC102,'Form responses'!$C$2:$C102,"&lt;"&amp;$N$1))</f>
        <v>0</v>
      </c>
      <c r="K79" s="586">
        <f>sumifs('Form responses'!EO2:EO102,'Form responses'!$C$2:$C102,"&lt;"&amp;$N$1)-(sumifs('Form responses'!BN2:BN102,'Form responses'!$C$2:$C102,"&lt;"&amp;$N$1)+sumifs('Form responses'!DS2:DS102,'Form responses'!$C$2:$C102,"&lt;"&amp;$N$1)+sumifs('Form responses'!ED2:ED102,'Form responses'!$C$2:$C102,"&lt;"&amp;$N$1))</f>
        <v>0</v>
      </c>
      <c r="L79" s="587">
        <f>sumifs('Form responses'!EP2:EP102,'Form responses'!$C$2:$C102,"&lt;"&amp;$N$1)-(sumifs('Form responses'!BO2:BO102,'Form responses'!$C$2:$C102,"&lt;"&amp;$N$1)+sumifs('Form responses'!DT2:DT102,'Form responses'!$C$2:$C102,"&lt;"&amp;$N$1)+sumifs('Form responses'!EE2:EE102,'Form responses'!$C$2:$C102,"&lt;"&amp;$N$1))</f>
        <v>0</v>
      </c>
      <c r="M79" s="588"/>
      <c r="P79" s="304"/>
      <c r="Q79" s="305"/>
      <c r="R79" s="305"/>
      <c r="S79" s="306"/>
    </row>
    <row r="80" ht="16.5" hidden="1" customHeight="1">
      <c r="A80" s="589" t="s">
        <v>668</v>
      </c>
      <c r="B80" s="585">
        <f>Sum!EA4-B83</f>
        <v>0</v>
      </c>
      <c r="C80" s="586">
        <f>Sum!EB4</f>
        <v>0</v>
      </c>
      <c r="D80" s="586">
        <f>Sum!EC4-D83</f>
        <v>0</v>
      </c>
      <c r="E80" s="586">
        <f>Sum!ED4-E83</f>
        <v>0</v>
      </c>
      <c r="F80" s="586">
        <f>Sum!EE4-F83</f>
        <v>0</v>
      </c>
      <c r="G80" s="586">
        <f>Sum!EF4-G83</f>
        <v>0</v>
      </c>
      <c r="H80" s="586">
        <f>Sum!EG4-H83</f>
        <v>0</v>
      </c>
      <c r="I80" s="586">
        <f>Sum!EH4-I83</f>
        <v>0</v>
      </c>
      <c r="J80" s="586">
        <f>Sum!EI4-J83</f>
        <v>0</v>
      </c>
      <c r="K80" s="586">
        <f>Sum!EJ4-K83</f>
        <v>0</v>
      </c>
      <c r="L80" s="587">
        <f>Sum!EM4-L83</f>
        <v>0</v>
      </c>
      <c r="M80" s="588"/>
      <c r="P80" s="307" t="str">
        <f t="shared" ref="P80:S80" si="19">P79</f>
        <v/>
      </c>
      <c r="Q80" s="308" t="str">
        <f t="shared" si="19"/>
        <v/>
      </c>
      <c r="R80" s="308" t="str">
        <f t="shared" si="19"/>
        <v/>
      </c>
      <c r="S80" s="309" t="str">
        <f t="shared" si="19"/>
        <v/>
      </c>
    </row>
    <row r="81" ht="16.5" hidden="1" customHeight="1">
      <c r="A81" s="584" t="s">
        <v>535</v>
      </c>
      <c r="B81" s="585">
        <f>Sum!AQ4</f>
        <v>0</v>
      </c>
      <c r="C81" s="586">
        <f>Sum!AR4</f>
        <v>0</v>
      </c>
      <c r="D81" s="586">
        <f>Sum!AS4</f>
        <v>0</v>
      </c>
      <c r="E81" s="586">
        <f>Sum!AT4</f>
        <v>0</v>
      </c>
      <c r="F81" s="586">
        <f>Sum!AY4</f>
        <v>0</v>
      </c>
      <c r="G81" s="586">
        <f>Sum!AZ4</f>
        <v>0</v>
      </c>
      <c r="H81" s="586">
        <f>Sum!BA4</f>
        <v>0</v>
      </c>
      <c r="I81" s="586">
        <f>Sum!BB4</f>
        <v>0</v>
      </c>
      <c r="J81" s="586">
        <f>Sum!BG4</f>
        <v>0</v>
      </c>
      <c r="K81" s="586">
        <f>Sum!BI4</f>
        <v>0</v>
      </c>
      <c r="L81" s="587">
        <f>Sum!BJ4</f>
        <v>0</v>
      </c>
      <c r="M81" s="78"/>
      <c r="P81" s="310" t="s">
        <v>536</v>
      </c>
      <c r="Q81" s="311"/>
      <c r="R81" s="311"/>
      <c r="S81" s="312"/>
    </row>
    <row r="82" ht="16.5" hidden="1" customHeight="1">
      <c r="A82" s="584" t="s">
        <v>537</v>
      </c>
      <c r="B82" s="585">
        <f>Sum!DE4</f>
        <v>0</v>
      </c>
      <c r="C82" s="586">
        <f>Sum!DF4</f>
        <v>0</v>
      </c>
      <c r="D82" s="586">
        <f>Sum!DG4</f>
        <v>0</v>
      </c>
      <c r="E82" s="586">
        <f>Sum!DH4</f>
        <v>0</v>
      </c>
      <c r="F82" s="586">
        <f>Sum!DI4</f>
        <v>0</v>
      </c>
      <c r="G82" s="586">
        <f>Sum!DJ4</f>
        <v>0</v>
      </c>
      <c r="H82" s="586">
        <f>Sum!DK4</f>
        <v>0</v>
      </c>
      <c r="I82" s="586">
        <f>Sum!DL4</f>
        <v>0</v>
      </c>
      <c r="J82" s="586">
        <f>Sum!DM4</f>
        <v>0</v>
      </c>
      <c r="K82" s="586">
        <f>Sum!DN4</f>
        <v>0</v>
      </c>
      <c r="L82" s="587">
        <f>Sum!DO4</f>
        <v>0</v>
      </c>
      <c r="P82" s="300" t="s">
        <v>529</v>
      </c>
      <c r="Q82" s="301" t="s">
        <v>530</v>
      </c>
      <c r="R82" s="302" t="s">
        <v>531</v>
      </c>
      <c r="S82" s="303" t="s">
        <v>532</v>
      </c>
    </row>
    <row r="83" ht="16.5" hidden="1" customHeight="1">
      <c r="A83" s="584" t="s">
        <v>669</v>
      </c>
      <c r="B83" s="585">
        <f>Sum!DP4</f>
        <v>0</v>
      </c>
      <c r="C83" s="586">
        <f>Sum!DQ4</f>
        <v>0</v>
      </c>
      <c r="D83" s="586">
        <f>Sum!DR4</f>
        <v>0</v>
      </c>
      <c r="E83" s="586">
        <f>Sum!DS4</f>
        <v>0</v>
      </c>
      <c r="F83" s="586">
        <f>Sum!DT4</f>
        <v>0</v>
      </c>
      <c r="G83" s="586">
        <f>Sum!DU4</f>
        <v>0</v>
      </c>
      <c r="H83" s="586">
        <f>Sum!DV4</f>
        <v>0</v>
      </c>
      <c r="I83" s="586">
        <f>Sum!DW4</f>
        <v>0</v>
      </c>
      <c r="J83" s="586">
        <f>Sum!DX4</f>
        <v>0</v>
      </c>
      <c r="K83" s="586">
        <f>Sum!DY4</f>
        <v>0</v>
      </c>
      <c r="L83" s="587">
        <f>Sum!DZ4</f>
        <v>0</v>
      </c>
      <c r="M83" s="78"/>
      <c r="P83" s="304"/>
      <c r="Q83" s="305"/>
      <c r="R83" s="305"/>
      <c r="S83" s="306"/>
    </row>
    <row r="84" ht="16.5" hidden="1" customHeight="1">
      <c r="A84" s="589" t="s">
        <v>670</v>
      </c>
      <c r="B84" s="585">
        <f>Sum!EA5-B87</f>
        <v>0</v>
      </c>
      <c r="C84" s="586">
        <f>Sum!EB5-C87</f>
        <v>0</v>
      </c>
      <c r="D84" s="586">
        <f>Sum!EC5-D87</f>
        <v>0</v>
      </c>
      <c r="E84" s="586">
        <f>Sum!ED5-E87</f>
        <v>0</v>
      </c>
      <c r="F84" s="586">
        <f>Sum!EE5-F87</f>
        <v>0</v>
      </c>
      <c r="G84" s="586">
        <f>Sum!EF5-G87</f>
        <v>0</v>
      </c>
      <c r="H84" s="586">
        <f>Sum!EG5-H87</f>
        <v>0</v>
      </c>
      <c r="I84" s="586">
        <f>Sum!EH5-I87</f>
        <v>0</v>
      </c>
      <c r="J84" s="586">
        <f>Sum!EI5-J87</f>
        <v>0</v>
      </c>
      <c r="K84" s="586">
        <f>Sum!EJ5-K87</f>
        <v>0</v>
      </c>
      <c r="L84" s="587">
        <f>Sum!EM5-L87</f>
        <v>0</v>
      </c>
      <c r="M84" s="78"/>
      <c r="O84" s="223"/>
      <c r="P84" s="307" t="str">
        <f t="shared" ref="P84:S84" si="20">P83</f>
        <v/>
      </c>
      <c r="Q84" s="308" t="str">
        <f t="shared" si="20"/>
        <v/>
      </c>
      <c r="R84" s="308" t="str">
        <f t="shared" si="20"/>
        <v/>
      </c>
      <c r="S84" s="309" t="str">
        <f t="shared" si="20"/>
        <v/>
      </c>
      <c r="T84" s="184"/>
    </row>
    <row r="85" ht="16.5" hidden="1" customHeight="1">
      <c r="A85" s="584" t="s">
        <v>540</v>
      </c>
      <c r="B85" s="585">
        <f>Sum!AQ5</f>
        <v>0</v>
      </c>
      <c r="C85" s="586">
        <f>Sum!AR5</f>
        <v>0</v>
      </c>
      <c r="D85" s="586">
        <f>Sum!AS5</f>
        <v>0</v>
      </c>
      <c r="E85" s="586">
        <f>Sum!AT5</f>
        <v>0</v>
      </c>
      <c r="F85" s="586">
        <f>Sum!AY5</f>
        <v>0</v>
      </c>
      <c r="G85" s="586">
        <f>Sum!AZ5</f>
        <v>0</v>
      </c>
      <c r="H85" s="586">
        <f>Sum!BA5</f>
        <v>0</v>
      </c>
      <c r="I85" s="586">
        <f>Sum!BB5</f>
        <v>0</v>
      </c>
      <c r="J85" s="586">
        <f>Sum!BG5</f>
        <v>0</v>
      </c>
      <c r="K85" s="586">
        <f>Sum!BI5</f>
        <v>0</v>
      </c>
      <c r="L85" s="587">
        <f>Sum!BJ5</f>
        <v>0</v>
      </c>
      <c r="M85" s="78"/>
      <c r="O85" s="213"/>
      <c r="P85" s="313" t="s">
        <v>541</v>
      </c>
      <c r="Q85" s="311"/>
      <c r="R85" s="311"/>
      <c r="S85" s="312"/>
      <c r="T85" s="184"/>
    </row>
    <row r="86" ht="16.5" hidden="1" customHeight="1">
      <c r="A86" s="584" t="s">
        <v>542</v>
      </c>
      <c r="B86" s="585">
        <f>Sum!DE5</f>
        <v>0</v>
      </c>
      <c r="C86" s="586">
        <f>Sum!DF5</f>
        <v>0</v>
      </c>
      <c r="D86" s="586">
        <f>Sum!DG5</f>
        <v>0</v>
      </c>
      <c r="E86" s="586">
        <f>Sum!DH5</f>
        <v>0</v>
      </c>
      <c r="F86" s="586">
        <f>Sum!DI5</f>
        <v>0</v>
      </c>
      <c r="G86" s="586">
        <f>Sum!DJ5</f>
        <v>0</v>
      </c>
      <c r="H86" s="586">
        <f>Sum!DK5</f>
        <v>0</v>
      </c>
      <c r="I86" s="586">
        <f>Sum!DL5</f>
        <v>0</v>
      </c>
      <c r="J86" s="586">
        <f>Sum!DM5</f>
        <v>0</v>
      </c>
      <c r="K86" s="586">
        <f>Sum!DN5</f>
        <v>0</v>
      </c>
      <c r="L86" s="587">
        <f>Sum!DO5</f>
        <v>0</v>
      </c>
      <c r="M86" s="78"/>
      <c r="O86" s="184"/>
      <c r="P86" s="314" t="s">
        <v>530</v>
      </c>
      <c r="Q86" s="315" t="s">
        <v>531</v>
      </c>
      <c r="R86" s="316" t="s">
        <v>532</v>
      </c>
      <c r="S86" s="317" t="s">
        <v>529</v>
      </c>
      <c r="T86" s="184"/>
    </row>
    <row r="87" ht="16.5" hidden="1" customHeight="1">
      <c r="A87" s="584" t="s">
        <v>671</v>
      </c>
      <c r="B87" s="585">
        <f>Sum!DP5</f>
        <v>0</v>
      </c>
      <c r="C87" s="586">
        <f>Sum!DQ5</f>
        <v>0</v>
      </c>
      <c r="D87" s="586">
        <f>Sum!DR5</f>
        <v>0</v>
      </c>
      <c r="E87" s="586">
        <f>Sum!DS5</f>
        <v>0</v>
      </c>
      <c r="F87" s="586">
        <f>Sum!DT5</f>
        <v>0</v>
      </c>
      <c r="G87" s="586">
        <f>Sum!DU5</f>
        <v>0</v>
      </c>
      <c r="H87" s="586">
        <f>Sum!DV5</f>
        <v>0</v>
      </c>
      <c r="I87" s="586">
        <f>Sum!DW5</f>
        <v>0</v>
      </c>
      <c r="J87" s="586">
        <f>Sum!DX5</f>
        <v>0</v>
      </c>
      <c r="K87" s="586">
        <f>Sum!DY5</f>
        <v>0</v>
      </c>
      <c r="L87" s="587">
        <f>Sum!DZ5</f>
        <v>0</v>
      </c>
      <c r="M87" s="78"/>
      <c r="O87" s="213"/>
      <c r="P87" s="304"/>
      <c r="Q87" s="305"/>
      <c r="R87" s="305"/>
      <c r="S87" s="306"/>
      <c r="T87" s="184"/>
    </row>
    <row r="88" ht="16.5" hidden="1" customHeight="1">
      <c r="A88" s="589" t="s">
        <v>544</v>
      </c>
      <c r="B88" s="590">
        <f t="shared" ref="B88:L88" si="21">(B78+B84)-(B85+B86+B87)</f>
        <v>0</v>
      </c>
      <c r="C88" s="591">
        <f t="shared" si="21"/>
        <v>0</v>
      </c>
      <c r="D88" s="591">
        <f t="shared" si="21"/>
        <v>0</v>
      </c>
      <c r="E88" s="591">
        <f t="shared" si="21"/>
        <v>0</v>
      </c>
      <c r="F88" s="591">
        <f t="shared" si="21"/>
        <v>0</v>
      </c>
      <c r="G88" s="591">
        <f t="shared" si="21"/>
        <v>0</v>
      </c>
      <c r="H88" s="591">
        <f t="shared" si="21"/>
        <v>0</v>
      </c>
      <c r="I88" s="591">
        <f t="shared" si="21"/>
        <v>0</v>
      </c>
      <c r="J88" s="591">
        <f t="shared" si="21"/>
        <v>0</v>
      </c>
      <c r="K88" s="591">
        <f t="shared" si="21"/>
        <v>0</v>
      </c>
      <c r="L88" s="592">
        <f t="shared" si="21"/>
        <v>0</v>
      </c>
      <c r="M88" s="487"/>
      <c r="N88" s="487"/>
      <c r="O88" s="197"/>
      <c r="P88" s="319" t="str">
        <f t="shared" ref="P88:S88" si="22">P87</f>
        <v/>
      </c>
      <c r="Q88" s="320" t="str">
        <f t="shared" si="22"/>
        <v/>
      </c>
      <c r="R88" s="320" t="str">
        <f t="shared" si="22"/>
        <v/>
      </c>
      <c r="S88" s="321" t="str">
        <f t="shared" si="22"/>
        <v/>
      </c>
      <c r="T88" s="197"/>
      <c r="U88" s="487"/>
      <c r="V88" s="487"/>
      <c r="W88" s="487"/>
      <c r="X88" s="487"/>
      <c r="Y88" s="487"/>
      <c r="Z88" s="460"/>
      <c r="AA88" s="460"/>
      <c r="AB88" s="78"/>
    </row>
    <row r="89" ht="12.75" customHeight="1">
      <c r="A89" s="466"/>
      <c r="B89" s="487"/>
      <c r="C89" s="487"/>
      <c r="D89" s="487"/>
      <c r="E89" s="487"/>
      <c r="F89" s="487"/>
      <c r="G89" s="487"/>
      <c r="H89" s="487"/>
      <c r="I89" s="487"/>
      <c r="J89" s="487"/>
      <c r="K89" s="487"/>
      <c r="L89" s="487"/>
      <c r="M89" s="487"/>
      <c r="N89" s="487"/>
      <c r="O89" s="460"/>
      <c r="P89" s="460"/>
      <c r="Q89" s="460"/>
    </row>
    <row r="90" ht="18.0" customHeight="1">
      <c r="A90" s="593"/>
      <c r="B90" s="460"/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  <c r="AB90" s="460"/>
    </row>
    <row r="91" ht="18.0" customHeight="1">
      <c r="A91" s="594"/>
      <c r="B91" s="364" t="s">
        <v>672</v>
      </c>
      <c r="N91" s="364"/>
      <c r="O91" s="364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</row>
    <row r="92" ht="18.0" customHeight="1">
      <c r="A92" s="595"/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369"/>
      <c r="N92" s="370"/>
      <c r="O92" s="370"/>
      <c r="P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  <c r="AB92" s="460"/>
    </row>
    <row r="93" ht="18.0" customHeight="1">
      <c r="A93" s="596" t="s">
        <v>566</v>
      </c>
      <c r="B93" s="238" t="str">
        <f>text(now(),"dd/mm/yyyy")</f>
        <v>06/05/2026</v>
      </c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370"/>
      <c r="O93" s="370"/>
      <c r="P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  <c r="AB93" s="460"/>
    </row>
    <row r="94" ht="18.0" customHeight="1">
      <c r="A94" s="596" t="s">
        <v>567</v>
      </c>
      <c r="B94" s="238"/>
      <c r="C94" s="238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370"/>
      <c r="O94" s="370"/>
      <c r="P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  <c r="AB94" s="460"/>
    </row>
    <row r="95" ht="18.0" customHeight="1">
      <c r="A95" s="593"/>
      <c r="B95" s="460"/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</row>
    <row r="96" ht="18.0" customHeight="1">
      <c r="A96" s="593"/>
      <c r="B96" s="460"/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</row>
    <row r="97" ht="18.0" customHeight="1">
      <c r="A97" s="593"/>
      <c r="B97" s="460"/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</row>
    <row r="98" ht="18.0" customHeight="1">
      <c r="A98" s="593"/>
      <c r="B98" s="460"/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597" t="str">
        <f>VLOOKUP(J1,Credentials!$C$2:$I$62,3,FALSE)</f>
        <v>#N/A</v>
      </c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</row>
    <row r="99" ht="18.0" customHeight="1">
      <c r="A99" s="593"/>
      <c r="B99" s="460"/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597" t="str">
        <f>VLOOKUP(J1,Credentials!$C$2:$I$62,4,FALSE)</f>
        <v>#N/A</v>
      </c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</row>
    <row r="100" ht="18.0" customHeight="1">
      <c r="A100" s="593"/>
      <c r="B100" s="460"/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597" t="str">
        <f>J1 &amp; ","</f>
        <v>Tehsil Talwandi Sabo,</v>
      </c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</row>
    <row r="101" ht="18.0" customHeight="1">
      <c r="A101" s="593"/>
      <c r="B101" s="460"/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598" t="s">
        <v>673</v>
      </c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</row>
    <row r="102" ht="18.0" customHeight="1">
      <c r="A102" s="593"/>
      <c r="B102" s="460"/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597" t="str">
        <f>"Contact No: "&amp;VLOOKUP(J1,Credentials!C2:I61,5,FALSE)</f>
        <v>#N/A</v>
      </c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</row>
  </sheetData>
  <mergeCells count="99">
    <mergeCell ref="J3:M3"/>
    <mergeCell ref="N3:Q3"/>
    <mergeCell ref="R3:S3"/>
    <mergeCell ref="U3:V3"/>
    <mergeCell ref="W3:Y3"/>
    <mergeCell ref="G1:I1"/>
    <mergeCell ref="J1:L1"/>
    <mergeCell ref="N1:O1"/>
    <mergeCell ref="Q1:R1"/>
    <mergeCell ref="A2:B2"/>
    <mergeCell ref="B3:E3"/>
    <mergeCell ref="F3:I3"/>
    <mergeCell ref="Q9:S9"/>
    <mergeCell ref="T9:V9"/>
    <mergeCell ref="B8:F8"/>
    <mergeCell ref="A9:A10"/>
    <mergeCell ref="B9:D9"/>
    <mergeCell ref="E9:G9"/>
    <mergeCell ref="H9:J9"/>
    <mergeCell ref="K9:M9"/>
    <mergeCell ref="N9:P9"/>
    <mergeCell ref="L20:M20"/>
    <mergeCell ref="N20:O20"/>
    <mergeCell ref="P20:Q20"/>
    <mergeCell ref="R20:S20"/>
    <mergeCell ref="M25:T25"/>
    <mergeCell ref="U25:V25"/>
    <mergeCell ref="B14:H14"/>
    <mergeCell ref="R14:S14"/>
    <mergeCell ref="B19:G19"/>
    <mergeCell ref="U19:V19"/>
    <mergeCell ref="B20:C20"/>
    <mergeCell ref="D20:E20"/>
    <mergeCell ref="F20:G20"/>
    <mergeCell ref="P43:Q43"/>
    <mergeCell ref="R43:S43"/>
    <mergeCell ref="M48:T48"/>
    <mergeCell ref="U48:V48"/>
    <mergeCell ref="H43:I43"/>
    <mergeCell ref="J43:K43"/>
    <mergeCell ref="B48:I48"/>
    <mergeCell ref="B49:C49"/>
    <mergeCell ref="D49:E49"/>
    <mergeCell ref="F49:G49"/>
    <mergeCell ref="H49:I49"/>
    <mergeCell ref="B54:F54"/>
    <mergeCell ref="I54:M54"/>
    <mergeCell ref="O54:S54"/>
    <mergeCell ref="C59:F59"/>
    <mergeCell ref="G59:I59"/>
    <mergeCell ref="K59:L59"/>
    <mergeCell ref="N59:O59"/>
    <mergeCell ref="B61:F61"/>
    <mergeCell ref="J61:N61"/>
    <mergeCell ref="I65:M65"/>
    <mergeCell ref="Q66:R66"/>
    <mergeCell ref="Q67:R67"/>
    <mergeCell ref="Q68:R68"/>
    <mergeCell ref="B69:E69"/>
    <mergeCell ref="J26:K26"/>
    <mergeCell ref="L26:M26"/>
    <mergeCell ref="N26:O26"/>
    <mergeCell ref="P26:Q26"/>
    <mergeCell ref="R26:S26"/>
    <mergeCell ref="H20:I20"/>
    <mergeCell ref="J20:K20"/>
    <mergeCell ref="B25:I25"/>
    <mergeCell ref="B26:C26"/>
    <mergeCell ref="D26:E26"/>
    <mergeCell ref="F26:G26"/>
    <mergeCell ref="H26:I26"/>
    <mergeCell ref="B31:F31"/>
    <mergeCell ref="I31:M31"/>
    <mergeCell ref="O31:S31"/>
    <mergeCell ref="I36:J36"/>
    <mergeCell ref="K36:L36"/>
    <mergeCell ref="N36:O36"/>
    <mergeCell ref="Q36:R36"/>
    <mergeCell ref="R37:S37"/>
    <mergeCell ref="L43:M43"/>
    <mergeCell ref="N43:O43"/>
    <mergeCell ref="F36:H36"/>
    <mergeCell ref="B37:H37"/>
    <mergeCell ref="B42:G42"/>
    <mergeCell ref="U42:V42"/>
    <mergeCell ref="B43:C43"/>
    <mergeCell ref="D43:E43"/>
    <mergeCell ref="F43:G43"/>
    <mergeCell ref="J49:K49"/>
    <mergeCell ref="L49:M49"/>
    <mergeCell ref="N49:O49"/>
    <mergeCell ref="P49:Q49"/>
    <mergeCell ref="R49:S49"/>
    <mergeCell ref="B76:L76"/>
    <mergeCell ref="P77:S77"/>
    <mergeCell ref="P81:S81"/>
    <mergeCell ref="P85:S85"/>
    <mergeCell ref="B91:M91"/>
    <mergeCell ref="B93:C93"/>
  </mergeCells>
  <conditionalFormatting sqref="O83">
    <cfRule type="colorScale" priority="1">
      <colorScale>
        <cfvo type="min"/>
        <cfvo type="max"/>
        <color rgb="FFEA4335"/>
        <color rgb="FFEA4335"/>
      </colorScale>
    </cfRule>
  </conditionalFormatting>
  <dataValidations>
    <dataValidation type="custom" allowBlank="1" showDropDown="1" showInputMessage="1" showErrorMessage="1" prompt="Enter a valid date" sqref="Q1 Q36 N59">
      <formula1>OR(NOT(ISERROR(DATEVALUE(N1))), AND(ISNUMBER(N1), LEFT(CELL("format", N1))="D"))</formula1>
    </dataValidation>
    <dataValidation type="custom" allowBlank="1" showDropDown="1" showInputMessage="1" prompt="Enter a valid date" sqref="N1 N36 K59">
      <formula1>OR(NOT(ISERROR(DATEVALUE(K1))), AND(ISNUMBER(K1), LEFT(CELL("format", K1))="D"))</formula1>
    </dataValidation>
  </dataValidations>
  <printOptions horizontalCentered="1" verticalCentered="1"/>
  <pageMargins bottom="0.15748031496062992" footer="0.0" header="0.0" left="0.15748031496062992" right="0.15748031496062992" top="0.15748031496062992"/>
  <pageSetup paperSize="9" orientation="landscape"/>
  <rowBreaks count="3" manualBreakCount="3">
    <brk man="1"/>
    <brk id="34" man="1"/>
    <brk id="58" man="1"/>
  </rowBreaks>
  <colBreaks count="2" manualBreakCount="2">
    <brk man="1"/>
    <brk id="2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5.25"/>
    <col customWidth="1" min="3" max="3" width="15.88"/>
    <col customWidth="1" min="4" max="4" width="19.63"/>
  </cols>
  <sheetData>
    <row r="1" ht="26.25" customHeight="1">
      <c r="B1" s="599" t="s">
        <v>674</v>
      </c>
      <c r="C1" s="600">
        <f>'Tehsil Reports'!N1</f>
        <v>44921</v>
      </c>
      <c r="D1" s="600">
        <f>'Tehsil Reports'!Q1</f>
        <v>44951</v>
      </c>
    </row>
    <row r="2" ht="26.25" customHeight="1">
      <c r="A2" s="601" t="s">
        <v>675</v>
      </c>
      <c r="B2" s="602"/>
      <c r="C2" s="603"/>
      <c r="D2" s="603"/>
    </row>
    <row r="3" ht="25.5" customHeight="1">
      <c r="A3" s="604">
        <v>1.0</v>
      </c>
      <c r="B3" s="605" t="s">
        <v>676</v>
      </c>
      <c r="C3" s="606">
        <f>sum('Tehsil Reports'!B5:D5)</f>
        <v>0</v>
      </c>
      <c r="D3" s="607">
        <f>C3*10</f>
        <v>0</v>
      </c>
    </row>
    <row r="4" ht="25.5" customHeight="1">
      <c r="A4" s="608">
        <v>2.0</v>
      </c>
      <c r="B4" s="609" t="s">
        <v>677</v>
      </c>
      <c r="C4" s="610">
        <f>'Tehsil Reports'!E5</f>
        <v>0</v>
      </c>
      <c r="D4" s="611">
        <f>C4*50</f>
        <v>0</v>
      </c>
    </row>
    <row r="5" ht="25.5" customHeight="1">
      <c r="A5" s="604">
        <v>3.0</v>
      </c>
      <c r="B5" s="609" t="s">
        <v>678</v>
      </c>
      <c r="C5" s="610">
        <f>'Tehsil Reports'!T5</f>
        <v>0</v>
      </c>
      <c r="D5" s="611">
        <f>C5*25</f>
        <v>0</v>
      </c>
    </row>
    <row r="6" ht="25.5" customHeight="1">
      <c r="A6" s="608">
        <v>4.0</v>
      </c>
      <c r="B6" s="609" t="s">
        <v>158</v>
      </c>
      <c r="C6" s="610">
        <f>sum('Tehsil Reports'!R5:S5)</f>
        <v>0</v>
      </c>
      <c r="D6" s="611">
        <f>C6*50</f>
        <v>0</v>
      </c>
    </row>
    <row r="7" ht="25.5" customHeight="1">
      <c r="A7" s="604">
        <v>5.0</v>
      </c>
      <c r="B7" s="609" t="s">
        <v>679</v>
      </c>
      <c r="C7" s="610">
        <f>'Tehsil Reports'!U5</f>
        <v>0</v>
      </c>
      <c r="D7" s="611">
        <f>C7*Sum!F9</f>
        <v>0</v>
      </c>
      <c r="H7" s="383"/>
    </row>
    <row r="8" ht="25.5" customHeight="1">
      <c r="A8" s="608">
        <v>6.0</v>
      </c>
      <c r="B8" s="609" t="s">
        <v>680</v>
      </c>
      <c r="C8" s="610">
        <f>'Tehsil Reports'!V5</f>
        <v>0</v>
      </c>
      <c r="D8" s="611">
        <f>C8*Sum!G9</f>
        <v>0</v>
      </c>
    </row>
    <row r="9" ht="25.5" customHeight="1">
      <c r="A9" s="604">
        <v>7.0</v>
      </c>
      <c r="B9" s="609" t="s">
        <v>681</v>
      </c>
      <c r="C9" s="610">
        <f>'Tehsil Reports'!X5+'Tehsil Reports'!Y5+'Tehsil Reports'!W5</f>
        <v>0</v>
      </c>
      <c r="D9" s="612">
        <f>'Tehsil Reports'!H67</f>
        <v>0</v>
      </c>
    </row>
    <row r="10" ht="25.5" customHeight="1">
      <c r="A10" s="608">
        <v>8.0</v>
      </c>
      <c r="B10" s="609" t="s">
        <v>682</v>
      </c>
      <c r="C10" s="611"/>
      <c r="D10" s="610">
        <f>'Tehsil Reports'!F67</f>
        <v>0</v>
      </c>
    </row>
    <row r="11" ht="25.5" customHeight="1">
      <c r="A11" s="604"/>
      <c r="B11" s="609" t="s">
        <v>655</v>
      </c>
      <c r="C11" s="611"/>
      <c r="D11" s="610">
        <f>D3+D4+D5+D6+D7+D8+D9+D10</f>
        <v>0</v>
      </c>
    </row>
    <row r="12" ht="25.5" customHeight="1">
      <c r="A12" s="613"/>
      <c r="B12" s="614" t="s">
        <v>683</v>
      </c>
      <c r="C12" s="615"/>
      <c r="D12" s="255"/>
    </row>
    <row r="13" ht="25.5" customHeight="1">
      <c r="A13" s="613"/>
      <c r="B13" s="616" t="s">
        <v>684</v>
      </c>
      <c r="C13" s="617"/>
      <c r="D13" s="618"/>
    </row>
    <row r="14" ht="25.5" customHeight="1">
      <c r="A14" s="601" t="s">
        <v>685</v>
      </c>
      <c r="B14" s="619"/>
      <c r="C14" s="620"/>
      <c r="D14" s="620"/>
    </row>
    <row r="15" ht="25.5" customHeight="1">
      <c r="A15" s="604">
        <v>1.0</v>
      </c>
      <c r="B15" s="621" t="s">
        <v>686</v>
      </c>
      <c r="C15" s="607">
        <f>D15/Sum!Q9</f>
        <v>0</v>
      </c>
      <c r="D15" s="606">
        <f>'Tehsil Reports'!J67</f>
        <v>0</v>
      </c>
    </row>
    <row r="16" ht="25.5" customHeight="1">
      <c r="A16" s="608">
        <v>2.0</v>
      </c>
      <c r="B16" s="622" t="s">
        <v>687</v>
      </c>
      <c r="C16" s="611">
        <f>D16/Sum!R9</f>
        <v>0</v>
      </c>
      <c r="D16" s="610">
        <f>'Tehsil Reports'!K67</f>
        <v>0</v>
      </c>
    </row>
    <row r="17" ht="25.5" customHeight="1">
      <c r="A17" s="604">
        <v>3.0</v>
      </c>
      <c r="B17" s="622" t="s">
        <v>688</v>
      </c>
      <c r="C17" s="611">
        <v>0.0</v>
      </c>
      <c r="D17" s="610">
        <f>'Tehsil Reports'!L67</f>
        <v>0</v>
      </c>
    </row>
    <row r="18" ht="25.5" customHeight="1">
      <c r="A18" s="608">
        <v>4.0</v>
      </c>
      <c r="B18" s="622" t="s">
        <v>689</v>
      </c>
      <c r="C18" s="611"/>
      <c r="D18" s="623">
        <f>'Tehsil Reports'!M67</f>
        <v>0</v>
      </c>
    </row>
    <row r="19" ht="25.5" customHeight="1">
      <c r="A19" s="604">
        <v>5.0</v>
      </c>
      <c r="B19" s="622" t="s">
        <v>690</v>
      </c>
      <c r="C19" s="611">
        <f>D19/Sum!U9</f>
        <v>0</v>
      </c>
      <c r="D19" s="610">
        <f>'Tehsil Reports'!O67</f>
        <v>0</v>
      </c>
    </row>
    <row r="20" ht="25.5" customHeight="1">
      <c r="A20" s="604"/>
      <c r="B20" s="622" t="s">
        <v>691</v>
      </c>
      <c r="C20" s="611"/>
      <c r="D20" s="610">
        <f>sum(D15:D19)</f>
        <v>0</v>
      </c>
    </row>
    <row r="21" ht="25.5" customHeight="1">
      <c r="A21" s="624"/>
      <c r="B21" s="625" t="s">
        <v>692</v>
      </c>
      <c r="C21" s="615"/>
      <c r="D21" s="255"/>
    </row>
    <row r="22" ht="24.0" customHeight="1">
      <c r="A22" s="624"/>
      <c r="B22" s="626" t="s">
        <v>693</v>
      </c>
      <c r="C22" s="615"/>
      <c r="D22" s="255"/>
    </row>
    <row r="23" ht="15.75" customHeight="1"/>
    <row r="24" ht="15.75" customHeight="1"/>
  </sheetData>
  <mergeCells count="4">
    <mergeCell ref="B12:D12"/>
    <mergeCell ref="B13:D13"/>
    <mergeCell ref="B21:D21"/>
    <mergeCell ref="B22:D22"/>
  </mergeCells>
  <printOptions horizontalCentered="1" verticalCentered="1"/>
  <pageMargins bottom="5.511811023622047" footer="0.0" header="0.0" left="0.7" right="0.7" top="0.39370078740157477"/>
  <pageSetup paperSize="5" scale="8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6.0"/>
    <col customWidth="1" min="3" max="3" width="24.25"/>
    <col customWidth="1" min="4" max="4" width="19.5"/>
  </cols>
  <sheetData>
    <row r="1" ht="33.0" customHeight="1">
      <c r="A1" s="627" t="s">
        <v>694</v>
      </c>
      <c r="C1" s="628" t="s">
        <v>695</v>
      </c>
      <c r="E1" s="629"/>
      <c r="F1" s="630" t="s">
        <v>6</v>
      </c>
      <c r="G1" s="629"/>
      <c r="H1" s="629"/>
      <c r="I1" s="629"/>
      <c r="J1" s="629"/>
      <c r="K1" s="629"/>
      <c r="L1" s="629"/>
      <c r="M1" s="629"/>
      <c r="N1" s="629"/>
      <c r="O1" s="629"/>
      <c r="P1" s="629"/>
    </row>
    <row r="2">
      <c r="A2" s="631" t="s">
        <v>696</v>
      </c>
      <c r="B2" s="85" t="s">
        <v>697</v>
      </c>
      <c r="C2" s="631" t="s">
        <v>698</v>
      </c>
      <c r="D2" s="631"/>
      <c r="F2" s="630"/>
    </row>
    <row r="3">
      <c r="A3" s="632" t="s">
        <v>699</v>
      </c>
      <c r="B3" s="632" t="s">
        <v>700</v>
      </c>
      <c r="C3" s="632" t="s">
        <v>701</v>
      </c>
      <c r="D3" s="632" t="s">
        <v>700</v>
      </c>
      <c r="F3" s="630" t="s">
        <v>702</v>
      </c>
    </row>
    <row r="4">
      <c r="A4" s="631" t="s">
        <v>703</v>
      </c>
      <c r="B4" s="633" t="s">
        <v>704</v>
      </c>
      <c r="C4" s="631" t="s">
        <v>705</v>
      </c>
      <c r="D4" s="633" t="s">
        <v>706</v>
      </c>
      <c r="F4" s="634" t="s">
        <v>707</v>
      </c>
    </row>
    <row r="5">
      <c r="A5" s="165" t="s">
        <v>708</v>
      </c>
      <c r="B5" s="165" t="s">
        <v>709</v>
      </c>
      <c r="C5" s="165" t="s">
        <v>710</v>
      </c>
      <c r="D5" s="165" t="s">
        <v>711</v>
      </c>
      <c r="F5" s="634" t="s">
        <v>712</v>
      </c>
    </row>
    <row r="6" ht="17.25" customHeight="1">
      <c r="A6" s="635" t="s">
        <v>713</v>
      </c>
      <c r="B6" s="165" t="s">
        <v>714</v>
      </c>
      <c r="C6" s="635" t="s">
        <v>713</v>
      </c>
      <c r="D6" s="165" t="s">
        <v>715</v>
      </c>
      <c r="F6" s="634" t="s">
        <v>716</v>
      </c>
    </row>
    <row r="7" ht="17.25" customHeight="1">
      <c r="A7" s="635" t="s">
        <v>717</v>
      </c>
      <c r="B7" s="165" t="s">
        <v>718</v>
      </c>
      <c r="C7" s="635" t="s">
        <v>717</v>
      </c>
      <c r="D7" s="165" t="s">
        <v>719</v>
      </c>
    </row>
    <row r="8" ht="17.25" customHeight="1">
      <c r="A8" s="635" t="s">
        <v>720</v>
      </c>
      <c r="B8" s="165" t="s">
        <v>721</v>
      </c>
      <c r="C8" s="635" t="s">
        <v>720</v>
      </c>
      <c r="D8" s="165" t="s">
        <v>722</v>
      </c>
    </row>
    <row r="9" ht="17.25" customHeight="1">
      <c r="A9" s="635" t="s">
        <v>723</v>
      </c>
      <c r="B9" s="165" t="s">
        <v>718</v>
      </c>
      <c r="C9" s="635" t="s">
        <v>723</v>
      </c>
      <c r="D9" s="165" t="s">
        <v>719</v>
      </c>
    </row>
    <row r="10" ht="17.25" customHeight="1">
      <c r="A10" s="635" t="s">
        <v>724</v>
      </c>
      <c r="B10" s="56" t="s">
        <v>725</v>
      </c>
      <c r="C10" s="635" t="s">
        <v>724</v>
      </c>
      <c r="D10" s="165" t="s">
        <v>726</v>
      </c>
    </row>
    <row r="11" ht="17.25" customHeight="1">
      <c r="A11" s="635" t="s">
        <v>727</v>
      </c>
      <c r="B11" s="165" t="s">
        <v>718</v>
      </c>
      <c r="C11" s="635" t="s">
        <v>727</v>
      </c>
      <c r="D11" s="165" t="s">
        <v>728</v>
      </c>
    </row>
    <row r="12" ht="17.25" customHeight="1">
      <c r="A12" s="635" t="s">
        <v>729</v>
      </c>
      <c r="B12" s="165" t="s">
        <v>730</v>
      </c>
      <c r="C12" s="635" t="s">
        <v>729</v>
      </c>
      <c r="D12" s="165" t="s">
        <v>731</v>
      </c>
    </row>
    <row r="13" ht="17.25" customHeight="1">
      <c r="A13" s="635" t="s">
        <v>732</v>
      </c>
      <c r="B13" s="165" t="s">
        <v>733</v>
      </c>
      <c r="C13" s="635" t="s">
        <v>732</v>
      </c>
      <c r="D13" s="165" t="s">
        <v>719</v>
      </c>
    </row>
    <row r="14" ht="17.25" customHeight="1">
      <c r="A14" s="635" t="s">
        <v>734</v>
      </c>
      <c r="B14" s="56" t="s">
        <v>735</v>
      </c>
      <c r="C14" s="635" t="s">
        <v>734</v>
      </c>
      <c r="D14" s="165" t="s">
        <v>736</v>
      </c>
    </row>
    <row r="15" ht="17.25" customHeight="1">
      <c r="A15" s="635" t="s">
        <v>737</v>
      </c>
      <c r="B15" s="56" t="s">
        <v>733</v>
      </c>
      <c r="C15" s="635" t="s">
        <v>737</v>
      </c>
      <c r="D15" s="165" t="s">
        <v>738</v>
      </c>
    </row>
    <row r="16" ht="17.25" customHeight="1">
      <c r="A16" s="635" t="s">
        <v>739</v>
      </c>
      <c r="B16" s="165"/>
      <c r="C16" s="635" t="s">
        <v>739</v>
      </c>
      <c r="D16" s="165" t="s">
        <v>740</v>
      </c>
    </row>
    <row r="17" ht="17.25" customHeight="1">
      <c r="A17" s="635" t="s">
        <v>741</v>
      </c>
      <c r="B17" s="165"/>
      <c r="C17" s="635" t="s">
        <v>741</v>
      </c>
      <c r="D17" s="165" t="s">
        <v>742</v>
      </c>
    </row>
    <row r="18" ht="17.25" customHeight="1">
      <c r="A18" s="636" t="s">
        <v>743</v>
      </c>
      <c r="B18" s="165"/>
      <c r="C18" s="636" t="s">
        <v>743</v>
      </c>
      <c r="D18" s="165" t="s">
        <v>744</v>
      </c>
    </row>
    <row r="19" ht="17.25" customHeight="1">
      <c r="A19" s="636" t="s">
        <v>745</v>
      </c>
      <c r="B19" s="165"/>
      <c r="C19" s="636" t="s">
        <v>745</v>
      </c>
      <c r="D19" s="165" t="s">
        <v>738</v>
      </c>
    </row>
    <row r="20" ht="17.25" customHeight="1">
      <c r="A20" s="636" t="s">
        <v>746</v>
      </c>
      <c r="B20" s="165"/>
      <c r="C20" s="636" t="s">
        <v>746</v>
      </c>
      <c r="D20" s="165" t="s">
        <v>747</v>
      </c>
    </row>
    <row r="21" ht="17.25" customHeight="1">
      <c r="A21" s="636" t="s">
        <v>748</v>
      </c>
      <c r="B21" s="165" t="s">
        <v>749</v>
      </c>
      <c r="C21" s="636" t="s">
        <v>748</v>
      </c>
      <c r="D21" s="165" t="s">
        <v>750</v>
      </c>
    </row>
    <row r="22" ht="17.25" customHeight="1">
      <c r="A22" s="636" t="s">
        <v>751</v>
      </c>
      <c r="B22" s="165"/>
      <c r="C22" s="636" t="s">
        <v>751</v>
      </c>
      <c r="D22" s="165"/>
    </row>
    <row r="23" ht="17.25" customHeight="1">
      <c r="A23" s="636" t="s">
        <v>752</v>
      </c>
      <c r="B23" s="165"/>
      <c r="C23" s="636" t="s">
        <v>752</v>
      </c>
      <c r="D23" s="165"/>
    </row>
    <row r="24" ht="17.25" customHeight="1">
      <c r="A24" s="637" t="s">
        <v>753</v>
      </c>
      <c r="B24" s="165"/>
      <c r="C24" s="637" t="s">
        <v>753</v>
      </c>
      <c r="D24" s="165"/>
    </row>
    <row r="25" ht="17.25" customHeight="1">
      <c r="A25" s="637" t="s">
        <v>754</v>
      </c>
      <c r="B25" s="165"/>
      <c r="C25" s="637" t="s">
        <v>754</v>
      </c>
      <c r="D25" s="165"/>
    </row>
    <row r="26" ht="17.25" customHeight="1">
      <c r="A26" s="637" t="s">
        <v>755</v>
      </c>
      <c r="B26" s="165"/>
      <c r="C26" s="637" t="s">
        <v>755</v>
      </c>
      <c r="D26" s="165"/>
    </row>
    <row r="27" ht="17.25" customHeight="1">
      <c r="A27" s="637" t="s">
        <v>756</v>
      </c>
      <c r="B27" s="165"/>
      <c r="C27" s="165" t="s">
        <v>756</v>
      </c>
      <c r="D27" s="165"/>
    </row>
    <row r="28" ht="17.25" customHeight="1">
      <c r="A28" s="637" t="s">
        <v>757</v>
      </c>
      <c r="B28" s="165"/>
      <c r="C28" s="165" t="s">
        <v>757</v>
      </c>
      <c r="D28" s="165"/>
    </row>
    <row r="29" ht="17.25" customHeight="1">
      <c r="A29" s="636" t="s">
        <v>758</v>
      </c>
      <c r="B29" s="165"/>
      <c r="C29" s="165" t="s">
        <v>758</v>
      </c>
      <c r="D29" s="165"/>
    </row>
  </sheetData>
  <mergeCells count="2">
    <mergeCell ref="A1:B1"/>
    <mergeCell ref="C1:D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5.75"/>
    <col customWidth="1" min="4" max="4" width="23.13"/>
    <col customWidth="1" min="5" max="5" width="21.75"/>
    <col customWidth="1" min="6" max="28" width="10.75"/>
    <col customWidth="1" min="29" max="36" width="18.88"/>
  </cols>
  <sheetData>
    <row r="1">
      <c r="A1" s="378" t="s">
        <v>759</v>
      </c>
      <c r="B1" s="378" t="s">
        <v>760</v>
      </c>
      <c r="C1" s="378" t="s">
        <v>761</v>
      </c>
      <c r="D1" s="378" t="s">
        <v>762</v>
      </c>
      <c r="E1" s="378" t="s">
        <v>763</v>
      </c>
      <c r="F1" s="52" t="s">
        <v>764</v>
      </c>
      <c r="G1" s="52" t="s">
        <v>765</v>
      </c>
      <c r="H1" s="52" t="s">
        <v>766</v>
      </c>
      <c r="I1" s="52" t="s">
        <v>767</v>
      </c>
      <c r="J1" s="52" t="s">
        <v>768</v>
      </c>
      <c r="K1" s="378" t="s">
        <v>769</v>
      </c>
      <c r="L1" s="52" t="s">
        <v>770</v>
      </c>
      <c r="M1" s="52" t="s">
        <v>771</v>
      </c>
      <c r="N1" s="52" t="s">
        <v>772</v>
      </c>
      <c r="O1" s="52" t="s">
        <v>773</v>
      </c>
      <c r="P1" s="52" t="s">
        <v>774</v>
      </c>
      <c r="Q1" s="52" t="s">
        <v>775</v>
      </c>
      <c r="R1" s="52" t="s">
        <v>776</v>
      </c>
      <c r="S1" s="52" t="s">
        <v>777</v>
      </c>
      <c r="T1" s="52" t="s">
        <v>778</v>
      </c>
      <c r="U1" s="52" t="s">
        <v>779</v>
      </c>
      <c r="V1" s="378" t="s">
        <v>780</v>
      </c>
      <c r="W1" s="52" t="s">
        <v>781</v>
      </c>
      <c r="X1" s="52" t="s">
        <v>782</v>
      </c>
      <c r="Y1" s="52" t="s">
        <v>783</v>
      </c>
      <c r="Z1" s="52" t="s">
        <v>784</v>
      </c>
      <c r="AA1" s="52" t="s">
        <v>785</v>
      </c>
      <c r="AB1" s="52" t="s">
        <v>786</v>
      </c>
      <c r="AC1" s="52" t="s">
        <v>787</v>
      </c>
      <c r="AD1" s="52" t="s">
        <v>788</v>
      </c>
      <c r="AE1" s="52"/>
      <c r="AF1" s="52"/>
      <c r="AG1" s="52"/>
      <c r="AH1" s="52"/>
      <c r="AI1" s="52"/>
      <c r="AJ1" s="52"/>
    </row>
    <row r="2">
      <c r="A2" s="381">
        <v>44557.91132775463</v>
      </c>
      <c r="B2" s="638">
        <v>44542.0</v>
      </c>
      <c r="C2" s="56" t="str">
        <f t="array" ref="C2:C102">IF(ISBLANK(B2:B102),IFERROR(1/0,""),text(Edate(B2:B102,-1), "mmmm"))</f>
        <v>November</v>
      </c>
      <c r="D2" s="56" t="s">
        <v>789</v>
      </c>
      <c r="E2" s="56" t="s">
        <v>601</v>
      </c>
      <c r="F2" s="56">
        <v>1.0</v>
      </c>
      <c r="G2" s="56">
        <v>2.0</v>
      </c>
      <c r="H2" s="56">
        <v>3.0</v>
      </c>
      <c r="I2" s="56">
        <v>4.0</v>
      </c>
      <c r="J2" s="56">
        <v>5.0</v>
      </c>
      <c r="K2" s="56">
        <v>6.0</v>
      </c>
      <c r="L2" s="56">
        <v>7.0</v>
      </c>
      <c r="M2" s="56">
        <v>8.0</v>
      </c>
      <c r="N2" s="56">
        <v>9.0</v>
      </c>
      <c r="O2" s="56">
        <v>10.0</v>
      </c>
      <c r="P2" s="56">
        <v>11.0</v>
      </c>
      <c r="Q2" s="56">
        <v>12.0</v>
      </c>
      <c r="R2" s="56">
        <v>13.0</v>
      </c>
      <c r="S2" s="56">
        <v>14.0</v>
      </c>
      <c r="T2" s="56">
        <v>15.0</v>
      </c>
      <c r="U2" s="56">
        <v>16.0</v>
      </c>
      <c r="V2" s="56">
        <v>17.0</v>
      </c>
      <c r="W2" s="56">
        <v>18.0</v>
      </c>
      <c r="X2" s="56">
        <v>19.0</v>
      </c>
      <c r="Y2" s="56">
        <v>20.0</v>
      </c>
      <c r="Z2" s="56">
        <v>21.0</v>
      </c>
      <c r="AA2" s="56">
        <v>22.0</v>
      </c>
    </row>
    <row r="3">
      <c r="A3" s="381">
        <v>44558.91133101852</v>
      </c>
      <c r="B3" s="639">
        <v>44218.0</v>
      </c>
      <c r="C3" s="383" t="s">
        <v>790</v>
      </c>
    </row>
    <row r="4">
      <c r="A4" s="381">
        <v>44559.91133101852</v>
      </c>
      <c r="B4" s="639">
        <v>44219.0</v>
      </c>
      <c r="C4" s="383" t="s">
        <v>790</v>
      </c>
    </row>
    <row r="5">
      <c r="A5" s="381">
        <v>44560.91133101852</v>
      </c>
      <c r="C5" s="383"/>
    </row>
    <row r="6">
      <c r="C6" s="383"/>
    </row>
    <row r="7">
      <c r="C7" s="383"/>
    </row>
    <row r="8">
      <c r="C8" s="383"/>
    </row>
    <row r="9">
      <c r="C9" s="383"/>
    </row>
    <row r="10">
      <c r="C10" s="383"/>
    </row>
    <row r="11">
      <c r="C11" s="383"/>
    </row>
    <row r="12">
      <c r="C12" s="383"/>
    </row>
    <row r="13">
      <c r="C13" s="383"/>
    </row>
    <row r="14">
      <c r="C14" s="383"/>
    </row>
    <row r="15">
      <c r="C15" s="383"/>
    </row>
    <row r="16">
      <c r="C16" s="383"/>
    </row>
    <row r="17">
      <c r="C17" s="383"/>
    </row>
    <row r="18">
      <c r="C18" s="383"/>
    </row>
    <row r="19">
      <c r="C19" s="383"/>
    </row>
    <row r="20">
      <c r="C20" s="383"/>
    </row>
    <row r="21">
      <c r="C21" s="383"/>
    </row>
    <row r="22">
      <c r="C22" s="383"/>
    </row>
    <row r="23">
      <c r="C23" s="383"/>
    </row>
    <row r="24">
      <c r="C24" s="383"/>
    </row>
    <row r="25">
      <c r="C25" s="383"/>
    </row>
    <row r="26">
      <c r="C26" s="383"/>
    </row>
    <row r="27">
      <c r="C27" s="383"/>
    </row>
    <row r="28">
      <c r="C28" s="383"/>
    </row>
    <row r="29">
      <c r="C29" s="383"/>
    </row>
    <row r="30">
      <c r="C30" s="383"/>
    </row>
    <row r="31">
      <c r="C31" s="383"/>
    </row>
    <row r="32">
      <c r="C32" s="383"/>
    </row>
    <row r="33">
      <c r="C33" s="383"/>
    </row>
    <row r="34">
      <c r="C34" s="383"/>
    </row>
    <row r="35">
      <c r="C35" s="383"/>
    </row>
    <row r="36">
      <c r="C36" s="383"/>
    </row>
    <row r="37">
      <c r="C37" s="383"/>
    </row>
    <row r="38">
      <c r="C38" s="383"/>
    </row>
    <row r="39">
      <c r="C39" s="383"/>
    </row>
    <row r="40">
      <c r="C40" s="383"/>
    </row>
    <row r="41">
      <c r="C41" s="383"/>
    </row>
    <row r="42">
      <c r="C42" s="383"/>
    </row>
    <row r="43">
      <c r="C43" s="383"/>
    </row>
    <row r="44">
      <c r="C44" s="383"/>
    </row>
    <row r="45">
      <c r="C45" s="383"/>
    </row>
    <row r="46">
      <c r="C46" s="383"/>
    </row>
    <row r="47">
      <c r="C47" s="383"/>
    </row>
    <row r="48">
      <c r="C48" s="383"/>
    </row>
    <row r="49">
      <c r="C49" s="383"/>
    </row>
    <row r="50">
      <c r="C50" s="383"/>
    </row>
    <row r="51">
      <c r="C51" s="383"/>
    </row>
    <row r="52">
      <c r="C52" s="383"/>
    </row>
    <row r="53">
      <c r="C53" s="383"/>
    </row>
    <row r="54">
      <c r="C54" s="383"/>
    </row>
    <row r="55">
      <c r="C55" s="383"/>
    </row>
    <row r="56">
      <c r="C56" s="383"/>
    </row>
    <row r="57">
      <c r="C57" s="383"/>
    </row>
    <row r="58">
      <c r="C58" s="383"/>
    </row>
    <row r="59">
      <c r="C59" s="383"/>
    </row>
    <row r="60">
      <c r="C60" s="383"/>
    </row>
    <row r="61">
      <c r="C61" s="383"/>
    </row>
    <row r="62">
      <c r="C62" s="383"/>
    </row>
    <row r="63">
      <c r="C63" s="383"/>
    </row>
    <row r="64">
      <c r="C64" s="383"/>
    </row>
    <row r="65">
      <c r="C65" s="383"/>
    </row>
    <row r="66">
      <c r="C66" s="383"/>
    </row>
    <row r="67">
      <c r="C67" s="383"/>
    </row>
    <row r="68">
      <c r="C68" s="383"/>
    </row>
    <row r="69">
      <c r="C69" s="383"/>
    </row>
    <row r="70">
      <c r="C70" s="383"/>
    </row>
    <row r="71">
      <c r="C71" s="383"/>
    </row>
    <row r="72">
      <c r="C72" s="383"/>
    </row>
    <row r="73">
      <c r="C73" s="383"/>
    </row>
    <row r="74">
      <c r="C74" s="383"/>
    </row>
    <row r="75">
      <c r="C75" s="383"/>
    </row>
    <row r="76">
      <c r="C76" s="383"/>
    </row>
    <row r="77">
      <c r="C77" s="383"/>
    </row>
    <row r="78">
      <c r="C78" s="383"/>
    </row>
    <row r="79">
      <c r="C79" s="383"/>
    </row>
    <row r="80">
      <c r="C80" s="383"/>
    </row>
    <row r="81">
      <c r="C81" s="383"/>
    </row>
    <row r="82">
      <c r="C82" s="383"/>
    </row>
    <row r="83">
      <c r="C83" s="383"/>
    </row>
    <row r="84">
      <c r="C84" s="383"/>
    </row>
    <row r="85">
      <c r="C85" s="383"/>
    </row>
    <row r="86">
      <c r="C86" s="383"/>
    </row>
    <row r="87">
      <c r="C87" s="383"/>
    </row>
    <row r="88">
      <c r="C88" s="383"/>
    </row>
    <row r="89">
      <c r="C89" s="383"/>
    </row>
    <row r="90">
      <c r="C90" s="383"/>
    </row>
    <row r="91">
      <c r="C91" s="383"/>
    </row>
    <row r="92">
      <c r="C92" s="383"/>
    </row>
    <row r="93">
      <c r="C93" s="383"/>
    </row>
    <row r="94">
      <c r="C94" s="383"/>
    </row>
    <row r="95">
      <c r="C95" s="383"/>
    </row>
    <row r="96">
      <c r="C96" s="383"/>
    </row>
    <row r="97">
      <c r="C97" s="383"/>
    </row>
    <row r="98">
      <c r="C98" s="383"/>
    </row>
    <row r="99">
      <c r="C99" s="383"/>
    </row>
    <row r="100">
      <c r="C100" s="383"/>
    </row>
    <row r="101">
      <c r="C101" s="383"/>
    </row>
    <row r="102">
      <c r="C102" s="38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5" width="18.88"/>
  </cols>
  <sheetData>
    <row r="1">
      <c r="A1" s="383" t="s">
        <v>570</v>
      </c>
      <c r="B1" s="56" t="s">
        <v>761</v>
      </c>
      <c r="C1" s="383" t="s">
        <v>155</v>
      </c>
      <c r="D1" s="383" t="s">
        <v>156</v>
      </c>
      <c r="E1" s="383" t="s">
        <v>157</v>
      </c>
      <c r="F1" s="383" t="s">
        <v>158</v>
      </c>
      <c r="G1" s="383" t="s">
        <v>159</v>
      </c>
      <c r="H1" s="383" t="s">
        <v>160</v>
      </c>
      <c r="I1" s="383" t="s">
        <v>161</v>
      </c>
      <c r="J1" s="383" t="s">
        <v>162</v>
      </c>
      <c r="K1" s="383" t="s">
        <v>163</v>
      </c>
      <c r="L1" s="383" t="s">
        <v>164</v>
      </c>
      <c r="M1" s="383" t="s">
        <v>165</v>
      </c>
      <c r="N1" s="383" t="s">
        <v>166</v>
      </c>
      <c r="O1" s="383" t="s">
        <v>167</v>
      </c>
      <c r="P1" s="383" t="s">
        <v>168</v>
      </c>
      <c r="Q1" s="383" t="s">
        <v>169</v>
      </c>
      <c r="R1" s="383" t="s">
        <v>170</v>
      </c>
      <c r="S1" s="383" t="s">
        <v>171</v>
      </c>
      <c r="T1" s="56" t="s">
        <v>172</v>
      </c>
      <c r="U1" s="56" t="s">
        <v>791</v>
      </c>
      <c r="V1" s="383" t="s">
        <v>174</v>
      </c>
      <c r="W1" s="383" t="s">
        <v>175</v>
      </c>
      <c r="X1" s="383" t="s">
        <v>176</v>
      </c>
      <c r="Y1" s="383" t="s">
        <v>177</v>
      </c>
      <c r="Z1" s="383" t="s">
        <v>178</v>
      </c>
      <c r="AA1" s="56" t="s">
        <v>792</v>
      </c>
      <c r="AB1" s="56" t="s">
        <v>788</v>
      </c>
      <c r="AC1" s="56" t="s">
        <v>793</v>
      </c>
    </row>
    <row r="2">
      <c r="A2" s="381">
        <v>44566.80381528936</v>
      </c>
      <c r="B2" s="640">
        <v>44566.0</v>
      </c>
      <c r="C2" s="56">
        <v>10.0</v>
      </c>
      <c r="D2" s="56">
        <v>50.0</v>
      </c>
      <c r="E2" s="56">
        <v>25.0</v>
      </c>
      <c r="F2" s="56">
        <v>50.0</v>
      </c>
      <c r="G2" s="56">
        <v>50.0</v>
      </c>
      <c r="H2" s="56">
        <v>100.0</v>
      </c>
      <c r="I2" s="56">
        <v>20.0</v>
      </c>
      <c r="J2" s="56">
        <v>100.0</v>
      </c>
      <c r="K2" s="56">
        <v>5.0</v>
      </c>
      <c r="L2" s="56">
        <v>0.0</v>
      </c>
      <c r="M2" s="56">
        <v>0.0</v>
      </c>
      <c r="N2" s="56">
        <v>0.0</v>
      </c>
      <c r="O2" s="56">
        <v>0.0</v>
      </c>
      <c r="P2" s="56">
        <v>10.0</v>
      </c>
      <c r="Q2" s="56">
        <v>0.0</v>
      </c>
      <c r="R2" s="56">
        <v>25.0</v>
      </c>
      <c r="S2" s="56">
        <v>35.0</v>
      </c>
      <c r="T2" s="56">
        <v>50.0</v>
      </c>
      <c r="U2" s="56">
        <v>200.0</v>
      </c>
      <c r="V2" s="56">
        <v>25.0</v>
      </c>
      <c r="W2" s="56">
        <v>40.0</v>
      </c>
      <c r="X2" s="56">
        <v>40.0</v>
      </c>
      <c r="Y2" s="56">
        <v>2.0</v>
      </c>
      <c r="Z2" s="56">
        <v>2.0</v>
      </c>
      <c r="AA2" s="56">
        <v>200.0</v>
      </c>
      <c r="AB2" s="641"/>
      <c r="AC2" s="641"/>
    </row>
    <row r="3">
      <c r="A3" s="381">
        <v>44586.35360646991</v>
      </c>
      <c r="B3" s="640">
        <v>44554.0</v>
      </c>
      <c r="C3" s="56">
        <v>10.0</v>
      </c>
      <c r="D3" s="56">
        <v>50.0</v>
      </c>
      <c r="E3" s="56">
        <v>25.0</v>
      </c>
      <c r="F3" s="56">
        <v>50.0</v>
      </c>
      <c r="G3" s="56">
        <v>50.0</v>
      </c>
      <c r="H3" s="56">
        <v>100.0</v>
      </c>
      <c r="I3" s="56">
        <v>20.0</v>
      </c>
      <c r="J3" s="56">
        <v>100.0</v>
      </c>
      <c r="K3" s="56">
        <v>5.0</v>
      </c>
      <c r="L3" s="56">
        <v>0.0</v>
      </c>
      <c r="M3" s="56">
        <v>0.0</v>
      </c>
      <c r="N3" s="56">
        <v>0.0</v>
      </c>
      <c r="O3" s="56">
        <v>0.0</v>
      </c>
      <c r="P3" s="56">
        <v>0.0</v>
      </c>
      <c r="Q3" s="56">
        <v>0.0</v>
      </c>
      <c r="R3" s="56">
        <v>25.0</v>
      </c>
      <c r="S3" s="56">
        <v>35.0</v>
      </c>
      <c r="T3" s="56">
        <v>50.0</v>
      </c>
      <c r="U3" s="56">
        <v>50.0</v>
      </c>
      <c r="V3" s="56">
        <v>25.0</v>
      </c>
      <c r="W3" s="56">
        <v>40.0</v>
      </c>
      <c r="X3" s="56">
        <v>40.0</v>
      </c>
      <c r="Y3" s="56">
        <v>2.0</v>
      </c>
      <c r="Z3" s="56">
        <v>2.0</v>
      </c>
      <c r="AA3" s="56">
        <v>200.0</v>
      </c>
      <c r="AB3" s="56" t="s">
        <v>794</v>
      </c>
      <c r="AC3" s="641"/>
    </row>
    <row r="4">
      <c r="A4" s="381">
        <v>44617.61685248843</v>
      </c>
      <c r="B4" s="640">
        <v>44608.0</v>
      </c>
      <c r="C4" s="56">
        <v>10.0</v>
      </c>
      <c r="D4" s="56">
        <v>50.0</v>
      </c>
      <c r="E4" s="56">
        <v>25.0</v>
      </c>
      <c r="F4" s="56">
        <v>50.0</v>
      </c>
      <c r="G4" s="56">
        <v>50.0</v>
      </c>
      <c r="H4" s="56">
        <v>100.0</v>
      </c>
      <c r="I4" s="56">
        <v>20.0</v>
      </c>
      <c r="J4" s="56">
        <v>100.0</v>
      </c>
      <c r="K4" s="56">
        <v>5.0</v>
      </c>
      <c r="L4" s="56">
        <v>0.0</v>
      </c>
      <c r="M4" s="56">
        <v>0.0</v>
      </c>
      <c r="N4" s="56">
        <v>0.0</v>
      </c>
      <c r="O4" s="56">
        <v>0.0</v>
      </c>
      <c r="P4" s="56">
        <v>0.0</v>
      </c>
      <c r="Q4" s="56">
        <v>0.0</v>
      </c>
      <c r="R4" s="56">
        <v>25.0</v>
      </c>
      <c r="S4" s="56">
        <v>35.0</v>
      </c>
      <c r="T4" s="56">
        <v>50.0</v>
      </c>
      <c r="U4" s="56">
        <v>50.0</v>
      </c>
      <c r="V4" s="56">
        <v>25.0</v>
      </c>
      <c r="W4" s="56">
        <v>40.0</v>
      </c>
      <c r="X4" s="56">
        <v>40.0</v>
      </c>
      <c r="Y4" s="56">
        <v>2.0</v>
      </c>
      <c r="Z4" s="56">
        <v>2.0</v>
      </c>
      <c r="AA4" s="56">
        <v>200.0</v>
      </c>
      <c r="AB4" s="56" t="s">
        <v>794</v>
      </c>
      <c r="AC4" s="641"/>
    </row>
    <row r="5">
      <c r="A5" s="381">
        <v>44617.61685248843</v>
      </c>
      <c r="B5" s="640">
        <v>44636.0</v>
      </c>
      <c r="C5" s="56">
        <v>10.0</v>
      </c>
      <c r="D5" s="56">
        <v>50.0</v>
      </c>
      <c r="E5" s="56">
        <v>25.0</v>
      </c>
      <c r="F5" s="56">
        <v>50.0</v>
      </c>
      <c r="G5" s="56">
        <v>50.0</v>
      </c>
      <c r="H5" s="56">
        <v>100.0</v>
      </c>
      <c r="I5" s="56">
        <v>20.0</v>
      </c>
      <c r="J5" s="56">
        <v>100.0</v>
      </c>
      <c r="K5" s="56">
        <v>5.0</v>
      </c>
      <c r="L5" s="56">
        <v>0.0</v>
      </c>
      <c r="M5" s="56">
        <v>0.0</v>
      </c>
      <c r="N5" s="56">
        <v>0.0</v>
      </c>
      <c r="O5" s="56">
        <v>0.0</v>
      </c>
      <c r="P5" s="56">
        <v>0.0</v>
      </c>
      <c r="Q5" s="56">
        <v>0.0</v>
      </c>
      <c r="R5" s="56">
        <v>25.0</v>
      </c>
      <c r="S5" s="56">
        <v>35.0</v>
      </c>
      <c r="T5" s="56">
        <v>50.0</v>
      </c>
      <c r="U5" s="56">
        <v>50.0</v>
      </c>
      <c r="V5" s="56">
        <v>25.0</v>
      </c>
      <c r="W5" s="56">
        <v>40.0</v>
      </c>
      <c r="X5" s="56">
        <v>40.0</v>
      </c>
      <c r="Y5" s="56">
        <v>2.0</v>
      </c>
      <c r="Z5" s="56">
        <v>2.0</v>
      </c>
      <c r="AA5" s="56">
        <v>200.0</v>
      </c>
      <c r="AB5" s="56" t="s">
        <v>794</v>
      </c>
      <c r="AC5" s="641"/>
    </row>
    <row r="6">
      <c r="A6" s="381">
        <v>44617.61685248843</v>
      </c>
      <c r="B6" s="640">
        <v>44667.0</v>
      </c>
      <c r="C6" s="56">
        <v>10.0</v>
      </c>
      <c r="D6" s="56">
        <v>50.0</v>
      </c>
      <c r="E6" s="56">
        <v>25.0</v>
      </c>
      <c r="F6" s="56">
        <v>50.0</v>
      </c>
      <c r="G6" s="56">
        <v>50.0</v>
      </c>
      <c r="H6" s="56">
        <v>100.0</v>
      </c>
      <c r="I6" s="56">
        <v>20.0</v>
      </c>
      <c r="J6" s="56">
        <v>100.0</v>
      </c>
      <c r="K6" s="56">
        <v>5.0</v>
      </c>
      <c r="L6" s="56">
        <v>0.0</v>
      </c>
      <c r="M6" s="56">
        <v>0.0</v>
      </c>
      <c r="N6" s="56">
        <v>0.0</v>
      </c>
      <c r="O6" s="56">
        <v>0.0</v>
      </c>
      <c r="P6" s="56">
        <v>0.0</v>
      </c>
      <c r="Q6" s="56">
        <v>0.0</v>
      </c>
      <c r="R6" s="56">
        <v>25.0</v>
      </c>
      <c r="S6" s="56">
        <v>35.0</v>
      </c>
      <c r="T6" s="56">
        <v>50.0</v>
      </c>
      <c r="U6" s="56">
        <v>50.0</v>
      </c>
      <c r="V6" s="56">
        <v>25.0</v>
      </c>
      <c r="W6" s="56">
        <v>40.0</v>
      </c>
      <c r="X6" s="56">
        <v>40.0</v>
      </c>
      <c r="Y6" s="56">
        <v>2.0</v>
      </c>
      <c r="Z6" s="56">
        <v>2.0</v>
      </c>
      <c r="AA6" s="56">
        <v>200.0</v>
      </c>
      <c r="AB6" s="56" t="s">
        <v>794</v>
      </c>
      <c r="AC6" s="641"/>
    </row>
    <row r="7">
      <c r="A7" s="381">
        <v>44617.61685248843</v>
      </c>
      <c r="B7" s="640">
        <v>44697.0</v>
      </c>
      <c r="C7" s="56">
        <v>10.0</v>
      </c>
      <c r="D7" s="56">
        <v>50.0</v>
      </c>
      <c r="E7" s="56">
        <v>25.0</v>
      </c>
      <c r="F7" s="56">
        <v>50.0</v>
      </c>
      <c r="G7" s="56">
        <v>50.0</v>
      </c>
      <c r="H7" s="56">
        <v>100.0</v>
      </c>
      <c r="I7" s="56">
        <v>20.0</v>
      </c>
      <c r="J7" s="56">
        <v>100.0</v>
      </c>
      <c r="K7" s="56">
        <v>5.0</v>
      </c>
      <c r="L7" s="56">
        <v>0.0</v>
      </c>
      <c r="M7" s="56">
        <v>0.0</v>
      </c>
      <c r="N7" s="56">
        <v>0.0</v>
      </c>
      <c r="O7" s="56">
        <v>0.0</v>
      </c>
      <c r="P7" s="56">
        <v>0.0</v>
      </c>
      <c r="Q7" s="56">
        <v>0.0</v>
      </c>
      <c r="R7" s="56">
        <v>25.0</v>
      </c>
      <c r="S7" s="56">
        <v>35.0</v>
      </c>
      <c r="T7" s="56">
        <v>50.0</v>
      </c>
      <c r="U7" s="56">
        <v>50.0</v>
      </c>
      <c r="V7" s="56">
        <v>25.0</v>
      </c>
      <c r="W7" s="56">
        <v>40.0</v>
      </c>
      <c r="X7" s="56">
        <v>40.0</v>
      </c>
      <c r="Y7" s="56">
        <v>2.0</v>
      </c>
      <c r="Z7" s="56">
        <v>2.0</v>
      </c>
      <c r="AA7" s="56">
        <v>200.0</v>
      </c>
      <c r="AB7" s="56" t="s">
        <v>794</v>
      </c>
      <c r="AC7" s="641"/>
    </row>
    <row r="8">
      <c r="A8" s="381">
        <v>44617.61685248843</v>
      </c>
      <c r="B8" s="640">
        <v>44728.0</v>
      </c>
      <c r="C8" s="56">
        <v>10.0</v>
      </c>
      <c r="D8" s="56">
        <v>50.0</v>
      </c>
      <c r="E8" s="56">
        <v>25.0</v>
      </c>
      <c r="F8" s="56">
        <v>50.0</v>
      </c>
      <c r="G8" s="56">
        <v>50.0</v>
      </c>
      <c r="H8" s="56">
        <v>100.0</v>
      </c>
      <c r="I8" s="56">
        <v>20.0</v>
      </c>
      <c r="J8" s="56">
        <v>100.0</v>
      </c>
      <c r="K8" s="56">
        <v>5.0</v>
      </c>
      <c r="L8" s="56">
        <v>0.0</v>
      </c>
      <c r="M8" s="56">
        <v>0.0</v>
      </c>
      <c r="N8" s="56">
        <v>0.0</v>
      </c>
      <c r="O8" s="56">
        <v>0.0</v>
      </c>
      <c r="P8" s="56">
        <v>0.0</v>
      </c>
      <c r="Q8" s="56">
        <v>0.0</v>
      </c>
      <c r="R8" s="56">
        <v>25.0</v>
      </c>
      <c r="S8" s="56">
        <v>35.0</v>
      </c>
      <c r="T8" s="56">
        <v>50.0</v>
      </c>
      <c r="U8" s="56">
        <v>50.0</v>
      </c>
      <c r="V8" s="56">
        <v>25.0</v>
      </c>
      <c r="W8" s="56">
        <v>40.0</v>
      </c>
      <c r="X8" s="56">
        <v>40.0</v>
      </c>
      <c r="Y8" s="56">
        <v>2.0</v>
      </c>
      <c r="Z8" s="56">
        <v>2.0</v>
      </c>
      <c r="AA8" s="56">
        <v>200.0</v>
      </c>
      <c r="AB8" s="56" t="s">
        <v>794</v>
      </c>
      <c r="AC8" s="641"/>
    </row>
    <row r="9">
      <c r="A9" s="381">
        <v>44617.61685248843</v>
      </c>
      <c r="B9" s="640">
        <v>44758.0</v>
      </c>
      <c r="C9" s="56">
        <v>10.0</v>
      </c>
      <c r="D9" s="56">
        <v>50.0</v>
      </c>
      <c r="E9" s="56">
        <v>25.0</v>
      </c>
      <c r="F9" s="56">
        <v>50.0</v>
      </c>
      <c r="G9" s="56">
        <v>50.0</v>
      </c>
      <c r="H9" s="56">
        <v>100.0</v>
      </c>
      <c r="I9" s="56">
        <v>20.0</v>
      </c>
      <c r="J9" s="56">
        <v>100.0</v>
      </c>
      <c r="K9" s="56">
        <v>5.0</v>
      </c>
      <c r="L9" s="56">
        <v>0.0</v>
      </c>
      <c r="M9" s="56">
        <v>0.0</v>
      </c>
      <c r="N9" s="56">
        <v>0.0</v>
      </c>
      <c r="O9" s="56">
        <v>0.0</v>
      </c>
      <c r="P9" s="56">
        <v>0.0</v>
      </c>
      <c r="Q9" s="56">
        <v>0.0</v>
      </c>
      <c r="R9" s="56">
        <v>25.0</v>
      </c>
      <c r="S9" s="56">
        <v>35.0</v>
      </c>
      <c r="T9" s="56">
        <v>50.0</v>
      </c>
      <c r="U9" s="56">
        <v>50.0</v>
      </c>
      <c r="V9" s="56">
        <v>25.0</v>
      </c>
      <c r="W9" s="56">
        <v>40.0</v>
      </c>
      <c r="X9" s="56">
        <v>40.0</v>
      </c>
      <c r="Y9" s="56">
        <v>2.0</v>
      </c>
      <c r="Z9" s="56">
        <v>2.0</v>
      </c>
      <c r="AA9" s="56">
        <v>200.0</v>
      </c>
      <c r="AB9" s="56" t="s">
        <v>794</v>
      </c>
      <c r="AC9" s="641"/>
    </row>
    <row r="10">
      <c r="A10" s="381">
        <v>44617.61685248843</v>
      </c>
      <c r="B10" s="640">
        <v>44789.0</v>
      </c>
      <c r="C10" s="56">
        <v>10.0</v>
      </c>
      <c r="D10" s="56">
        <v>50.0</v>
      </c>
      <c r="E10" s="56">
        <v>25.0</v>
      </c>
      <c r="F10" s="56">
        <v>50.0</v>
      </c>
      <c r="G10" s="56">
        <v>50.0</v>
      </c>
      <c r="H10" s="56">
        <v>100.0</v>
      </c>
      <c r="I10" s="56">
        <v>20.0</v>
      </c>
      <c r="J10" s="56">
        <v>100.0</v>
      </c>
      <c r="K10" s="56">
        <v>5.0</v>
      </c>
      <c r="L10" s="56">
        <v>0.0</v>
      </c>
      <c r="M10" s="56">
        <v>0.0</v>
      </c>
      <c r="N10" s="56">
        <v>0.0</v>
      </c>
      <c r="O10" s="56">
        <v>0.0</v>
      </c>
      <c r="P10" s="56">
        <v>0.0</v>
      </c>
      <c r="Q10" s="56">
        <v>0.0</v>
      </c>
      <c r="R10" s="56">
        <v>25.0</v>
      </c>
      <c r="S10" s="56">
        <v>35.0</v>
      </c>
      <c r="T10" s="56">
        <v>50.0</v>
      </c>
      <c r="U10" s="56">
        <v>50.0</v>
      </c>
      <c r="V10" s="56">
        <v>25.0</v>
      </c>
      <c r="W10" s="56">
        <v>40.0</v>
      </c>
      <c r="X10" s="56">
        <v>40.0</v>
      </c>
      <c r="Y10" s="56">
        <v>2.0</v>
      </c>
      <c r="Z10" s="56">
        <v>2.0</v>
      </c>
      <c r="AA10" s="56">
        <v>200.0</v>
      </c>
      <c r="AB10" s="56" t="s">
        <v>794</v>
      </c>
      <c r="AC10" s="641"/>
    </row>
    <row r="11">
      <c r="A11" s="381">
        <v>44617.61685248843</v>
      </c>
      <c r="B11" s="640">
        <v>44820.0</v>
      </c>
      <c r="C11" s="56">
        <v>10.0</v>
      </c>
      <c r="D11" s="56">
        <v>50.0</v>
      </c>
      <c r="E11" s="56">
        <v>25.0</v>
      </c>
      <c r="F11" s="56">
        <v>50.0</v>
      </c>
      <c r="G11" s="56">
        <v>50.0</v>
      </c>
      <c r="H11" s="56">
        <v>100.0</v>
      </c>
      <c r="I11" s="56">
        <v>20.0</v>
      </c>
      <c r="J11" s="56">
        <v>100.0</v>
      </c>
      <c r="K11" s="56">
        <v>5.0</v>
      </c>
      <c r="L11" s="56">
        <v>0.0</v>
      </c>
      <c r="M11" s="56">
        <v>0.0</v>
      </c>
      <c r="N11" s="56">
        <v>0.0</v>
      </c>
      <c r="O11" s="56">
        <v>0.0</v>
      </c>
      <c r="P11" s="56">
        <v>0.0</v>
      </c>
      <c r="Q11" s="56">
        <v>0.0</v>
      </c>
      <c r="R11" s="56">
        <v>25.0</v>
      </c>
      <c r="S11" s="56">
        <v>35.0</v>
      </c>
      <c r="T11" s="56">
        <v>50.0</v>
      </c>
      <c r="U11" s="56">
        <v>50.0</v>
      </c>
      <c r="V11" s="56">
        <v>25.0</v>
      </c>
      <c r="W11" s="56">
        <v>40.0</v>
      </c>
      <c r="X11" s="56">
        <v>40.0</v>
      </c>
      <c r="Y11" s="56">
        <v>2.0</v>
      </c>
      <c r="Z11" s="56">
        <v>2.0</v>
      </c>
      <c r="AA11" s="56">
        <v>200.0</v>
      </c>
      <c r="AB11" s="56" t="s">
        <v>794</v>
      </c>
      <c r="AC11" s="641"/>
    </row>
    <row r="12">
      <c r="A12" s="381">
        <v>44617.61685248843</v>
      </c>
      <c r="B12" s="640">
        <v>44850.0</v>
      </c>
      <c r="C12" s="56">
        <v>10.0</v>
      </c>
      <c r="D12" s="56">
        <v>50.0</v>
      </c>
      <c r="E12" s="56">
        <v>25.0</v>
      </c>
      <c r="F12" s="56">
        <v>50.0</v>
      </c>
      <c r="G12" s="56">
        <v>50.0</v>
      </c>
      <c r="H12" s="56">
        <v>100.0</v>
      </c>
      <c r="I12" s="56">
        <v>20.0</v>
      </c>
      <c r="J12" s="56">
        <v>100.0</v>
      </c>
      <c r="K12" s="56">
        <v>5.0</v>
      </c>
      <c r="L12" s="56">
        <v>0.0</v>
      </c>
      <c r="M12" s="56">
        <v>0.0</v>
      </c>
      <c r="N12" s="56">
        <v>0.0</v>
      </c>
      <c r="O12" s="56">
        <v>0.0</v>
      </c>
      <c r="P12" s="56">
        <v>0.0</v>
      </c>
      <c r="Q12" s="56">
        <v>0.0</v>
      </c>
      <c r="R12" s="56">
        <v>25.0</v>
      </c>
      <c r="S12" s="56">
        <v>35.0</v>
      </c>
      <c r="T12" s="56">
        <v>50.0</v>
      </c>
      <c r="U12" s="56">
        <v>50.0</v>
      </c>
      <c r="V12" s="56">
        <v>25.0</v>
      </c>
      <c r="W12" s="56">
        <v>40.0</v>
      </c>
      <c r="X12" s="56">
        <v>40.0</v>
      </c>
      <c r="Y12" s="56">
        <v>2.0</v>
      </c>
      <c r="Z12" s="56">
        <v>2.0</v>
      </c>
      <c r="AA12" s="56">
        <v>200.0</v>
      </c>
      <c r="AB12" s="56" t="s">
        <v>794</v>
      </c>
      <c r="AC12" s="641"/>
    </row>
    <row r="13">
      <c r="A13" s="381">
        <v>44617.61685248843</v>
      </c>
      <c r="B13" s="640">
        <v>44881.0</v>
      </c>
      <c r="C13" s="56">
        <v>10.0</v>
      </c>
      <c r="D13" s="56">
        <v>50.0</v>
      </c>
      <c r="E13" s="56">
        <v>25.0</v>
      </c>
      <c r="F13" s="56">
        <v>50.0</v>
      </c>
      <c r="G13" s="56">
        <v>50.0</v>
      </c>
      <c r="H13" s="56">
        <v>100.0</v>
      </c>
      <c r="I13" s="56">
        <v>20.0</v>
      </c>
      <c r="J13" s="56">
        <v>100.0</v>
      </c>
      <c r="K13" s="56">
        <v>5.0</v>
      </c>
      <c r="L13" s="56">
        <v>0.0</v>
      </c>
      <c r="M13" s="56">
        <v>0.0</v>
      </c>
      <c r="N13" s="56">
        <v>0.0</v>
      </c>
      <c r="O13" s="56">
        <v>0.0</v>
      </c>
      <c r="P13" s="56">
        <v>0.0</v>
      </c>
      <c r="Q13" s="56">
        <v>0.0</v>
      </c>
      <c r="R13" s="56">
        <v>25.0</v>
      </c>
      <c r="S13" s="56">
        <v>35.0</v>
      </c>
      <c r="T13" s="56">
        <v>50.0</v>
      </c>
      <c r="U13" s="56">
        <v>50.0</v>
      </c>
      <c r="V13" s="56">
        <v>25.0</v>
      </c>
      <c r="W13" s="56">
        <v>40.0</v>
      </c>
      <c r="X13" s="56">
        <v>40.0</v>
      </c>
      <c r="Y13" s="56">
        <v>2.0</v>
      </c>
      <c r="Z13" s="56">
        <v>2.0</v>
      </c>
      <c r="AA13" s="56">
        <v>200.0</v>
      </c>
      <c r="AB13" s="56" t="s">
        <v>794</v>
      </c>
      <c r="AC13" s="641"/>
    </row>
    <row r="14">
      <c r="A14" s="381">
        <v>44617.61685248843</v>
      </c>
      <c r="B14" s="640">
        <v>44911.0</v>
      </c>
      <c r="C14" s="56">
        <v>10.0</v>
      </c>
      <c r="D14" s="56">
        <v>50.0</v>
      </c>
      <c r="E14" s="56">
        <v>25.0</v>
      </c>
      <c r="F14" s="56">
        <v>50.0</v>
      </c>
      <c r="G14" s="56">
        <v>50.0</v>
      </c>
      <c r="H14" s="56">
        <v>100.0</v>
      </c>
      <c r="I14" s="56">
        <v>20.0</v>
      </c>
      <c r="J14" s="56">
        <v>100.0</v>
      </c>
      <c r="K14" s="56">
        <v>5.0</v>
      </c>
      <c r="L14" s="56">
        <v>0.0</v>
      </c>
      <c r="M14" s="56">
        <v>0.0</v>
      </c>
      <c r="N14" s="56">
        <v>0.0</v>
      </c>
      <c r="O14" s="56">
        <v>0.0</v>
      </c>
      <c r="P14" s="56">
        <v>0.0</v>
      </c>
      <c r="Q14" s="56">
        <v>0.0</v>
      </c>
      <c r="R14" s="56">
        <v>25.0</v>
      </c>
      <c r="S14" s="56">
        <v>35.0</v>
      </c>
      <c r="T14" s="56">
        <v>50.0</v>
      </c>
      <c r="U14" s="56">
        <v>50.0</v>
      </c>
      <c r="V14" s="56">
        <v>25.0</v>
      </c>
      <c r="W14" s="56">
        <v>40.0</v>
      </c>
      <c r="X14" s="56">
        <v>40.0</v>
      </c>
      <c r="Y14" s="56">
        <v>2.0</v>
      </c>
      <c r="Z14" s="56">
        <v>2.0</v>
      </c>
      <c r="AA14" s="56">
        <v>200.0</v>
      </c>
      <c r="AB14" s="56" t="s">
        <v>794</v>
      </c>
      <c r="AC14" s="641"/>
    </row>
    <row r="15">
      <c r="A15" s="381">
        <v>44617.61685248843</v>
      </c>
      <c r="B15" s="640">
        <v>44942.0</v>
      </c>
      <c r="C15" s="56">
        <v>10.0</v>
      </c>
      <c r="D15" s="56">
        <v>50.0</v>
      </c>
      <c r="E15" s="56">
        <v>25.0</v>
      </c>
      <c r="F15" s="56">
        <v>50.0</v>
      </c>
      <c r="G15" s="56">
        <v>50.0</v>
      </c>
      <c r="H15" s="56">
        <v>100.0</v>
      </c>
      <c r="I15" s="56">
        <v>20.0</v>
      </c>
      <c r="J15" s="56">
        <v>100.0</v>
      </c>
      <c r="K15" s="56">
        <v>5.0</v>
      </c>
      <c r="L15" s="56">
        <v>0.0</v>
      </c>
      <c r="M15" s="56">
        <v>0.0</v>
      </c>
      <c r="N15" s="56">
        <v>0.0</v>
      </c>
      <c r="O15" s="56">
        <v>0.0</v>
      </c>
      <c r="P15" s="56">
        <v>0.0</v>
      </c>
      <c r="Q15" s="56">
        <v>0.0</v>
      </c>
      <c r="R15" s="56">
        <v>25.0</v>
      </c>
      <c r="S15" s="56">
        <v>35.0</v>
      </c>
      <c r="T15" s="56">
        <v>50.0</v>
      </c>
      <c r="U15" s="56">
        <v>50.0</v>
      </c>
      <c r="V15" s="56">
        <v>25.0</v>
      </c>
      <c r="W15" s="56">
        <v>40.0</v>
      </c>
      <c r="X15" s="56">
        <v>40.0</v>
      </c>
      <c r="Y15" s="56">
        <v>2.0</v>
      </c>
      <c r="Z15" s="56">
        <v>2.0</v>
      </c>
      <c r="AA15" s="56">
        <v>200.0</v>
      </c>
      <c r="AB15" s="56" t="s">
        <v>794</v>
      </c>
      <c r="AC15" s="641"/>
    </row>
    <row r="16">
      <c r="A16" s="381">
        <v>44617.61685248843</v>
      </c>
      <c r="B16" s="640">
        <v>44973.0</v>
      </c>
      <c r="C16" s="56">
        <v>10.0</v>
      </c>
      <c r="D16" s="56">
        <v>50.0</v>
      </c>
      <c r="E16" s="56">
        <v>25.0</v>
      </c>
      <c r="F16" s="56">
        <v>50.0</v>
      </c>
      <c r="G16" s="56">
        <v>50.0</v>
      </c>
      <c r="H16" s="56">
        <v>100.0</v>
      </c>
      <c r="I16" s="56">
        <v>20.0</v>
      </c>
      <c r="J16" s="56">
        <v>100.0</v>
      </c>
      <c r="K16" s="56">
        <v>5.0</v>
      </c>
      <c r="L16" s="56">
        <v>0.0</v>
      </c>
      <c r="M16" s="56">
        <v>0.0</v>
      </c>
      <c r="N16" s="56">
        <v>0.0</v>
      </c>
      <c r="O16" s="56">
        <v>0.0</v>
      </c>
      <c r="P16" s="56">
        <v>0.0</v>
      </c>
      <c r="Q16" s="56">
        <v>0.0</v>
      </c>
      <c r="R16" s="56">
        <v>25.0</v>
      </c>
      <c r="S16" s="56">
        <v>35.0</v>
      </c>
      <c r="T16" s="56">
        <v>50.0</v>
      </c>
      <c r="U16" s="56">
        <v>50.0</v>
      </c>
      <c r="V16" s="56">
        <v>25.0</v>
      </c>
      <c r="W16" s="56">
        <v>40.0</v>
      </c>
      <c r="X16" s="56">
        <v>40.0</v>
      </c>
      <c r="Y16" s="56">
        <v>2.0</v>
      </c>
      <c r="Z16" s="56">
        <v>2.0</v>
      </c>
      <c r="AA16" s="56">
        <v>200.0</v>
      </c>
      <c r="AB16" s="56" t="s">
        <v>794</v>
      </c>
      <c r="AC16" s="641"/>
    </row>
    <row r="17">
      <c r="A17" s="381">
        <v>44617.61685248843</v>
      </c>
      <c r="B17" s="640">
        <v>45001.0</v>
      </c>
      <c r="C17" s="56">
        <v>10.0</v>
      </c>
      <c r="D17" s="56">
        <v>50.0</v>
      </c>
      <c r="E17" s="56">
        <v>25.0</v>
      </c>
      <c r="F17" s="56">
        <v>50.0</v>
      </c>
      <c r="G17" s="56">
        <v>50.0</v>
      </c>
      <c r="H17" s="56">
        <v>100.0</v>
      </c>
      <c r="I17" s="56">
        <v>20.0</v>
      </c>
      <c r="J17" s="56">
        <v>100.0</v>
      </c>
      <c r="K17" s="56">
        <v>5.0</v>
      </c>
      <c r="L17" s="56">
        <v>0.0</v>
      </c>
      <c r="M17" s="56">
        <v>0.0</v>
      </c>
      <c r="N17" s="56">
        <v>0.0</v>
      </c>
      <c r="O17" s="56">
        <v>0.0</v>
      </c>
      <c r="P17" s="56">
        <v>0.0</v>
      </c>
      <c r="Q17" s="56">
        <v>0.0</v>
      </c>
      <c r="R17" s="56">
        <v>25.0</v>
      </c>
      <c r="S17" s="56">
        <v>35.0</v>
      </c>
      <c r="T17" s="56">
        <v>50.0</v>
      </c>
      <c r="U17" s="56">
        <v>50.0</v>
      </c>
      <c r="V17" s="56">
        <v>25.0</v>
      </c>
      <c r="W17" s="56">
        <v>40.0</v>
      </c>
      <c r="X17" s="56">
        <v>40.0</v>
      </c>
      <c r="Y17" s="56">
        <v>2.0</v>
      </c>
      <c r="Z17" s="56">
        <v>2.0</v>
      </c>
      <c r="AA17" s="56">
        <v>200.0</v>
      </c>
      <c r="AB17" s="56" t="s">
        <v>794</v>
      </c>
      <c r="AC17" s="641"/>
    </row>
    <row r="18">
      <c r="A18" s="381">
        <v>44617.61685248843</v>
      </c>
      <c r="B18" s="640">
        <v>45032.0</v>
      </c>
      <c r="C18" s="56">
        <v>10.0</v>
      </c>
      <c r="D18" s="56">
        <v>50.0</v>
      </c>
      <c r="E18" s="56">
        <v>25.0</v>
      </c>
      <c r="F18" s="56">
        <v>50.0</v>
      </c>
      <c r="G18" s="56">
        <v>50.0</v>
      </c>
      <c r="H18" s="56">
        <v>100.0</v>
      </c>
      <c r="I18" s="56">
        <v>20.0</v>
      </c>
      <c r="J18" s="56">
        <v>100.0</v>
      </c>
      <c r="K18" s="56">
        <v>5.0</v>
      </c>
      <c r="L18" s="56">
        <v>0.0</v>
      </c>
      <c r="M18" s="56">
        <v>0.0</v>
      </c>
      <c r="N18" s="56">
        <v>0.0</v>
      </c>
      <c r="O18" s="56">
        <v>0.0</v>
      </c>
      <c r="P18" s="56">
        <v>0.0</v>
      </c>
      <c r="Q18" s="56">
        <v>0.0</v>
      </c>
      <c r="R18" s="56">
        <v>25.0</v>
      </c>
      <c r="S18" s="56">
        <v>35.0</v>
      </c>
      <c r="T18" s="56">
        <v>50.0</v>
      </c>
      <c r="U18" s="56">
        <v>50.0</v>
      </c>
      <c r="V18" s="56">
        <v>25.0</v>
      </c>
      <c r="W18" s="56">
        <v>40.0</v>
      </c>
      <c r="X18" s="56">
        <v>40.0</v>
      </c>
      <c r="Y18" s="56">
        <v>2.0</v>
      </c>
      <c r="Z18" s="56">
        <v>2.0</v>
      </c>
      <c r="AA18" s="56">
        <v>200.0</v>
      </c>
      <c r="AB18" s="56" t="s">
        <v>794</v>
      </c>
      <c r="AC18" s="641"/>
    </row>
    <row r="19">
      <c r="B19" s="175"/>
    </row>
    <row r="20">
      <c r="B20" s="175"/>
    </row>
    <row r="21">
      <c r="B21" s="175"/>
    </row>
    <row r="22">
      <c r="B22" s="175"/>
    </row>
    <row r="23">
      <c r="B23" s="175"/>
    </row>
    <row r="24">
      <c r="B24" s="175"/>
    </row>
    <row r="25">
      <c r="B25" s="175"/>
    </row>
    <row r="26">
      <c r="B26" s="175"/>
    </row>
    <row r="27">
      <c r="B27" s="175"/>
    </row>
    <row r="28">
      <c r="B28" s="175"/>
    </row>
    <row r="29">
      <c r="B29" s="175"/>
    </row>
    <row r="30">
      <c r="B30" s="175"/>
    </row>
    <row r="31">
      <c r="B31" s="175"/>
    </row>
    <row r="32">
      <c r="B32" s="175"/>
    </row>
    <row r="33">
      <c r="B33" s="175"/>
    </row>
    <row r="34">
      <c r="B34" s="175"/>
    </row>
    <row r="35">
      <c r="B35" s="175"/>
    </row>
    <row r="36">
      <c r="B36" s="175"/>
    </row>
    <row r="37">
      <c r="B37" s="175"/>
    </row>
    <row r="38">
      <c r="B38" s="175"/>
    </row>
    <row r="39">
      <c r="B39" s="175"/>
    </row>
    <row r="40">
      <c r="B40" s="175"/>
    </row>
    <row r="41">
      <c r="B41" s="175"/>
    </row>
    <row r="42">
      <c r="B42" s="175"/>
    </row>
    <row r="43">
      <c r="B43" s="175"/>
    </row>
    <row r="44">
      <c r="B44" s="175"/>
    </row>
    <row r="45">
      <c r="B45" s="175"/>
    </row>
    <row r="46">
      <c r="B46" s="175"/>
    </row>
    <row r="47">
      <c r="B47" s="175"/>
    </row>
    <row r="48">
      <c r="B48" s="175"/>
    </row>
    <row r="49">
      <c r="B49" s="175"/>
    </row>
    <row r="50">
      <c r="B50" s="175"/>
    </row>
    <row r="51">
      <c r="B51" s="175"/>
    </row>
    <row r="52">
      <c r="B52" s="175"/>
    </row>
    <row r="53">
      <c r="B53" s="175"/>
    </row>
    <row r="54">
      <c r="B54" s="175"/>
    </row>
    <row r="55">
      <c r="B55" s="175"/>
    </row>
    <row r="56">
      <c r="B56" s="175"/>
    </row>
    <row r="57">
      <c r="B57" s="175"/>
    </row>
    <row r="58">
      <c r="B58" s="175"/>
    </row>
    <row r="59">
      <c r="B59" s="175"/>
    </row>
    <row r="60">
      <c r="B60" s="175"/>
    </row>
    <row r="61">
      <c r="B61" s="175"/>
    </row>
    <row r="62">
      <c r="B62" s="175"/>
    </row>
    <row r="63">
      <c r="B63" s="175"/>
    </row>
    <row r="64">
      <c r="B64" s="175"/>
    </row>
    <row r="65">
      <c r="B65" s="175"/>
    </row>
    <row r="66">
      <c r="B66" s="175"/>
    </row>
    <row r="67">
      <c r="B67" s="175"/>
    </row>
    <row r="68">
      <c r="B68" s="175"/>
    </row>
    <row r="69">
      <c r="B69" s="175"/>
    </row>
    <row r="70">
      <c r="B70" s="175"/>
    </row>
    <row r="71">
      <c r="B71" s="175"/>
    </row>
    <row r="72">
      <c r="B72" s="175"/>
    </row>
    <row r="73">
      <c r="B73" s="175"/>
    </row>
    <row r="74">
      <c r="B74" s="175"/>
    </row>
    <row r="75">
      <c r="B75" s="175"/>
    </row>
    <row r="76">
      <c r="B76" s="175"/>
    </row>
    <row r="77">
      <c r="B77" s="175"/>
    </row>
    <row r="78">
      <c r="B78" s="175"/>
    </row>
    <row r="79">
      <c r="B79" s="175"/>
    </row>
    <row r="80">
      <c r="B80" s="175"/>
    </row>
    <row r="81">
      <c r="B81" s="175"/>
    </row>
    <row r="82">
      <c r="B82" s="175"/>
    </row>
    <row r="83">
      <c r="B83" s="175"/>
    </row>
    <row r="84">
      <c r="B84" s="175"/>
    </row>
    <row r="85">
      <c r="B85" s="175"/>
    </row>
    <row r="86">
      <c r="B86" s="175"/>
    </row>
    <row r="87">
      <c r="B87" s="175"/>
    </row>
    <row r="88">
      <c r="B88" s="175"/>
    </row>
    <row r="89">
      <c r="B89" s="175"/>
    </row>
    <row r="90">
      <c r="B90" s="175"/>
    </row>
    <row r="91">
      <c r="B91" s="175"/>
    </row>
    <row r="92">
      <c r="B92" s="175"/>
    </row>
    <row r="93">
      <c r="B93" s="175"/>
    </row>
    <row r="94">
      <c r="B94" s="175"/>
    </row>
  </sheetData>
  <drawing r:id="rId1"/>
</worksheet>
</file>